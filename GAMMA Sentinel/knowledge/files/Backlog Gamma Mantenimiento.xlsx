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hidePivotFieldList="1" defaultThemeVersion="166925"/>
  <xr:revisionPtr revIDLastSave="8753" documentId="11_D5CD8B57A022A42D9DDA628E1B2BBAB5A62BFBE4" xr6:coauthVersionLast="47" xr6:coauthVersionMax="47" xr10:uidLastSave="{FC050527-753B-4585-9464-F1DCE58140C6}"/>
  <bookViews>
    <workbookView xWindow="0" yWindow="0" windowWidth="16384" windowHeight="8192" tabRatio="500" firstSheet="3" activeTab="3" xr2:uid="{00000000-000D-0000-FFFF-FFFF00000000}"/>
  </bookViews>
  <sheets>
    <sheet name="Listas" sheetId="1" r:id="rId1"/>
    <sheet name="Jira Exportar Excel CSV (OLD)" sheetId="2" state="hidden" r:id="rId2"/>
    <sheet name="Hoja1" sheetId="11" r:id="rId3"/>
    <sheet name="Backlog" sheetId="3" r:id="rId4"/>
    <sheet name="Indicadores Control" sheetId="6" r:id="rId5"/>
    <sheet name="Horas estimadas" sheetId="10" r:id="rId6"/>
    <sheet name="Indicadores" sheetId="8" r:id="rId7"/>
    <sheet name="_Catalogos" sheetId="7" r:id="rId8"/>
    <sheet name="Calendario noviembre" sheetId="4" r:id="rId9"/>
    <sheet name="Plan noviembre" sheetId="5" r:id="rId10"/>
    <sheet name="Solo lo importante" sheetId="9" r:id="rId11"/>
  </sheets>
  <definedNames>
    <definedName name="_xlnm._FilterDatabase" localSheetId="1" hidden="1">'Jira Exportar Excel CSV (OLD)'!$A$1:$R$331</definedName>
    <definedName name="_xlnm._FilterDatabase" localSheetId="9" hidden="1">'Plan noviembre'!$A$1:$AH$14</definedName>
    <definedName name="_xlnm._FilterDatabase" localSheetId="3" hidden="1">Backlog!$D$142:$D$142</definedName>
  </definedNames>
  <calcPr calcId="191028" iterateDelta="1E-4"/>
  <pivotCaches>
    <pivotCache cacheId="11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225" i="3" l="1"/>
  <c r="AB225" i="3"/>
  <c r="AC225" i="3"/>
  <c r="AA224" i="3"/>
  <c r="AB224" i="3"/>
  <c r="AC224" i="3"/>
  <c r="L27" i="6"/>
  <c r="I27" i="6"/>
  <c r="F27" i="6"/>
  <c r="L25" i="6"/>
  <c r="I25" i="6"/>
  <c r="F25" i="6"/>
  <c r="L24" i="6"/>
  <c r="I24" i="6"/>
  <c r="F24" i="6"/>
  <c r="L23" i="6"/>
  <c r="I23" i="6"/>
  <c r="F23" i="6"/>
  <c r="L22" i="6"/>
  <c r="I22" i="6"/>
  <c r="F22" i="6"/>
  <c r="C27" i="6"/>
  <c r="C25" i="6" a="1"/>
  <c r="C25" i="6" s="1"/>
  <c r="C24" i="6" a="1"/>
  <c r="C24" i="6" s="1"/>
  <c r="C23" i="6" a="1"/>
  <c r="C23" i="6" s="1"/>
  <c r="C22" i="6" a="1"/>
  <c r="C22" i="6" s="1"/>
  <c r="AA80" i="3"/>
  <c r="AB80" i="3"/>
  <c r="AC80" i="3"/>
  <c r="AA79" i="3"/>
  <c r="AB79" i="3"/>
  <c r="AC79" i="3"/>
  <c r="I18" i="6"/>
  <c r="L18" i="6"/>
  <c r="F18" i="6"/>
  <c r="C18" i="6"/>
  <c r="O8" i="6"/>
  <c r="I8" i="6"/>
  <c r="F8" i="6"/>
  <c r="C8" i="6"/>
  <c r="AA3" i="3"/>
  <c r="AB3" i="3"/>
  <c r="AC3" i="3"/>
  <c r="L16" i="6"/>
  <c r="L15" i="6"/>
  <c r="L14" i="6"/>
  <c r="L13" i="6"/>
  <c r="I16" i="6"/>
  <c r="I15" i="6"/>
  <c r="I14" i="6"/>
  <c r="I13" i="6"/>
  <c r="F16" i="6"/>
  <c r="F15" i="6"/>
  <c r="F14" i="6"/>
  <c r="F13" i="6"/>
  <c r="C15" i="6"/>
  <c r="C13" i="6"/>
  <c r="C14" i="6"/>
  <c r="C16" i="6"/>
  <c r="AA39" i="3"/>
  <c r="AA40" i="3"/>
  <c r="AB39" i="3"/>
  <c r="AB40" i="3"/>
  <c r="AC39" i="3"/>
  <c r="AC40" i="3"/>
  <c r="AA42" i="3"/>
  <c r="AB42" i="3"/>
  <c r="AC42" i="3"/>
  <c r="AA41" i="3"/>
  <c r="AB41" i="3"/>
  <c r="AC41" i="3"/>
  <c r="AA32" i="3"/>
  <c r="AA33" i="3"/>
  <c r="AB32" i="3"/>
  <c r="AB33" i="3"/>
  <c r="AC32" i="3"/>
  <c r="AC33" i="3"/>
  <c r="AA34" i="3"/>
  <c r="AA35" i="3"/>
  <c r="AB34" i="3"/>
  <c r="AB35" i="3"/>
  <c r="AC34" i="3"/>
  <c r="AC35" i="3"/>
  <c r="AA36" i="3"/>
  <c r="AA37" i="3"/>
  <c r="AB36" i="3"/>
  <c r="AB37" i="3"/>
  <c r="AC36" i="3"/>
  <c r="AC37" i="3"/>
  <c r="AA38" i="3"/>
  <c r="AB38" i="3"/>
  <c r="AC38" i="3"/>
  <c r="AA43" i="3"/>
  <c r="AB43" i="3"/>
  <c r="AC43" i="3"/>
  <c r="AA31" i="3"/>
  <c r="AB31" i="3"/>
  <c r="AC31" i="3"/>
  <c r="AA30" i="3"/>
  <c r="AB30" i="3"/>
  <c r="AC30" i="3"/>
  <c r="AA29" i="3"/>
  <c r="AB29" i="3"/>
  <c r="AC29" i="3"/>
  <c r="AA28" i="3"/>
  <c r="AB28" i="3"/>
  <c r="AC28" i="3"/>
  <c r="AA27" i="3"/>
  <c r="AB27" i="3"/>
  <c r="AC27" i="3"/>
  <c r="AA2" i="3"/>
  <c r="AB2" i="3"/>
  <c r="AC2" i="3"/>
  <c r="AA22" i="3"/>
  <c r="AB22" i="3"/>
  <c r="AC22" i="3"/>
  <c r="AA19" i="3"/>
  <c r="AB19" i="3"/>
  <c r="AC19" i="3"/>
  <c r="AA18" i="3"/>
  <c r="AB18" i="3"/>
  <c r="AC18" i="3"/>
  <c r="AA23" i="3"/>
  <c r="AB23" i="3"/>
  <c r="AC23" i="3"/>
  <c r="AA24" i="3"/>
  <c r="AB24" i="3"/>
  <c r="AC24" i="3"/>
  <c r="AA25" i="3"/>
  <c r="AB25" i="3"/>
  <c r="AC25" i="3"/>
  <c r="AA26" i="3"/>
  <c r="AB26" i="3"/>
  <c r="AC26" i="3"/>
  <c r="AA21" i="3"/>
  <c r="AB21" i="3"/>
  <c r="AC21" i="3"/>
  <c r="AA15" i="3"/>
  <c r="AB15" i="3"/>
  <c r="AC15" i="3"/>
  <c r="AA20" i="3"/>
  <c r="AB20" i="3"/>
  <c r="AC20" i="3"/>
  <c r="AA17" i="3"/>
  <c r="AB17" i="3"/>
  <c r="AC17" i="3"/>
  <c r="AA16" i="3"/>
  <c r="AB16" i="3"/>
  <c r="AC16" i="3"/>
  <c r="AA4" i="3"/>
  <c r="AB4" i="3"/>
  <c r="AC4" i="3"/>
  <c r="AA9" i="3"/>
  <c r="AA10" i="3"/>
  <c r="AB9" i="3"/>
  <c r="AB10" i="3"/>
  <c r="AC9" i="3"/>
  <c r="AC10" i="3"/>
  <c r="AA7" i="3"/>
  <c r="AA8" i="3"/>
  <c r="AB7" i="3"/>
  <c r="AB8" i="3"/>
  <c r="AC7" i="3"/>
  <c r="AC8" i="3"/>
  <c r="AA11" i="3"/>
  <c r="AA12" i="3"/>
  <c r="AB11" i="3"/>
  <c r="AB12" i="3"/>
  <c r="AC11" i="3"/>
  <c r="AC12" i="3"/>
  <c r="AA5" i="3"/>
  <c r="AA6" i="3"/>
  <c r="AB5" i="3"/>
  <c r="AB6" i="3"/>
  <c r="AC5" i="3"/>
  <c r="AC6" i="3"/>
  <c r="AA13" i="3"/>
  <c r="AB13" i="3"/>
  <c r="AC13" i="3"/>
  <c r="AA14" i="3"/>
  <c r="AB14" i="3"/>
  <c r="AC14" i="3"/>
  <c r="L8" i="6"/>
  <c r="O3" i="6"/>
  <c r="O4" i="6"/>
  <c r="AB223" i="3"/>
  <c r="AC223" i="3" s="1"/>
  <c r="AA223" i="3"/>
  <c r="O6" i="6"/>
  <c r="L6" i="6" a="1"/>
  <c r="L6" i="6"/>
  <c r="O5" i="6"/>
  <c r="L5" i="6" a="1"/>
  <c r="L5" i="6"/>
  <c r="L4" i="6" a="1"/>
  <c r="L4" i="6"/>
  <c r="L3" i="6" a="1"/>
  <c r="L3" i="6"/>
  <c r="I6" i="6"/>
  <c r="I5" i="6"/>
  <c r="I4" i="6"/>
  <c r="I3" i="6"/>
  <c r="F6" i="6"/>
  <c r="F5" i="6"/>
  <c r="F4" i="6"/>
  <c r="F3" i="6"/>
  <c r="C6" i="6"/>
  <c r="C5" i="6"/>
  <c r="C4" i="6"/>
  <c r="C3" i="6"/>
  <c r="C4" i="8"/>
  <c r="C5" i="8"/>
  <c r="J6" i="10"/>
  <c r="J8" i="10" s="1"/>
  <c r="G6" i="10"/>
  <c r="M6" i="10" s="1"/>
  <c r="G8" i="10"/>
  <c r="G5" i="10"/>
  <c r="M5" i="10" s="1"/>
  <c r="G4" i="10"/>
  <c r="M4" i="10" s="1"/>
  <c r="G3" i="10"/>
  <c r="M3" i="10" s="1"/>
  <c r="M8" i="10" s="1"/>
  <c r="D8" i="10"/>
  <c r="D6" i="10"/>
  <c r="D5" i="10"/>
  <c r="D4" i="10"/>
  <c r="D3" i="10"/>
  <c r="AA67" i="3"/>
  <c r="AB67" i="3"/>
  <c r="AC67" i="3"/>
  <c r="AA66" i="3"/>
  <c r="AB66" i="3"/>
  <c r="AC66" i="3"/>
  <c r="O45" i="6"/>
  <c r="L45" i="6"/>
  <c r="I45" i="6"/>
  <c r="F45" i="6"/>
  <c r="O44" i="6"/>
  <c r="L44" i="6"/>
  <c r="I44" i="6"/>
  <c r="F44" i="6"/>
  <c r="O43" i="6"/>
  <c r="L43" i="6"/>
  <c r="I43" i="6"/>
  <c r="F43" i="6"/>
  <c r="O42" i="6"/>
  <c r="L42" i="6"/>
  <c r="I42" i="6"/>
  <c r="F42" i="6"/>
  <c r="O41" i="6"/>
  <c r="L41" i="6"/>
  <c r="I41" i="6"/>
  <c r="F41" i="6"/>
  <c r="O36" i="6"/>
  <c r="L36" i="6"/>
  <c r="I36" i="6"/>
  <c r="F36" i="6"/>
  <c r="O35" i="6"/>
  <c r="L35" i="6"/>
  <c r="I35" i="6"/>
  <c r="F35" i="6"/>
  <c r="O34" i="6"/>
  <c r="L34" i="6"/>
  <c r="I34" i="6"/>
  <c r="F34" i="6"/>
  <c r="O33" i="6"/>
  <c r="L33" i="6"/>
  <c r="I33" i="6"/>
  <c r="F33" i="6"/>
  <c r="O32" i="6"/>
  <c r="L32" i="6"/>
  <c r="I32" i="6"/>
  <c r="F32" i="6"/>
  <c r="AB65" i="3"/>
  <c r="AC65" i="3" s="1"/>
  <c r="AA65" i="3"/>
  <c r="AB161" i="3"/>
  <c r="AC161" i="3" s="1"/>
  <c r="AA161" i="3"/>
  <c r="AB160" i="3"/>
  <c r="AC160" i="3" s="1"/>
  <c r="AA160" i="3"/>
  <c r="AA85" i="3"/>
  <c r="AB85" i="3"/>
  <c r="AC85" i="3"/>
  <c r="AA84" i="3"/>
  <c r="AB84" i="3"/>
  <c r="AC84" i="3"/>
  <c r="M151" i="9"/>
  <c r="M150" i="9"/>
  <c r="M147" i="9"/>
  <c r="M146" i="9"/>
  <c r="M143" i="9"/>
  <c r="L151" i="9"/>
  <c r="L150" i="9"/>
  <c r="L147" i="9"/>
  <c r="L146" i="9"/>
  <c r="L143"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6" i="9"/>
  <c r="M5" i="9"/>
  <c r="M4" i="9"/>
  <c r="M3" i="9"/>
  <c r="M2" i="9"/>
  <c r="L6" i="9"/>
  <c r="H6" i="9"/>
  <c r="L5" i="9"/>
  <c r="L4" i="9"/>
  <c r="L3" i="9"/>
  <c r="L2" i="9"/>
  <c r="A147" i="9"/>
  <c r="B147" i="9"/>
  <c r="C147" i="9"/>
  <c r="D147" i="9"/>
  <c r="E147" i="9"/>
  <c r="F147" i="9"/>
  <c r="G147" i="9"/>
  <c r="H147" i="9"/>
  <c r="I147" i="9"/>
  <c r="J147" i="9"/>
  <c r="A148" i="9"/>
  <c r="B148" i="9"/>
  <c r="C148" i="9"/>
  <c r="D148" i="9"/>
  <c r="E148" i="9"/>
  <c r="F148" i="9"/>
  <c r="G148" i="9"/>
  <c r="H148" i="9"/>
  <c r="I148" i="9"/>
  <c r="J148" i="9"/>
  <c r="A149" i="9"/>
  <c r="B149" i="9"/>
  <c r="C149" i="9"/>
  <c r="D149" i="9"/>
  <c r="E149" i="9"/>
  <c r="F149" i="9"/>
  <c r="G149" i="9"/>
  <c r="H149" i="9"/>
  <c r="I149" i="9"/>
  <c r="J149" i="9"/>
  <c r="A150" i="9"/>
  <c r="B150" i="9"/>
  <c r="C150" i="9"/>
  <c r="D150" i="9"/>
  <c r="E150" i="9"/>
  <c r="F150" i="9"/>
  <c r="G150" i="9"/>
  <c r="H150" i="9"/>
  <c r="I150" i="9"/>
  <c r="J150" i="9"/>
  <c r="A151" i="9"/>
  <c r="B151" i="9"/>
  <c r="C151" i="9"/>
  <c r="D151" i="9"/>
  <c r="E151" i="9"/>
  <c r="F151" i="9"/>
  <c r="G151" i="9"/>
  <c r="H151" i="9"/>
  <c r="I151" i="9"/>
  <c r="J151" i="9"/>
  <c r="A152" i="9"/>
  <c r="B152" i="9"/>
  <c r="C152" i="9"/>
  <c r="D152" i="9"/>
  <c r="E152" i="9"/>
  <c r="F152" i="9"/>
  <c r="G152" i="9"/>
  <c r="H152" i="9"/>
  <c r="I152" i="9"/>
  <c r="J152" i="9"/>
  <c r="A153" i="9"/>
  <c r="B153" i="9"/>
  <c r="C153" i="9"/>
  <c r="D153" i="9"/>
  <c r="E153" i="9"/>
  <c r="F153" i="9"/>
  <c r="G153" i="9"/>
  <c r="H153" i="9"/>
  <c r="I153" i="9"/>
  <c r="J153" i="9"/>
  <c r="A154" i="9"/>
  <c r="B154" i="9"/>
  <c r="C154" i="9"/>
  <c r="D154" i="9"/>
  <c r="E154" i="9"/>
  <c r="F154" i="9"/>
  <c r="G154" i="9"/>
  <c r="H154" i="9"/>
  <c r="I154" i="9"/>
  <c r="J154" i="9"/>
  <c r="A155" i="9"/>
  <c r="B155" i="9"/>
  <c r="C155" i="9"/>
  <c r="D155" i="9"/>
  <c r="E155" i="9"/>
  <c r="F155" i="9"/>
  <c r="G155" i="9"/>
  <c r="H155" i="9"/>
  <c r="I155" i="9"/>
  <c r="J155" i="9"/>
  <c r="A156" i="9"/>
  <c r="B156" i="9"/>
  <c r="C156" i="9"/>
  <c r="D156" i="9"/>
  <c r="E156" i="9"/>
  <c r="F156" i="9"/>
  <c r="G156" i="9"/>
  <c r="H156" i="9"/>
  <c r="I156" i="9"/>
  <c r="J156" i="9"/>
  <c r="A157" i="9"/>
  <c r="B157" i="9"/>
  <c r="C157" i="9"/>
  <c r="D157" i="9"/>
  <c r="E157" i="9"/>
  <c r="F157" i="9"/>
  <c r="G157" i="9"/>
  <c r="H157" i="9"/>
  <c r="I157" i="9"/>
  <c r="J157" i="9"/>
  <c r="A158" i="9"/>
  <c r="B158" i="9"/>
  <c r="C158" i="9"/>
  <c r="D158" i="9"/>
  <c r="E158" i="9"/>
  <c r="F158" i="9"/>
  <c r="G158" i="9"/>
  <c r="H158" i="9"/>
  <c r="I158" i="9"/>
  <c r="J158" i="9"/>
  <c r="A159" i="9"/>
  <c r="B159" i="9"/>
  <c r="C159" i="9"/>
  <c r="D159" i="9"/>
  <c r="E159" i="9"/>
  <c r="F159" i="9"/>
  <c r="G159" i="9"/>
  <c r="H159" i="9"/>
  <c r="I159" i="9"/>
  <c r="J159" i="9"/>
  <c r="A160" i="9"/>
  <c r="B160" i="9"/>
  <c r="C160" i="9"/>
  <c r="D160" i="9"/>
  <c r="E160" i="9"/>
  <c r="F160" i="9"/>
  <c r="G160" i="9"/>
  <c r="H160" i="9"/>
  <c r="I160" i="9"/>
  <c r="J160" i="9"/>
  <c r="A161" i="9"/>
  <c r="B161" i="9"/>
  <c r="C161" i="9"/>
  <c r="D161" i="9"/>
  <c r="E161" i="9"/>
  <c r="F161" i="9"/>
  <c r="G161" i="9"/>
  <c r="H161" i="9"/>
  <c r="I161" i="9"/>
  <c r="J161" i="9"/>
  <c r="A162" i="9"/>
  <c r="B162" i="9"/>
  <c r="C162" i="9"/>
  <c r="D162" i="9"/>
  <c r="E162" i="9"/>
  <c r="F162" i="9"/>
  <c r="G162" i="9"/>
  <c r="H162" i="9"/>
  <c r="I162" i="9"/>
  <c r="J162" i="9"/>
  <c r="A163" i="9"/>
  <c r="B163" i="9"/>
  <c r="C163" i="9"/>
  <c r="D163" i="9"/>
  <c r="E163" i="9"/>
  <c r="F163" i="9"/>
  <c r="G163" i="9"/>
  <c r="H163" i="9"/>
  <c r="I163" i="9"/>
  <c r="J163" i="9"/>
  <c r="A164" i="9"/>
  <c r="B164" i="9"/>
  <c r="C164" i="9"/>
  <c r="D164" i="9"/>
  <c r="E164" i="9"/>
  <c r="F164" i="9"/>
  <c r="G164" i="9"/>
  <c r="H164" i="9"/>
  <c r="I164" i="9"/>
  <c r="J164" i="9"/>
  <c r="A165" i="9"/>
  <c r="B165" i="9"/>
  <c r="C165" i="9"/>
  <c r="D165" i="9"/>
  <c r="E165" i="9"/>
  <c r="F165" i="9"/>
  <c r="G165" i="9"/>
  <c r="H165" i="9"/>
  <c r="I165" i="9"/>
  <c r="J165" i="9"/>
  <c r="A166" i="9"/>
  <c r="B166" i="9"/>
  <c r="C166" i="9"/>
  <c r="D166" i="9"/>
  <c r="E166" i="9"/>
  <c r="F166" i="9"/>
  <c r="G166" i="9"/>
  <c r="H166" i="9"/>
  <c r="I166" i="9"/>
  <c r="J166" i="9"/>
  <c r="A167" i="9"/>
  <c r="B167" i="9"/>
  <c r="C167" i="9"/>
  <c r="D167" i="9"/>
  <c r="E167" i="9"/>
  <c r="F167" i="9"/>
  <c r="G167" i="9"/>
  <c r="H167" i="9"/>
  <c r="I167" i="9"/>
  <c r="J167" i="9"/>
  <c r="A168" i="9"/>
  <c r="B168" i="9"/>
  <c r="C168" i="9"/>
  <c r="D168" i="9"/>
  <c r="E168" i="9"/>
  <c r="F168" i="9"/>
  <c r="G168" i="9"/>
  <c r="H168" i="9"/>
  <c r="I168" i="9"/>
  <c r="J168" i="9"/>
  <c r="A169" i="9"/>
  <c r="B169" i="9"/>
  <c r="C169" i="9"/>
  <c r="D169" i="9"/>
  <c r="E169" i="9"/>
  <c r="F169" i="9"/>
  <c r="G169" i="9"/>
  <c r="H169" i="9"/>
  <c r="I169" i="9"/>
  <c r="J169" i="9"/>
  <c r="A170" i="9"/>
  <c r="B170" i="9"/>
  <c r="C170" i="9"/>
  <c r="D170" i="9"/>
  <c r="E170" i="9"/>
  <c r="F170" i="9"/>
  <c r="G170" i="9"/>
  <c r="H170" i="9"/>
  <c r="I170" i="9"/>
  <c r="J170" i="9"/>
  <c r="A171" i="9"/>
  <c r="B171" i="9"/>
  <c r="C171" i="9"/>
  <c r="D171" i="9"/>
  <c r="E171" i="9"/>
  <c r="F171" i="9"/>
  <c r="G171" i="9"/>
  <c r="H171" i="9"/>
  <c r="I171" i="9"/>
  <c r="J171" i="9"/>
  <c r="A172" i="9"/>
  <c r="B172" i="9"/>
  <c r="C172" i="9"/>
  <c r="D172" i="9"/>
  <c r="E172" i="9"/>
  <c r="F172" i="9"/>
  <c r="G172" i="9"/>
  <c r="H172" i="9"/>
  <c r="I172" i="9"/>
  <c r="J172" i="9"/>
  <c r="A173" i="9"/>
  <c r="B173" i="9"/>
  <c r="C173" i="9"/>
  <c r="D173" i="9"/>
  <c r="E173" i="9"/>
  <c r="F173" i="9"/>
  <c r="G173" i="9"/>
  <c r="H173" i="9"/>
  <c r="I173" i="9"/>
  <c r="J173" i="9"/>
  <c r="A174" i="9"/>
  <c r="B174" i="9"/>
  <c r="C174" i="9"/>
  <c r="D174" i="9"/>
  <c r="E174" i="9"/>
  <c r="F174" i="9"/>
  <c r="G174" i="9"/>
  <c r="H174" i="9"/>
  <c r="I174" i="9"/>
  <c r="J174" i="9"/>
  <c r="A175" i="9"/>
  <c r="B175" i="9"/>
  <c r="C175" i="9"/>
  <c r="D175" i="9"/>
  <c r="E175" i="9"/>
  <c r="F175" i="9"/>
  <c r="G175" i="9"/>
  <c r="H175" i="9"/>
  <c r="I175" i="9"/>
  <c r="J175" i="9"/>
  <c r="A176" i="9"/>
  <c r="B176" i="9"/>
  <c r="C176" i="9"/>
  <c r="D176" i="9"/>
  <c r="E176" i="9"/>
  <c r="F176" i="9"/>
  <c r="G176" i="9"/>
  <c r="H176" i="9"/>
  <c r="I176" i="9"/>
  <c r="J176" i="9"/>
  <c r="A177" i="9"/>
  <c r="B177" i="9"/>
  <c r="C177" i="9"/>
  <c r="D177" i="9"/>
  <c r="E177" i="9"/>
  <c r="F177" i="9"/>
  <c r="G177" i="9"/>
  <c r="H177" i="9"/>
  <c r="I177" i="9"/>
  <c r="J177" i="9"/>
  <c r="A178" i="9"/>
  <c r="B178" i="9"/>
  <c r="C178" i="9"/>
  <c r="D178" i="9"/>
  <c r="E178" i="9"/>
  <c r="F178" i="9"/>
  <c r="G178" i="9"/>
  <c r="H178" i="9"/>
  <c r="I178" i="9"/>
  <c r="J178" i="9"/>
  <c r="A179" i="9"/>
  <c r="B179" i="9"/>
  <c r="C179" i="9"/>
  <c r="D179" i="9"/>
  <c r="E179" i="9"/>
  <c r="F179" i="9"/>
  <c r="G179" i="9"/>
  <c r="H179" i="9"/>
  <c r="I179" i="9"/>
  <c r="J179" i="9"/>
  <c r="A180" i="9"/>
  <c r="B180" i="9"/>
  <c r="C180" i="9"/>
  <c r="D180" i="9"/>
  <c r="E180" i="9"/>
  <c r="F180" i="9"/>
  <c r="G180" i="9"/>
  <c r="H180" i="9"/>
  <c r="I180" i="9"/>
  <c r="J180" i="9"/>
  <c r="A181" i="9"/>
  <c r="B181" i="9"/>
  <c r="C181" i="9"/>
  <c r="D181" i="9"/>
  <c r="E181" i="9"/>
  <c r="F181" i="9"/>
  <c r="G181" i="9"/>
  <c r="H181" i="9"/>
  <c r="I181" i="9"/>
  <c r="J181" i="9"/>
  <c r="A182" i="9"/>
  <c r="B182" i="9"/>
  <c r="C182" i="9"/>
  <c r="D182" i="9"/>
  <c r="E182" i="9"/>
  <c r="F182" i="9"/>
  <c r="G182" i="9"/>
  <c r="H182" i="9"/>
  <c r="I182" i="9"/>
  <c r="J182" i="9"/>
  <c r="A183" i="9"/>
  <c r="B183" i="9"/>
  <c r="C183" i="9"/>
  <c r="D183" i="9"/>
  <c r="E183" i="9"/>
  <c r="F183" i="9"/>
  <c r="G183" i="9"/>
  <c r="H183" i="9"/>
  <c r="I183" i="9"/>
  <c r="J183" i="9"/>
  <c r="A184" i="9"/>
  <c r="B184" i="9"/>
  <c r="C184" i="9"/>
  <c r="D184" i="9"/>
  <c r="E184" i="9"/>
  <c r="F184" i="9"/>
  <c r="G184" i="9"/>
  <c r="H184" i="9"/>
  <c r="I184" i="9"/>
  <c r="J184" i="9"/>
  <c r="A185" i="9"/>
  <c r="B185" i="9"/>
  <c r="C185" i="9"/>
  <c r="D185" i="9"/>
  <c r="E185" i="9"/>
  <c r="F185" i="9"/>
  <c r="G185" i="9"/>
  <c r="H185" i="9"/>
  <c r="I185" i="9"/>
  <c r="J185" i="9"/>
  <c r="A186" i="9"/>
  <c r="B186" i="9"/>
  <c r="C186" i="9"/>
  <c r="D186" i="9"/>
  <c r="E186" i="9"/>
  <c r="F186" i="9"/>
  <c r="G186" i="9"/>
  <c r="H186" i="9"/>
  <c r="I186" i="9"/>
  <c r="J186" i="9"/>
  <c r="A187" i="9"/>
  <c r="B187" i="9"/>
  <c r="C187" i="9"/>
  <c r="D187" i="9"/>
  <c r="E187" i="9"/>
  <c r="F187" i="9"/>
  <c r="G187" i="9"/>
  <c r="H187" i="9"/>
  <c r="I187" i="9"/>
  <c r="J187" i="9"/>
  <c r="A188" i="9"/>
  <c r="B188" i="9"/>
  <c r="C188" i="9"/>
  <c r="D188" i="9"/>
  <c r="E188" i="9"/>
  <c r="F188" i="9"/>
  <c r="G188" i="9"/>
  <c r="H188" i="9"/>
  <c r="I188" i="9"/>
  <c r="J188" i="9"/>
  <c r="A189" i="9"/>
  <c r="B189" i="9"/>
  <c r="C189" i="9"/>
  <c r="D189" i="9"/>
  <c r="E189" i="9"/>
  <c r="F189" i="9"/>
  <c r="G189" i="9"/>
  <c r="H189" i="9"/>
  <c r="I189" i="9"/>
  <c r="J189" i="9"/>
  <c r="A190" i="9"/>
  <c r="B190" i="9"/>
  <c r="C190" i="9"/>
  <c r="D190" i="9"/>
  <c r="E190" i="9"/>
  <c r="F190" i="9"/>
  <c r="G190" i="9"/>
  <c r="H190" i="9"/>
  <c r="I190" i="9"/>
  <c r="J190" i="9"/>
  <c r="A191" i="9"/>
  <c r="B191" i="9"/>
  <c r="C191" i="9"/>
  <c r="D191" i="9"/>
  <c r="E191" i="9"/>
  <c r="F191" i="9"/>
  <c r="G191" i="9"/>
  <c r="H191" i="9"/>
  <c r="I191" i="9"/>
  <c r="J191" i="9"/>
  <c r="A192" i="9"/>
  <c r="B192" i="9"/>
  <c r="C192" i="9"/>
  <c r="D192" i="9"/>
  <c r="E192" i="9"/>
  <c r="F192" i="9"/>
  <c r="G192" i="9"/>
  <c r="H192" i="9"/>
  <c r="I192" i="9"/>
  <c r="J192" i="9"/>
  <c r="AA83" i="3"/>
  <c r="AB83" i="3"/>
  <c r="AC83" i="3"/>
  <c r="AA159" i="3"/>
  <c r="AB159" i="3"/>
  <c r="AC159" i="3"/>
  <c r="AA212" i="3"/>
  <c r="AB212" i="3"/>
  <c r="AC212" i="3"/>
  <c r="AA211" i="3"/>
  <c r="AB211" i="3"/>
  <c r="AC211" i="3"/>
  <c r="AA158" i="3"/>
  <c r="AB158" i="3"/>
  <c r="AC158" i="3"/>
  <c r="AA82" i="3"/>
  <c r="AB82" i="3"/>
  <c r="AC82" i="3"/>
  <c r="AA210" i="3"/>
  <c r="AB210" i="3"/>
  <c r="AC210" i="3"/>
  <c r="AA214" i="3"/>
  <c r="AB214" i="3"/>
  <c r="AC214" i="3"/>
  <c r="AA213" i="3"/>
  <c r="AB213" i="3"/>
  <c r="AC213" i="3"/>
  <c r="AA81" i="3"/>
  <c r="AB81" i="3"/>
  <c r="AC81" i="3"/>
  <c r="AA111" i="3"/>
  <c r="AB111" i="3"/>
  <c r="AC111" i="3"/>
  <c r="AB78" i="3"/>
  <c r="AC78" i="3" s="1"/>
  <c r="AA78" i="3"/>
  <c r="AA222" i="3"/>
  <c r="AB222" i="3"/>
  <c r="AC222" i="3"/>
  <c r="AA208" i="3"/>
  <c r="AB208" i="3"/>
  <c r="AC208" i="3"/>
  <c r="AB157" i="3"/>
  <c r="AC157" i="3" s="1"/>
  <c r="AA157" i="3"/>
  <c r="AB86" i="3"/>
  <c r="AC86" i="3" s="1"/>
  <c r="AA86" i="3"/>
  <c r="AA77" i="3"/>
  <c r="AB77" i="3"/>
  <c r="AC77" i="3"/>
  <c r="AA76" i="3"/>
  <c r="AB76" i="3"/>
  <c r="AC76" i="3"/>
  <c r="AA75" i="3"/>
  <c r="AB75" i="3"/>
  <c r="AC75" i="3"/>
  <c r="AA74" i="3"/>
  <c r="AB74" i="3"/>
  <c r="AC74" i="3"/>
  <c r="AA73" i="3"/>
  <c r="AB73" i="3"/>
  <c r="AC73" i="3"/>
  <c r="AB215" i="3"/>
  <c r="AC215" i="3" s="1"/>
  <c r="AA215" i="3"/>
  <c r="AA72" i="3"/>
  <c r="AB72" i="3"/>
  <c r="AC72" i="3"/>
  <c r="AA95" i="3"/>
  <c r="AB95" i="3"/>
  <c r="AC95" i="3"/>
  <c r="AA103" i="3"/>
  <c r="AB103" i="3"/>
  <c r="AC103" i="3"/>
  <c r="AA71" i="3"/>
  <c r="AB71" i="3"/>
  <c r="AC71" i="3"/>
  <c r="AA105" i="3"/>
  <c r="AB105" i="3"/>
  <c r="AC105" i="3"/>
  <c r="AA104" i="3"/>
  <c r="AB104" i="3"/>
  <c r="AC104" i="3"/>
  <c r="A110" i="9"/>
  <c r="B110" i="9"/>
  <c r="C110" i="9"/>
  <c r="D110" i="9"/>
  <c r="E110" i="9"/>
  <c r="F110" i="9"/>
  <c r="G110" i="9"/>
  <c r="H110" i="9"/>
  <c r="I110" i="9"/>
  <c r="J110" i="9"/>
  <c r="K110" i="9"/>
  <c r="A111" i="9"/>
  <c r="B111" i="9"/>
  <c r="C111" i="9"/>
  <c r="D111" i="9"/>
  <c r="E111" i="9"/>
  <c r="F111" i="9"/>
  <c r="G111" i="9"/>
  <c r="H111" i="9"/>
  <c r="I111" i="9"/>
  <c r="J111" i="9"/>
  <c r="K111" i="9"/>
  <c r="A112" i="9"/>
  <c r="B112" i="9"/>
  <c r="C112" i="9"/>
  <c r="D112" i="9"/>
  <c r="E112" i="9"/>
  <c r="F112" i="9"/>
  <c r="G112" i="9"/>
  <c r="H112" i="9"/>
  <c r="I112" i="9"/>
  <c r="J112" i="9"/>
  <c r="K112" i="9"/>
  <c r="A113" i="9"/>
  <c r="B113" i="9"/>
  <c r="C113" i="9"/>
  <c r="D113" i="9"/>
  <c r="E113" i="9"/>
  <c r="F113" i="9"/>
  <c r="G113" i="9"/>
  <c r="H113" i="9"/>
  <c r="I113" i="9"/>
  <c r="J113" i="9"/>
  <c r="K113" i="9"/>
  <c r="A114" i="9"/>
  <c r="B114" i="9"/>
  <c r="C114" i="9"/>
  <c r="D114" i="9"/>
  <c r="E114" i="9"/>
  <c r="F114" i="9"/>
  <c r="G114" i="9"/>
  <c r="H114" i="9"/>
  <c r="I114" i="9"/>
  <c r="J114" i="9"/>
  <c r="K114" i="9"/>
  <c r="A115" i="9"/>
  <c r="B115" i="9"/>
  <c r="C115" i="9"/>
  <c r="D115" i="9"/>
  <c r="E115" i="9"/>
  <c r="F115" i="9"/>
  <c r="G115" i="9"/>
  <c r="H115" i="9"/>
  <c r="I115" i="9"/>
  <c r="J115" i="9"/>
  <c r="K115" i="9"/>
  <c r="A116" i="9"/>
  <c r="B116" i="9"/>
  <c r="C116" i="9"/>
  <c r="D116" i="9"/>
  <c r="E116" i="9"/>
  <c r="F116" i="9"/>
  <c r="G116" i="9"/>
  <c r="H116" i="9"/>
  <c r="I116" i="9"/>
  <c r="J116" i="9"/>
  <c r="K116" i="9"/>
  <c r="A117" i="9"/>
  <c r="B117" i="9"/>
  <c r="C117" i="9"/>
  <c r="D117" i="9"/>
  <c r="E117" i="9"/>
  <c r="F117" i="9"/>
  <c r="G117" i="9"/>
  <c r="H117" i="9"/>
  <c r="I117" i="9"/>
  <c r="J117" i="9"/>
  <c r="K117" i="9"/>
  <c r="A118" i="9"/>
  <c r="B118" i="9"/>
  <c r="C118" i="9"/>
  <c r="D118" i="9"/>
  <c r="E118" i="9"/>
  <c r="F118" i="9"/>
  <c r="G118" i="9"/>
  <c r="H118" i="9"/>
  <c r="I118" i="9"/>
  <c r="J118" i="9"/>
  <c r="K118" i="9"/>
  <c r="A119" i="9"/>
  <c r="B119" i="9"/>
  <c r="C119" i="9"/>
  <c r="D119" i="9"/>
  <c r="E119" i="9"/>
  <c r="F119" i="9"/>
  <c r="G119" i="9"/>
  <c r="H119" i="9"/>
  <c r="I119" i="9"/>
  <c r="J119" i="9"/>
  <c r="K119" i="9"/>
  <c r="A120" i="9"/>
  <c r="B120" i="9"/>
  <c r="C120" i="9"/>
  <c r="D120" i="9"/>
  <c r="E120" i="9"/>
  <c r="F120" i="9"/>
  <c r="G120" i="9"/>
  <c r="H120" i="9"/>
  <c r="I120" i="9"/>
  <c r="J120" i="9"/>
  <c r="K120" i="9"/>
  <c r="A121" i="9"/>
  <c r="B121" i="9"/>
  <c r="C121" i="9"/>
  <c r="D121" i="9"/>
  <c r="E121" i="9"/>
  <c r="F121" i="9"/>
  <c r="G121" i="9"/>
  <c r="H121" i="9"/>
  <c r="I121" i="9"/>
  <c r="J121" i="9"/>
  <c r="K121" i="9"/>
  <c r="A122" i="9"/>
  <c r="B122" i="9"/>
  <c r="C122" i="9"/>
  <c r="D122" i="9"/>
  <c r="E122" i="9"/>
  <c r="F122" i="9"/>
  <c r="G122" i="9"/>
  <c r="H122" i="9"/>
  <c r="I122" i="9"/>
  <c r="J122" i="9"/>
  <c r="K122" i="9"/>
  <c r="A123" i="9"/>
  <c r="B123" i="9"/>
  <c r="C123" i="9"/>
  <c r="D123" i="9"/>
  <c r="E123" i="9"/>
  <c r="F123" i="9"/>
  <c r="G123" i="9"/>
  <c r="H123" i="9"/>
  <c r="I123" i="9"/>
  <c r="J123" i="9"/>
  <c r="K123" i="9"/>
  <c r="A124" i="9"/>
  <c r="B124" i="9"/>
  <c r="C124" i="9"/>
  <c r="D124" i="9"/>
  <c r="E124" i="9"/>
  <c r="F124" i="9"/>
  <c r="G124" i="9"/>
  <c r="H124" i="9"/>
  <c r="I124" i="9"/>
  <c r="J124" i="9"/>
  <c r="K124" i="9"/>
  <c r="A125" i="9"/>
  <c r="B125" i="9"/>
  <c r="C125" i="9"/>
  <c r="D125" i="9"/>
  <c r="E125" i="9"/>
  <c r="F125" i="9"/>
  <c r="G125" i="9"/>
  <c r="H125" i="9"/>
  <c r="I125" i="9"/>
  <c r="J125" i="9"/>
  <c r="K125" i="9"/>
  <c r="A126" i="9"/>
  <c r="B126" i="9"/>
  <c r="C126" i="9"/>
  <c r="D126" i="9"/>
  <c r="E126" i="9"/>
  <c r="F126" i="9"/>
  <c r="G126" i="9"/>
  <c r="H126" i="9"/>
  <c r="I126" i="9"/>
  <c r="J126" i="9"/>
  <c r="K126" i="9"/>
  <c r="A127" i="9"/>
  <c r="B127" i="9"/>
  <c r="C127" i="9"/>
  <c r="D127" i="9"/>
  <c r="E127" i="9"/>
  <c r="F127" i="9"/>
  <c r="G127" i="9"/>
  <c r="H127" i="9"/>
  <c r="I127" i="9"/>
  <c r="J127" i="9"/>
  <c r="K127" i="9"/>
  <c r="A128" i="9"/>
  <c r="B128" i="9"/>
  <c r="C128" i="9"/>
  <c r="D128" i="9"/>
  <c r="E128" i="9"/>
  <c r="F128" i="9"/>
  <c r="G128" i="9"/>
  <c r="H128" i="9"/>
  <c r="I128" i="9"/>
  <c r="J128" i="9"/>
  <c r="K128" i="9"/>
  <c r="A129" i="9"/>
  <c r="B129" i="9"/>
  <c r="C129" i="9"/>
  <c r="D129" i="9"/>
  <c r="E129" i="9"/>
  <c r="F129" i="9"/>
  <c r="G129" i="9"/>
  <c r="H129" i="9"/>
  <c r="I129" i="9"/>
  <c r="J129" i="9"/>
  <c r="K129" i="9"/>
  <c r="A130" i="9"/>
  <c r="B130" i="9"/>
  <c r="C130" i="9"/>
  <c r="D130" i="9"/>
  <c r="E130" i="9"/>
  <c r="F130" i="9"/>
  <c r="G130" i="9"/>
  <c r="H130" i="9"/>
  <c r="I130" i="9"/>
  <c r="J130" i="9"/>
  <c r="K130" i="9"/>
  <c r="A131" i="9"/>
  <c r="B131" i="9"/>
  <c r="C131" i="9"/>
  <c r="D131" i="9"/>
  <c r="E131" i="9"/>
  <c r="F131" i="9"/>
  <c r="G131" i="9"/>
  <c r="H131" i="9"/>
  <c r="I131" i="9"/>
  <c r="J131" i="9"/>
  <c r="K131" i="9"/>
  <c r="A132" i="9"/>
  <c r="B132" i="9"/>
  <c r="C132" i="9"/>
  <c r="D132" i="9"/>
  <c r="E132" i="9"/>
  <c r="F132" i="9"/>
  <c r="G132" i="9"/>
  <c r="H132" i="9"/>
  <c r="I132" i="9"/>
  <c r="J132" i="9"/>
  <c r="K132" i="9"/>
  <c r="A133" i="9"/>
  <c r="B133" i="9"/>
  <c r="C133" i="9"/>
  <c r="D133" i="9"/>
  <c r="E133" i="9"/>
  <c r="F133" i="9"/>
  <c r="G133" i="9"/>
  <c r="H133" i="9"/>
  <c r="I133" i="9"/>
  <c r="J133" i="9"/>
  <c r="K133" i="9"/>
  <c r="A134" i="9"/>
  <c r="B134" i="9"/>
  <c r="C134" i="9"/>
  <c r="D134" i="9"/>
  <c r="E134" i="9"/>
  <c r="F134" i="9"/>
  <c r="G134" i="9"/>
  <c r="H134" i="9"/>
  <c r="I134" i="9"/>
  <c r="J134" i="9"/>
  <c r="K134" i="9"/>
  <c r="A135" i="9"/>
  <c r="B135" i="9"/>
  <c r="C135" i="9"/>
  <c r="D135" i="9"/>
  <c r="E135" i="9"/>
  <c r="F135" i="9"/>
  <c r="G135" i="9"/>
  <c r="H135" i="9"/>
  <c r="I135" i="9"/>
  <c r="J135" i="9"/>
  <c r="K135" i="9"/>
  <c r="A136" i="9"/>
  <c r="B136" i="9"/>
  <c r="C136" i="9"/>
  <c r="D136" i="9"/>
  <c r="E136" i="9"/>
  <c r="F136" i="9"/>
  <c r="G136" i="9"/>
  <c r="H136" i="9"/>
  <c r="I136" i="9"/>
  <c r="J136" i="9"/>
  <c r="K136" i="9"/>
  <c r="A137" i="9"/>
  <c r="B137" i="9"/>
  <c r="C137" i="9"/>
  <c r="D137" i="9"/>
  <c r="E137" i="9"/>
  <c r="F137" i="9"/>
  <c r="G137" i="9"/>
  <c r="H137" i="9"/>
  <c r="I137" i="9"/>
  <c r="J137" i="9"/>
  <c r="K137" i="9"/>
  <c r="A138" i="9"/>
  <c r="B138" i="9"/>
  <c r="C138" i="9"/>
  <c r="D138" i="9"/>
  <c r="E138" i="9"/>
  <c r="F138" i="9"/>
  <c r="G138" i="9"/>
  <c r="H138" i="9"/>
  <c r="I138" i="9"/>
  <c r="J138" i="9"/>
  <c r="K138" i="9"/>
  <c r="A139" i="9"/>
  <c r="B139" i="9"/>
  <c r="C139" i="9"/>
  <c r="D139" i="9"/>
  <c r="E139" i="9"/>
  <c r="F139" i="9"/>
  <c r="G139" i="9"/>
  <c r="H139" i="9"/>
  <c r="I139" i="9"/>
  <c r="J139" i="9"/>
  <c r="K139" i="9"/>
  <c r="A140" i="9"/>
  <c r="B140" i="9"/>
  <c r="C140" i="9"/>
  <c r="D140" i="9"/>
  <c r="E140" i="9"/>
  <c r="F140" i="9"/>
  <c r="G140" i="9"/>
  <c r="H140" i="9"/>
  <c r="I140" i="9"/>
  <c r="J140" i="9"/>
  <c r="K140" i="9"/>
  <c r="A141" i="9"/>
  <c r="B141" i="9"/>
  <c r="C141" i="9"/>
  <c r="D141" i="9"/>
  <c r="E141" i="9"/>
  <c r="F141" i="9"/>
  <c r="G141" i="9"/>
  <c r="H141" i="9"/>
  <c r="I141" i="9"/>
  <c r="J141" i="9"/>
  <c r="K141" i="9"/>
  <c r="A142" i="9"/>
  <c r="B142" i="9"/>
  <c r="C142" i="9"/>
  <c r="D142" i="9"/>
  <c r="E142" i="9"/>
  <c r="F142" i="9"/>
  <c r="G142" i="9"/>
  <c r="H142" i="9"/>
  <c r="I142" i="9"/>
  <c r="J142" i="9"/>
  <c r="K142" i="9"/>
  <c r="A143" i="9"/>
  <c r="B143" i="9"/>
  <c r="C143" i="9"/>
  <c r="D143" i="9"/>
  <c r="E143" i="9"/>
  <c r="F143" i="9"/>
  <c r="G143" i="9"/>
  <c r="H143" i="9"/>
  <c r="I143" i="9"/>
  <c r="J143" i="9"/>
  <c r="A144" i="9"/>
  <c r="B144" i="9"/>
  <c r="C144" i="9"/>
  <c r="D144" i="9"/>
  <c r="E144" i="9"/>
  <c r="F144" i="9"/>
  <c r="G144" i="9"/>
  <c r="H144" i="9"/>
  <c r="I144" i="9"/>
  <c r="J144" i="9"/>
  <c r="A145" i="9"/>
  <c r="B145" i="9"/>
  <c r="C145" i="9"/>
  <c r="D145" i="9"/>
  <c r="E145" i="9"/>
  <c r="F145" i="9"/>
  <c r="G145" i="9"/>
  <c r="H145" i="9"/>
  <c r="I145" i="9"/>
  <c r="J145" i="9"/>
  <c r="A146" i="9"/>
  <c r="B146" i="9"/>
  <c r="C146" i="9"/>
  <c r="D146" i="9"/>
  <c r="E146" i="9"/>
  <c r="F146" i="9"/>
  <c r="G146" i="9"/>
  <c r="H146" i="9"/>
  <c r="I146" i="9"/>
  <c r="J146" i="9"/>
  <c r="AB156" i="3"/>
  <c r="AC156" i="3" s="1"/>
  <c r="AA156" i="3"/>
  <c r="AB155" i="3"/>
  <c r="AC155" i="3" s="1"/>
  <c r="AA155" i="3"/>
  <c r="AA216" i="3"/>
  <c r="AB216" i="3"/>
  <c r="AC216" i="3"/>
  <c r="AA101" i="3"/>
  <c r="AB101" i="3"/>
  <c r="AC101" i="3"/>
  <c r="AB154" i="3"/>
  <c r="AC154" i="3" s="1"/>
  <c r="AA154" i="3"/>
  <c r="AB153" i="3"/>
  <c r="AC153" i="3" s="1"/>
  <c r="AA153" i="3"/>
  <c r="AA209" i="3"/>
  <c r="AB209" i="3"/>
  <c r="AC209" i="3"/>
  <c r="AB152" i="3"/>
  <c r="AC152" i="3" s="1"/>
  <c r="AA152" i="3"/>
  <c r="F38" i="6"/>
  <c r="I38" i="6"/>
  <c r="I107" i="9"/>
  <c r="I108" i="9"/>
  <c r="I109"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K3" i="9"/>
  <c r="J3" i="9"/>
  <c r="I3" i="9"/>
  <c r="K2" i="9"/>
  <c r="J2" i="9"/>
  <c r="I2"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4" i="9"/>
  <c r="I4" i="9"/>
  <c r="H109" i="9"/>
  <c r="F109" i="9"/>
  <c r="E109" i="9"/>
  <c r="D109" i="9"/>
  <c r="C6" i="8"/>
  <c r="B109" i="9"/>
  <c r="A109" i="9"/>
  <c r="AA171" i="3"/>
  <c r="AB171" i="3"/>
  <c r="AC171" i="3"/>
  <c r="AA150" i="3"/>
  <c r="AB150" i="3"/>
  <c r="AC150" i="3"/>
  <c r="AA149" i="3"/>
  <c r="AB149" i="3"/>
  <c r="AC149" i="3"/>
  <c r="AB148" i="3"/>
  <c r="AC148" i="3" s="1"/>
  <c r="AA148" i="3"/>
  <c r="AA147" i="3"/>
  <c r="AB147" i="3"/>
  <c r="AC147" i="3"/>
  <c r="I106" i="9"/>
  <c r="I105" i="9"/>
  <c r="I102" i="9"/>
  <c r="I101" i="9"/>
  <c r="I100" i="9"/>
  <c r="I99" i="9"/>
  <c r="I98" i="9"/>
  <c r="I97" i="9"/>
  <c r="I96" i="9"/>
  <c r="I95" i="9"/>
  <c r="I94" i="9"/>
  <c r="I93" i="9"/>
  <c r="I92" i="9"/>
  <c r="I91" i="9"/>
  <c r="I90" i="9"/>
  <c r="I88" i="9"/>
  <c r="I87" i="9"/>
  <c r="I86" i="9"/>
  <c r="I85" i="9"/>
  <c r="I84" i="9"/>
  <c r="I81" i="9"/>
  <c r="I83" i="9"/>
  <c r="I82" i="9"/>
  <c r="I80" i="9"/>
  <c r="I79" i="9"/>
  <c r="I78" i="9"/>
  <c r="I77" i="9"/>
  <c r="I75" i="9"/>
  <c r="I74" i="9"/>
  <c r="I73" i="9"/>
  <c r="I65" i="9"/>
  <c r="I66" i="9"/>
  <c r="I67" i="9"/>
  <c r="I68" i="9"/>
  <c r="I69" i="9"/>
  <c r="I70" i="9"/>
  <c r="I71" i="9"/>
  <c r="I72" i="9"/>
  <c r="I64" i="9"/>
  <c r="I63" i="9"/>
  <c r="I62" i="9"/>
  <c r="I61" i="9"/>
  <c r="I60" i="9"/>
  <c r="I50" i="9"/>
  <c r="I59" i="9"/>
  <c r="I58" i="9"/>
  <c r="I57" i="9"/>
  <c r="I56" i="9"/>
  <c r="I52" i="9"/>
  <c r="I49" i="9"/>
  <c r="I47" i="9"/>
  <c r="I46" i="9"/>
  <c r="I44" i="9"/>
  <c r="I45" i="9"/>
  <c r="I43" i="9"/>
  <c r="I42" i="9"/>
  <c r="I41" i="9"/>
  <c r="I39" i="9"/>
  <c r="I38" i="9"/>
  <c r="I37" i="9"/>
  <c r="I36" i="9"/>
  <c r="I35" i="9"/>
  <c r="I34" i="9"/>
  <c r="I33" i="9"/>
  <c r="I32" i="9"/>
  <c r="I31" i="9"/>
  <c r="I29" i="9"/>
  <c r="I28" i="9"/>
  <c r="I27" i="9"/>
  <c r="I25" i="9"/>
  <c r="I22" i="9"/>
  <c r="I20" i="9"/>
  <c r="I19" i="9"/>
  <c r="I17" i="9"/>
  <c r="I16" i="9"/>
  <c r="I15" i="9"/>
  <c r="I14" i="9"/>
  <c r="I13" i="9"/>
  <c r="I12" i="9"/>
  <c r="I11" i="9"/>
  <c r="I10" i="9"/>
  <c r="I9" i="9"/>
  <c r="I8" i="9"/>
  <c r="I7" i="9"/>
  <c r="I5"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I6" i="9"/>
  <c r="I18" i="9"/>
  <c r="I21" i="9"/>
  <c r="I23" i="9"/>
  <c r="I24" i="9"/>
  <c r="I26" i="9"/>
  <c r="I30" i="9"/>
  <c r="I40" i="9"/>
  <c r="I48" i="9"/>
  <c r="I51" i="9"/>
  <c r="I53" i="9"/>
  <c r="I54" i="9"/>
  <c r="I55" i="9"/>
  <c r="I76" i="9"/>
  <c r="I89" i="9"/>
  <c r="I103" i="9"/>
  <c r="I104" i="9"/>
  <c r="H3" i="9"/>
  <c r="H4" i="9"/>
  <c r="H5"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2"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3" i="9"/>
  <c r="G4" i="9"/>
  <c r="G5" i="9"/>
  <c r="G6" i="9"/>
  <c r="G7" i="9"/>
  <c r="G8" i="9"/>
  <c r="G9" i="9"/>
  <c r="G10" i="9"/>
  <c r="G11" i="9"/>
  <c r="G12" i="9"/>
  <c r="G13" i="9"/>
  <c r="G14" i="9"/>
  <c r="G15" i="9"/>
  <c r="G16" i="9"/>
  <c r="G17" i="9"/>
  <c r="G18" i="9"/>
  <c r="G19" i="9"/>
  <c r="G20" i="9"/>
  <c r="G21" i="9"/>
  <c r="G22" i="9"/>
  <c r="G23" i="9"/>
  <c r="G24"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2"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2" i="9"/>
  <c r="F47" i="6"/>
  <c r="L47" i="6"/>
  <c r="O47" i="6"/>
  <c r="AB172" i="3"/>
  <c r="AC172" i="3" s="1"/>
  <c r="AB173" i="3"/>
  <c r="AC173" i="3" s="1"/>
  <c r="AB114" i="3"/>
  <c r="AC114" i="3" s="1"/>
  <c r="AB167" i="3"/>
  <c r="AC167" i="3" s="1"/>
  <c r="AB99" i="3"/>
  <c r="AC99" i="3" s="1"/>
  <c r="AB217" i="3"/>
  <c r="AC217" i="3" s="1"/>
  <c r="AB168" i="3"/>
  <c r="AC168" i="3" s="1"/>
  <c r="AB115" i="3"/>
  <c r="AC115" i="3" s="1"/>
  <c r="AB116" i="3"/>
  <c r="AC116" i="3" s="1"/>
  <c r="AB117" i="3"/>
  <c r="AC117" i="3" s="1"/>
  <c r="AB118" i="3"/>
  <c r="AC118" i="3" s="1"/>
  <c r="AB119" i="3"/>
  <c r="AC119" i="3" s="1"/>
  <c r="AB120" i="3"/>
  <c r="AC120" i="3" s="1"/>
  <c r="AB174" i="3"/>
  <c r="AC174" i="3" s="1"/>
  <c r="AB121" i="3"/>
  <c r="AC121" i="3" s="1"/>
  <c r="AB122" i="3"/>
  <c r="AC122" i="3" s="1"/>
  <c r="AB169" i="3"/>
  <c r="AC169" i="3" s="1"/>
  <c r="AB123" i="3"/>
  <c r="AC123" i="3" s="1"/>
  <c r="AB175" i="3"/>
  <c r="AC175" i="3" s="1"/>
  <c r="AB176" i="3"/>
  <c r="AC176" i="3" s="1"/>
  <c r="AB177" i="3"/>
  <c r="AC177" i="3" s="1"/>
  <c r="AB178" i="3"/>
  <c r="AC178" i="3" s="1"/>
  <c r="AB179" i="3"/>
  <c r="AC179" i="3" s="1"/>
  <c r="AB93" i="3"/>
  <c r="AC93" i="3" s="1"/>
  <c r="AB180" i="3"/>
  <c r="AC180" i="3" s="1"/>
  <c r="AB181" i="3"/>
  <c r="AC181" i="3" s="1"/>
  <c r="AB124" i="3"/>
  <c r="AC124" i="3" s="1"/>
  <c r="AB90" i="3"/>
  <c r="AC90" i="3" s="1"/>
  <c r="AB182" i="3"/>
  <c r="AC182" i="3" s="1"/>
  <c r="AB125" i="3"/>
  <c r="AC125" i="3" s="1"/>
  <c r="AB183" i="3"/>
  <c r="AC183" i="3" s="1"/>
  <c r="AB126" i="3"/>
  <c r="AC126" i="3" s="1"/>
  <c r="AB184" i="3"/>
  <c r="AC184" i="3" s="1"/>
  <c r="AB127" i="3"/>
  <c r="AC127" i="3" s="1"/>
  <c r="AB128" i="3"/>
  <c r="AC128" i="3" s="1"/>
  <c r="AB185" i="3"/>
  <c r="AC185" i="3" s="1"/>
  <c r="AB129" i="3"/>
  <c r="AC129" i="3" s="1"/>
  <c r="AB130" i="3"/>
  <c r="AC130" i="3" s="1"/>
  <c r="AB131" i="3"/>
  <c r="AC131" i="3" s="1"/>
  <c r="AB132" i="3"/>
  <c r="AC132" i="3" s="1"/>
  <c r="AB166" i="3"/>
  <c r="AC166" i="3" s="1"/>
  <c r="AB186" i="3"/>
  <c r="AC186" i="3" s="1"/>
  <c r="AB187" i="3"/>
  <c r="AC187" i="3" s="1"/>
  <c r="AB188" i="3"/>
  <c r="AC188" i="3" s="1"/>
  <c r="AB108" i="3"/>
  <c r="AC108" i="3" s="1"/>
  <c r="AB189" i="3"/>
  <c r="AC189" i="3" s="1"/>
  <c r="AB190" i="3"/>
  <c r="AC190" i="3" s="1"/>
  <c r="AB191" i="3"/>
  <c r="AC191" i="3" s="1"/>
  <c r="AB91" i="3"/>
  <c r="AC91" i="3" s="1"/>
  <c r="AB192" i="3"/>
  <c r="AC192" i="3" s="1"/>
  <c r="AB133" i="3"/>
  <c r="AC133" i="3" s="1"/>
  <c r="AB193" i="3"/>
  <c r="AC193" i="3" s="1"/>
  <c r="AB194" i="3"/>
  <c r="AC194" i="3" s="1"/>
  <c r="AB100" i="3"/>
  <c r="AC100" i="3" s="1"/>
  <c r="AB134" i="3"/>
  <c r="AC134" i="3" s="1"/>
  <c r="AB135" i="3"/>
  <c r="AC135" i="3" s="1"/>
  <c r="AB136" i="3"/>
  <c r="AC136" i="3" s="1"/>
  <c r="AB48" i="3"/>
  <c r="AC48" i="3" s="1"/>
  <c r="AB49" i="3"/>
  <c r="AC49" i="3" s="1"/>
  <c r="AB109" i="3"/>
  <c r="AC109" i="3" s="1"/>
  <c r="AB50" i="3"/>
  <c r="AC50" i="3" s="1"/>
  <c r="AB165" i="3"/>
  <c r="AC165" i="3" s="1"/>
  <c r="AB51" i="3"/>
  <c r="AC51" i="3" s="1"/>
  <c r="AB52" i="3"/>
  <c r="AC52" i="3" s="1"/>
  <c r="AB53" i="3"/>
  <c r="AC53" i="3" s="1"/>
  <c r="AB87" i="3"/>
  <c r="AC87" i="3" s="1"/>
  <c r="AB54" i="3"/>
  <c r="AC54" i="3" s="1"/>
  <c r="AB88" i="3"/>
  <c r="AC88" i="3" s="1"/>
  <c r="AB55" i="3"/>
  <c r="AC55" i="3" s="1"/>
  <c r="AB137" i="3"/>
  <c r="AC137" i="3" s="1"/>
  <c r="AB89" i="3"/>
  <c r="AC89" i="3" s="1"/>
  <c r="AB138" i="3"/>
  <c r="AC138" i="3" s="1"/>
  <c r="AB195" i="3"/>
  <c r="AC195" i="3" s="1"/>
  <c r="AB139" i="3"/>
  <c r="AC139" i="3" s="1"/>
  <c r="AB196" i="3"/>
  <c r="AC196" i="3" s="1"/>
  <c r="AB197" i="3"/>
  <c r="AC197" i="3" s="1"/>
  <c r="AB140" i="3"/>
  <c r="AC140" i="3" s="1"/>
  <c r="AB198" i="3"/>
  <c r="AC198" i="3" s="1"/>
  <c r="AB94" i="3"/>
  <c r="AC94" i="3" s="1"/>
  <c r="AB141" i="3"/>
  <c r="AC141" i="3" s="1"/>
  <c r="AB142" i="3"/>
  <c r="AC142" i="3" s="1"/>
  <c r="AB199" i="3"/>
  <c r="AC199" i="3" s="1"/>
  <c r="AB206" i="3"/>
  <c r="AC206" i="3" s="1"/>
  <c r="AB200" i="3"/>
  <c r="AC200" i="3" s="1"/>
  <c r="AB143" i="3"/>
  <c r="AC143" i="3" s="1"/>
  <c r="AB144" i="3"/>
  <c r="AC144" i="3" s="1"/>
  <c r="AB145" i="3"/>
  <c r="AC145" i="3" s="1"/>
  <c r="AB203" i="3"/>
  <c r="AC203" i="3" s="1"/>
  <c r="AB170" i="3"/>
  <c r="AC170" i="3" s="1"/>
  <c r="AB102" i="3"/>
  <c r="AC102" i="3" s="1"/>
  <c r="AB204" i="3"/>
  <c r="AC204" i="3" s="1"/>
  <c r="AB106" i="3"/>
  <c r="AC106" i="3" s="1"/>
  <c r="AB97" i="3"/>
  <c r="AC97" i="3" s="1"/>
  <c r="AB98" i="3"/>
  <c r="AC98" i="3" s="1"/>
  <c r="AB56" i="3"/>
  <c r="AC56" i="3" s="1"/>
  <c r="AB57" i="3"/>
  <c r="AC57" i="3" s="1"/>
  <c r="AB58" i="3"/>
  <c r="AC58" i="3" s="1"/>
  <c r="AB146" i="3"/>
  <c r="AC146" i="3" s="1"/>
  <c r="AB59" i="3"/>
  <c r="AC59" i="3" s="1"/>
  <c r="AB60" i="3"/>
  <c r="AC60" i="3" s="1"/>
  <c r="AB61" i="3"/>
  <c r="AC61" i="3" s="1"/>
  <c r="AB201" i="3"/>
  <c r="AC201" i="3" s="1"/>
  <c r="AB202" i="3"/>
  <c r="AC202" i="3" s="1"/>
  <c r="AB92" i="3"/>
  <c r="AC92" i="3" s="1"/>
  <c r="AB96" i="3"/>
  <c r="AC96" i="3" s="1"/>
  <c r="AB62" i="3"/>
  <c r="AC62" i="3" s="1"/>
  <c r="AB205" i="3"/>
  <c r="AC205" i="3" s="1"/>
  <c r="AB63" i="3"/>
  <c r="AC63" i="3" s="1"/>
  <c r="AB64" i="3"/>
  <c r="AC64" i="3" s="1"/>
  <c r="AB207" i="3"/>
  <c r="AC207" i="3" s="1"/>
  <c r="AB151" i="3"/>
  <c r="AC151" i="3" s="1"/>
  <c r="AA167" i="3"/>
  <c r="AA172" i="3"/>
  <c r="AA173" i="3"/>
  <c r="AA114" i="3"/>
  <c r="AA99" i="3"/>
  <c r="AA217" i="3"/>
  <c r="AA168" i="3"/>
  <c r="AA115" i="3"/>
  <c r="AA116" i="3"/>
  <c r="AA117" i="3"/>
  <c r="AA118" i="3"/>
  <c r="AA119" i="3"/>
  <c r="AA120" i="3"/>
  <c r="AA174" i="3"/>
  <c r="AA121" i="3"/>
  <c r="AA122" i="3"/>
  <c r="AA169" i="3"/>
  <c r="AA123" i="3"/>
  <c r="AA175" i="3"/>
  <c r="AA176" i="3"/>
  <c r="AA177" i="3"/>
  <c r="AA178" i="3"/>
  <c r="AA179" i="3"/>
  <c r="AA93" i="3"/>
  <c r="AA180" i="3"/>
  <c r="AA181" i="3"/>
  <c r="AA124" i="3"/>
  <c r="AA90" i="3"/>
  <c r="AA182" i="3"/>
  <c r="AA125" i="3"/>
  <c r="AA183" i="3"/>
  <c r="AA126" i="3"/>
  <c r="AA184" i="3"/>
  <c r="AA127" i="3"/>
  <c r="AA128" i="3"/>
  <c r="AA185" i="3"/>
  <c r="AA129" i="3"/>
  <c r="AA130" i="3"/>
  <c r="AA131" i="3"/>
  <c r="AA132" i="3"/>
  <c r="AA166" i="3"/>
  <c r="AA186" i="3"/>
  <c r="AA187" i="3"/>
  <c r="AA188" i="3"/>
  <c r="AA108" i="3"/>
  <c r="AA189" i="3"/>
  <c r="AA190" i="3"/>
  <c r="AA191" i="3"/>
  <c r="AA91" i="3"/>
  <c r="AA192" i="3"/>
  <c r="AA133" i="3"/>
  <c r="AA193" i="3"/>
  <c r="AA194" i="3"/>
  <c r="AA100" i="3"/>
  <c r="AA134" i="3"/>
  <c r="AA135" i="3"/>
  <c r="AA136" i="3"/>
  <c r="AA48" i="3"/>
  <c r="AA49" i="3"/>
  <c r="AA109" i="3"/>
  <c r="AA50" i="3"/>
  <c r="AA165" i="3"/>
  <c r="AA51" i="3"/>
  <c r="AA52" i="3"/>
  <c r="AA53" i="3"/>
  <c r="AA87" i="3"/>
  <c r="AA54" i="3"/>
  <c r="AA88" i="3"/>
  <c r="AA55" i="3"/>
  <c r="AA137" i="3"/>
  <c r="AA89" i="3"/>
  <c r="AA138" i="3"/>
  <c r="AA195" i="3"/>
  <c r="AA139" i="3"/>
  <c r="AA196" i="3"/>
  <c r="AA197" i="3"/>
  <c r="AA140" i="3"/>
  <c r="AA198" i="3"/>
  <c r="AA94" i="3"/>
  <c r="AA141" i="3"/>
  <c r="AA142" i="3"/>
  <c r="AA199" i="3"/>
  <c r="AA206" i="3"/>
  <c r="AA200" i="3"/>
  <c r="AA143" i="3"/>
  <c r="AA144" i="3"/>
  <c r="AA145" i="3"/>
  <c r="AA203" i="3"/>
  <c r="AA170" i="3"/>
  <c r="AA102" i="3"/>
  <c r="AA204" i="3"/>
  <c r="AA106" i="3"/>
  <c r="AA97" i="3"/>
  <c r="AA98" i="3"/>
  <c r="AA56" i="3"/>
  <c r="AA57" i="3"/>
  <c r="AA58" i="3"/>
  <c r="AA146" i="3"/>
  <c r="AA59" i="3"/>
  <c r="AA60" i="3"/>
  <c r="AA61" i="3"/>
  <c r="AA201" i="3"/>
  <c r="AA202" i="3"/>
  <c r="AA92" i="3"/>
  <c r="AA96" i="3"/>
  <c r="AA62" i="3"/>
  <c r="AA205" i="3"/>
  <c r="AA63" i="3"/>
  <c r="AA64" i="3"/>
  <c r="AA207" i="3"/>
  <c r="AA151" i="3"/>
  <c r="I47" i="6"/>
  <c r="O38" i="6"/>
  <c r="L38" i="6"/>
  <c r="D6" i="4"/>
  <c r="F6" i="4" s="1"/>
  <c r="H6" i="4" s="1"/>
  <c r="J6" i="4" s="1"/>
  <c r="L6" i="4" s="1"/>
  <c r="N6" i="4" s="1"/>
  <c r="B12" i="4"/>
  <c r="D12" i="4" s="1"/>
  <c r="F12" i="4" s="1"/>
  <c r="H12" i="4" s="1"/>
  <c r="J12" i="4" s="1"/>
  <c r="L12" i="4" s="1"/>
  <c r="N12" i="4" s="1"/>
  <c r="B18" i="4"/>
  <c r="D18" i="4" s="1"/>
  <c r="F18" i="4" s="1"/>
  <c r="H18" i="4" s="1"/>
  <c r="J18" i="4" s="1"/>
  <c r="L18" i="4" s="1"/>
  <c r="N18" i="4" s="1"/>
  <c r="B24" i="4"/>
  <c r="D24" i="4" s="1"/>
  <c r="F24" i="4" s="1"/>
  <c r="H24" i="4" s="1"/>
  <c r="J24" i="4" s="1"/>
  <c r="L24" i="4" s="1"/>
  <c r="N24" i="4" s="1"/>
  <c r="B30" i="4" s="1"/>
  <c r="D30" i="4" s="1"/>
  <c r="F30" i="4" s="1"/>
  <c r="C311"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14" i="8" l="1"/>
  <c r="C16" i="8"/>
  <c r="C15" i="8"/>
  <c r="C9" i="8"/>
  <c r="C17" i="8"/>
  <c r="C10" i="8"/>
  <c r="C18" i="8" l="1"/>
  <c r="C1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<sst xmlns="http://schemas.openxmlformats.org/spreadsheetml/2006/main" count="5941" uniqueCount="2081">
  <si>
    <t>Estado</t>
  </si>
  <si>
    <t>Descripción</t>
  </si>
  <si>
    <t>Prioridades</t>
  </si>
  <si>
    <t>Por hacer</t>
  </si>
  <si>
    <t>No iniciado. En Backlog</t>
  </si>
  <si>
    <t>En análisis Funcional</t>
  </si>
  <si>
    <t>En análisis y/o diseño</t>
  </si>
  <si>
    <t>En análisis Técnico</t>
  </si>
  <si>
    <t>En desarrollo</t>
  </si>
  <si>
    <t>En construcción</t>
  </si>
  <si>
    <t>QA</t>
  </si>
  <si>
    <t>En pruebas finales de sistemas</t>
  </si>
  <si>
    <t>UAT</t>
  </si>
  <si>
    <t>En prueba de usuario</t>
  </si>
  <si>
    <t>Para implementar</t>
  </si>
  <si>
    <t>En instalación en el ambiente de producción</t>
  </si>
  <si>
    <t>Cerrado</t>
  </si>
  <si>
    <t>Cuando el requerimiento se encuentra instalado</t>
  </si>
  <si>
    <t>Cancelado</t>
  </si>
  <si>
    <t>Cuando el requerimiento se descarta. Puede estar en cualquier estado existente.</t>
  </si>
  <si>
    <t>Suspendido</t>
  </si>
  <si>
    <t>Cuando el requerimiento se encuentra en los estados "En análisis", "En desarrollo", En Testing", "UAT" o "Para implementar".</t>
  </si>
  <si>
    <t>Implementado / Soporte</t>
  </si>
  <si>
    <t xml:space="preserve">Cuando se encuentra Implementado pero no cerrado. </t>
  </si>
  <si>
    <t>Validar estado</t>
  </si>
  <si>
    <t>Puede ser que se haya implemantado. Hay que validar si se solucionó</t>
  </si>
  <si>
    <t>A priorizar</t>
  </si>
  <si>
    <t>SAC debe priorizar</t>
  </si>
  <si>
    <t>A estimar</t>
  </si>
  <si>
    <t>Mantenimiento debe estimar esfuerzo</t>
  </si>
  <si>
    <t>A planificar</t>
  </si>
  <si>
    <t xml:space="preserve">Mantenimiento planificará ticket </t>
  </si>
  <si>
    <t>Planificado</t>
  </si>
  <si>
    <t>Ticket Planificado</t>
  </si>
  <si>
    <t>Tipo</t>
  </si>
  <si>
    <t>Clave</t>
  </si>
  <si>
    <t>Fecha solicitado</t>
  </si>
  <si>
    <t>Fecha finalizado</t>
  </si>
  <si>
    <t>Tarea princ</t>
  </si>
  <si>
    <t>Resumen</t>
  </si>
  <si>
    <t>Cliente</t>
  </si>
  <si>
    <t>Componente</t>
  </si>
  <si>
    <t>Asignada</t>
  </si>
  <si>
    <t>Area</t>
  </si>
  <si>
    <t>Informador</t>
  </si>
  <si>
    <t>Prioridad</t>
  </si>
  <si>
    <t>Sprint</t>
  </si>
  <si>
    <t>Fecha comprometida</t>
  </si>
  <si>
    <t>Comentario</t>
  </si>
  <si>
    <t>Tarea</t>
  </si>
  <si>
    <t>MAN-2</t>
  </si>
  <si>
    <t>RN SAA MAN-10283. Reporte histórico de premios mayores</t>
  </si>
  <si>
    <t>Rio Negro</t>
  </si>
  <si>
    <t>SAA</t>
  </si>
  <si>
    <t>Santiago Obregon</t>
  </si>
  <si>
    <t>SAC</t>
  </si>
  <si>
    <t>Maria Luz Britos</t>
  </si>
  <si>
    <t>Medium</t>
  </si>
  <si>
    <t>Finalizada</t>
  </si>
  <si>
    <t xml:space="preserve"> Sprint 4</t>
  </si>
  <si>
    <t>Subtarea</t>
  </si>
  <si>
    <t>MAN-3</t>
  </si>
  <si>
    <t>Analisis funcional</t>
  </si>
  <si>
    <t>Fabiana Vallejos</t>
  </si>
  <si>
    <t>MAN-4</t>
  </si>
  <si>
    <t>COR LOTEMOVIL MAN-10246. Listado de reporte login de agentes</t>
  </si>
  <si>
    <t>Corrientes</t>
  </si>
  <si>
    <t>Lotemovil</t>
  </si>
  <si>
    <t>MAN-5</t>
  </si>
  <si>
    <t>TDF SAA MAN-9935-Sprint 2 Validar fecha en carga de extracto por archivo</t>
  </si>
  <si>
    <t>Tierra del Fuego</t>
  </si>
  <si>
    <t>Claudia Saissac</t>
  </si>
  <si>
    <t>SAP</t>
  </si>
  <si>
    <t>MAN-6</t>
  </si>
  <si>
    <t>SLA SAA MAN-10330 - Sprint 4 - Modificar cáculo de Total Neto en M5/M9 de Sunmi</t>
  </si>
  <si>
    <t>Salta</t>
  </si>
  <si>
    <t>Solo debe restarse lo recaudado por medios digitales para que el total neto coincida con el físico</t>
  </si>
  <si>
    <t>MAN-7</t>
  </si>
  <si>
    <t>RN SAA MAN-9325 Patagonia Telebingo- Modificar forma de seleccion de cupon</t>
  </si>
  <si>
    <t>leandro guadagno</t>
  </si>
  <si>
    <t>Sistemas</t>
  </si>
  <si>
    <t>En procesos de pruebas. Pidieron ellos para que se pueda seleccionar el carton por nro de recupero</t>
  </si>
  <si>
    <t>MAN-8</t>
  </si>
  <si>
    <t>MAN-10263-Se solicita quitar el mail tecnoaccion@tecnoaccion.com.ar de la pagina de tecnoaccion.com.ar y se lo reemplace con un formulario de contacto</t>
  </si>
  <si>
    <t>Interno</t>
  </si>
  <si>
    <t>Web tecno</t>
  </si>
  <si>
    <t>MAN-9</t>
  </si>
  <si>
    <t>PMP SIGA MAN-9881-Sprint 3 Incorporación de los premios de Telekino en formato pre - impreso</t>
  </si>
  <si>
    <t>La Pampa</t>
  </si>
  <si>
    <t>Siga</t>
  </si>
  <si>
    <t>Necesita validar y luego realizar pruebas</t>
  </si>
  <si>
    <t>MAN-10</t>
  </si>
  <si>
    <t>MAN-9854-Sprint 2 - Templates de facturación manualmente en Netsuite y reportes en excel con detalle de las recaudaciones que toma FABI para facturar</t>
  </si>
  <si>
    <t>FABI</t>
  </si>
  <si>
    <t>MAN-11</t>
  </si>
  <si>
    <t>Analisis y Seguimiento. COR LOTEMOVIL. Listado de reporte login de agentes</t>
  </si>
  <si>
    <t>MAN-12</t>
  </si>
  <si>
    <t>SC SIGA MAN-10342. Implementar pago premios con retención en agencias</t>
  </si>
  <si>
    <t>Santa Cruz</t>
  </si>
  <si>
    <t xml:space="preserve"> Sprint 5</t>
  </si>
  <si>
    <t>MAN-13</t>
  </si>
  <si>
    <t>SDE SIGA MAN-10288. Carga de extractos sorteos de lotería santiagueña</t>
  </si>
  <si>
    <t>Sgo del Estero</t>
  </si>
  <si>
    <t>Hector Gabaldo</t>
  </si>
  <si>
    <t>Plantilla de siga. Se realizó corrección . Se espera validación del cliente y confirmación de SAC.</t>
  </si>
  <si>
    <t>MAN-14</t>
  </si>
  <si>
    <t>NQN MAN-10245-PROGRAMA PREMIOS FIN DE FIESTAS 2025</t>
  </si>
  <si>
    <t>Neuquen</t>
  </si>
  <si>
    <t>Speta</t>
  </si>
  <si>
    <t>PROVINCIA
Neuquén 
APLICACIÓN
Speta
DESCRIPCIÓN
Se requiere programar los valores para la adjudicación del sorteo de fin de fiestas en Speta.
Sorteo : 2570
Fecha de sorteo : 18/01/2025
5 partes de $1.000
Importe mínimo : $ 1.000
Importe máximo : $ 5.000
IMPACTO
El impacto es alto , premiación del sorteo especial de fin de fiestas.
DETALLES DE DESPLIEGUE
Implica la actualización de las tablas de la base de datos del Speta :
Tabla : lote.lo_programa_de_premios
Para n_progra = 7
Campo : i_minimo = 1000
Campo : i_maximo = 5000</t>
  </si>
  <si>
    <t>MAN-15</t>
  </si>
  <si>
    <t>NQN MAN-10244 PROGRAMA PREMIOS REYES 2025</t>
  </si>
  <si>
    <t>PROVINCIA
Neuquén 
APLICACIÓN
Speta 
DESCRIPCIÓN
Se requiere programar los valores para la adjudicacion del sorteo de reyes en Speta.
Sorteo : 2569
Fecha de sorteo : 11/01/2025
5 partes de $2.000
Importe mínimo : $ 2.000
Importe máximo : $ 10.000 
IMPACTO
El impacto es alto , premiación del sorteo especial de reyes. 
DETALLES DE DESPLIEGUE
Implica la actualización de las tablas de la base de datos del Speta :
Tabla : lote.lo_programa_de_premios
Para n_progra = 6
Campo : i_minimo = 2000
Campo : i_maximo = 10000 
FECHA SUGERIDA DE DESPLIEGUE
A disponer por el área según recursos y disponibilidad.
La fecha de la actualización deberá ser anterior a la fecha del sorteo : 11 de Enero de 2025.</t>
  </si>
  <si>
    <t>MAN-16</t>
  </si>
  <si>
    <t>SLA LOTLINE MAN-10336. Activar solicitud ingreso de CUIL a usuarios</t>
  </si>
  <si>
    <t>Lotline</t>
  </si>
  <si>
    <t>Sale de mantenimiento y pasa a proyecto</t>
  </si>
  <si>
    <t>MAN-17</t>
  </si>
  <si>
    <t>SLA LOTLINE MAN-10146- Sprint 5 - Agregar en página Lotline opción de descarga de la aplicación.</t>
  </si>
  <si>
    <t>MAN-18</t>
  </si>
  <si>
    <t>COR NOGA MAN-10139. Agregar columna con nombre de juego</t>
  </si>
  <si>
    <t>Noga</t>
  </si>
  <si>
    <t xml:space="preserve"> Sprint 6</t>
  </si>
  <si>
    <t>MAN-19</t>
  </si>
  <si>
    <t>Analisis, Seguimiento y prueba.</t>
  </si>
  <si>
    <t>MAN-20</t>
  </si>
  <si>
    <t xml:space="preserve">PMP MAN-10345 SGC carga de ejercicio 2025 </t>
  </si>
  <si>
    <t>SCG</t>
  </si>
  <si>
    <t>No aparece el ejercicio nuevo 2025.
Todos los años se carga un ejercicio nuevo para SGC . Se crea Ejercicio nuevo y periodo.</t>
  </si>
  <si>
    <t>MAN-21</t>
  </si>
  <si>
    <t>Análisis funcional. Modificación en Página Tecnoacción.</t>
  </si>
  <si>
    <t>MAN-22</t>
  </si>
  <si>
    <t>Analisis y Seguimiento. SC SIGA. Implementar pago premios con retención en agencias</t>
  </si>
  <si>
    <t>MAN-23</t>
  </si>
  <si>
    <t>Implementar</t>
  </si>
  <si>
    <t>MAN-24</t>
  </si>
  <si>
    <t>MAN-25</t>
  </si>
  <si>
    <t>SC SIGA. Retenciones de sorteos extaordinarios unificada</t>
  </si>
  <si>
    <t>Lotería de Santa Cruz solicita no aplicar retenciones a los premios que recuperan el valor del entero al igual que se hizo en Neuquén y Rio Negro</t>
  </si>
  <si>
    <t>MAN-26</t>
  </si>
  <si>
    <t>NQN LOTLINE. Análisis por bug en carga de stock de lotería</t>
  </si>
  <si>
    <t>A partir de un pedido de C.Lopez de tener todos los juegos disponibles para jugar en la plataforma Lotline se encontró un error que no trae billetes de "Lotería".
El bug se encontró en el "appService" que no soporta letras en el stock cargado.
A.Iribarren estuvo y está trabajando desde principio de la semana del 09/12.
Ambiente de prueba:
http://humberto.tecnoaccion.com.ar:8080/feweb206LOTLINENQNFULL
https://testnqn.tecnoaccion.com.ar.</t>
  </si>
  <si>
    <t>MAN-27</t>
  </si>
  <si>
    <t>Analisis y Seguimiento. APPService - Análisis por bug en carga de stock de lotería.</t>
  </si>
  <si>
    <t>En curso</t>
  </si>
  <si>
    <t>*Analisis y Seguimiento. APPService - Análisis por bug en carga de stock de lotería*</t>
  </si>
  <si>
    <t>MAN-28</t>
  </si>
  <si>
    <t>Análisis y Desarrollo por bug en carga de stock de lotería.</t>
  </si>
  <si>
    <t>Alexis Gutierrez</t>
  </si>
  <si>
    <t>MAN-29</t>
  </si>
  <si>
    <t>SLA PREJUEGO. Trackeo de boton compartir de Whatsapp.</t>
  </si>
  <si>
    <t>Prejuego</t>
  </si>
  <si>
    <t>Salta solicita incorporar el trackeo del botón compartir de whatsapp en plataforma Prejuego.</t>
  </si>
  <si>
    <t>MAN-30</t>
  </si>
  <si>
    <t>Prueba e implementación</t>
  </si>
  <si>
    <t>hector Gabaldo</t>
  </si>
  <si>
    <t>JIRA
https://tecnoproyectos.atlassian.net/browse/MAN-25  
SUBTAREA
https://tecnoproyectos.atlassian.net/browse/MAN-30  
PROVINCIA
Santa Cruz 
APLICACIÓN
Base de datos Oracle Santa Cruz.
DESCRIPCIÓN
Actualizar versión de base de datos SAA productivas de :
Versión 78_04 a la 78_05. 
IMPACTO
El impacto es alto, a fin de actualizar base de datos para  modificar la forma del calculo de retenciones en Front-end y Siga.
Provincia de Santa Cruz. 
DETALLES
Coordinar actualización con el área de infraestructura. 
FECHA SUGERIDA DE DESPLIEGUE
A disponer por el área según recursos y disponibilidad.
La fecha de la actualización deberá ser anterior al Sábado 04/01/2025.</t>
  </si>
  <si>
    <t>MAN-31</t>
  </si>
  <si>
    <t>COR SAA. No salen los importes de cupones a caducar en consulta de TJ.</t>
  </si>
  <si>
    <t>En el ticket de la consulta Premios a caducar en agencia de TJ no salen los importes de los cupones a caducar.</t>
  </si>
  <si>
    <t>MAN-32</t>
  </si>
  <si>
    <t>NQN SGC. Cargar nuevo ejercicio 2025</t>
  </si>
  <si>
    <t>La contadora Adriana Durazzi del IJAN solicita la creación del ejercicio contable 2025 en SGC con exportación del plan de cuentas del 2024.</t>
  </si>
  <si>
    <t>MAN-33</t>
  </si>
  <si>
    <t>MAN-34</t>
  </si>
  <si>
    <t>JIRA
https://tecnoproyectos.atlassian.net/browse/MAN-25  
SUBTAREA
https://tecnoproyectos.atlassian.net/browse/MAN-34  
PROVINCIA
Santa Cruz 
APLICACIÓN
Siga
DESCRIPCIÓN
Se requiere actualizar SP de la aplicación Siga Santa Cruz
para contemplar cambios funcionales de premiación de sorteos extraordinarios 
IMPACTO
El impacto es alto, a fin de actualizar Siga para  modificar la forma del calculo de retenciones.
Provincias de Santa Cruz. 
DETALLES
Coordinar actualización con Ricardo Tejerina. 
FECHA SUGERIDA DE DESPLIEGUE
A disponer por el área según recursos y disponibilidad.
La fecha de la actualización deberá ser anterior al Sábado 04/01.</t>
  </si>
  <si>
    <t>MAN-35</t>
  </si>
  <si>
    <t>Analisis funcional. MAN-10139-COR NOGA. Agregar columna con nombre de juego</t>
  </si>
  <si>
    <t>MAN-36</t>
  </si>
  <si>
    <t>TDF LOTEMOVIL. Extracto Santa Fe se visualiza 2 veces</t>
  </si>
  <si>
    <t>El extracto de Santa Fe se muestra duplicado en resultados quiniela de Lotemóvil.</t>
  </si>
  <si>
    <t>Error</t>
  </si>
  <si>
    <t>MAN-37</t>
  </si>
  <si>
    <t>SDE SAA. Selección de listado minuta CC da error agregando agencia 1035.</t>
  </si>
  <si>
    <t xml:space="preserve"> Buen día. El departamento de Sistemas solicita que se revisen los filtros de Agencias en la Minuta de Cuenta
Corriente. Puntualmente el error ocurre cuando se lista hasta la Agencia 1035. No así cuando se lista hasta la
Agencia 1033 o se lista solamente a la Agencia 1035.</t>
  </si>
  <si>
    <t>MAN-38</t>
  </si>
  <si>
    <t>NQN SIGA. Carga premios especiales unificada año nuevo.</t>
  </si>
  <si>
    <t>Se solicita la carga de los premios especiales de la unificada de año nuevo de fecha 04/01/2025.</t>
  </si>
  <si>
    <t>MAN-39</t>
  </si>
  <si>
    <t>MAN-40</t>
  </si>
  <si>
    <t>MAN-41</t>
  </si>
  <si>
    <t>MAN-42</t>
  </si>
  <si>
    <t>SLA WEB. No carga formulario apertura PDV.</t>
  </si>
  <si>
    <t>Salta Web</t>
  </si>
  <si>
    <t>Sprint 8</t>
  </si>
  <si>
    <t xml:space="preserve"> Resuelto desde Salta.</t>
  </si>
  <si>
    <t>Solicito creación de Jira: no se carga el formulario para apertura de Punto de Venta en la página Web de Salta. (abajo la muestra).</t>
  </si>
  <si>
    <t>MAN-43</t>
  </si>
  <si>
    <t>Implementacion</t>
  </si>
  <si>
    <t>MAN-44</t>
  </si>
  <si>
    <t>JIRA
[MAN-5] MAN-9935-Sprint 2 - SAA TDF Validar fecha en carga de extracto por archivo - Jira
SUBTAREA
[MAN-44] Prueba e implementación - Jira 
PROVINCIA
Tierra del Fuego 
APLICACIÓN
SAA 
DESCRIPCIÓN
Validar fecha en carga de extracto por archivo 
IMPACTO
DETALLES
Version: 1957
build.date=07/01/2025 11:38:56
Developer: root
Git user: 
FECHA SUGERIDA DE DESPLIEGUE
A disponer por el área según recursos y disponibilidad.</t>
  </si>
  <si>
    <t>MAN-45</t>
  </si>
  <si>
    <t>SLA SAA.Cambio de valoresen juegos 08 Enero.</t>
  </si>
  <si>
    <t>Lotería de Salta solicita el cambio nuevos valores de comercialización para los juegos propios, estos valores deben estar vigentes para el miércoles 8 de enero. Ver tabla de nuevos valores en nota adjunta.</t>
  </si>
  <si>
    <t>MAN-46</t>
  </si>
  <si>
    <t>NQN Aumento umbral premios UIF</t>
  </si>
  <si>
    <t>Se modificó el umbral de información de premios ante la UIF. Antes era de $3.500.000 y ahora pasó a ser para
premios mayores a $4.195.770 desde el 01/01/2025. Por lo cual solicitamos que modifiquen ese umbral en el SGC y
para premios ONLINE</t>
  </si>
  <si>
    <t>MAN-47</t>
  </si>
  <si>
    <t>NQN SAA. Actualizar premios unificada sin retenciones en BD y SIGA</t>
  </si>
  <si>
    <t>De acuerdo a lo solicitado les envió esquema de premios a pagar SIN RETENCIÓN según el sorteo:
AÑO NUEVO:       Hasta  $14.000 (Pesos catorce mil con 00/100 )
REYES:                 Hasta  $10.000 (Pesos diez mil con 00/100 )
FIN DE FIESTA :   Hasta  $5.000 (Pesos cinco mil con 00/100 )
NO DEBERÁ REALIZAR CÁLCULO NI DESCUENTO POR RETENCIÓN ALGUNA.
en el caso de  LOTERÍA DE AÑO NUEVO SORTEO N°2569
Según el programa de premios del sorteo de Año Nuevo (Res. 269/24)  se solicita acreditar en cuenta corriente de agencias los siguientes premios:
(Los mismos podrán ser considerados vendidos en fracciones y por lo tanto podrán ser abonados directamente por el agenciero sin cálculo de retenciones).
Premios de $14.000 por las 8100 Terminaciones de una (1) última cifra iguales a las del premio mayor, excluido éste y las anteriores, de $14.000 c/u.
Premios de $14.000 por las 3596 Terminaciones de dos (2) últimas cifras iguales a las del 2do., 3er., 4to. y 5to. Premio, excluidos éstos, de $14.000 c/u
Premios de $14.000 por los  8.997  Duplicadores iguales al duplicador premiado, de   $14.000 c/u
*Para el resto de los sorteos deberíamos ver el programa y la cantidad de fracciones que contienen</t>
  </si>
  <si>
    <t>MAN-48</t>
  </si>
  <si>
    <t>SDE LOTEMOVIL. (MAN-10316) No visualiza extracto MonoFechas.</t>
  </si>
  <si>
    <t>Horacio Braun</t>
  </si>
  <si>
    <t>Estamos teniendo problemas con la visualización de los extractos de mono fechas, al cargar la pagina no muestra el último extracto, para poder verlo uno debe ir a la lupa y seleccionar el extracto para visualizarlo. Adjunto imagen de lotemovil.</t>
  </si>
  <si>
    <t>MAN-49</t>
  </si>
  <si>
    <t>RN SPETA. Programa premios Reyes y Fin de Fiesta</t>
  </si>
  <si>
    <t>Se solicita incorporar el programa de premios de extraordinaria de unificada de Reyes y Fin de Fiesta.</t>
  </si>
  <si>
    <t>MAN-50</t>
  </si>
  <si>
    <t>RN SIGA. Actualizacion de importe de premios- acreditacion directa en cta cte</t>
  </si>
  <si>
    <t>A partir del 01/01/2025 el umbral para los premios mayores será de *$4.195.770* por lo cual se solicita aumentar a ese límite la acreditación de premios automáticos.</t>
  </si>
  <si>
    <t>MAN-51</t>
  </si>
  <si>
    <t>RN PGO. Actualizar nuevo valor de Patagonia Telebingo</t>
  </si>
  <si>
    <t>PGO</t>
  </si>
  <si>
    <t>Nuevos mínimos de venta de patagonia telebingo a partir del sorteo nro 378 con inicio de venta el 6 de enero de 2025:
Venta de patagonia telebingo: $40.000 (10 2x1)
Venta semanal de quiniela: $1.100.000
Tambien se deberá tener en cuenta a partir del 06-01-2025 la devolucion de 2x1 en cta cte. hacerlo sobre el nuevo valor de $ 2.000</t>
  </si>
  <si>
    <t>MAN-52</t>
  </si>
  <si>
    <t>COR MediosDigi CNQ. Implementacion MODO</t>
  </si>
  <si>
    <t>MediosDigi</t>
  </si>
  <si>
    <t>El Lunes 06/01 se implementará MODO en Corrientes.
Se requiere que se verifique si hay que hacer algo al respecto en SIGA / P. de Agente.</t>
  </si>
  <si>
    <t>MAN-53</t>
  </si>
  <si>
    <t>Analisis y Seguimiento. MODO CNQ. Verificar SIGA / P.de Agente.</t>
  </si>
  <si>
    <t>MAN-54</t>
  </si>
  <si>
    <t>Desarrollo. MODO CNQ. Verificar SIGA / P.de Agente.</t>
  </si>
  <si>
    <t>Ricardo Horacio Tejerina Perezlindo</t>
  </si>
  <si>
    <t>MAN-55</t>
  </si>
  <si>
    <t>JUY MODO Jujuy. Endpoint detalle de pagos. Error time out</t>
  </si>
  <si>
    <t>Jujuy</t>
  </si>
  <si>
    <t>Modo</t>
  </si>
  <si>
    <t>High</t>
  </si>
  <si>
    <t xml:space="preserve"> Sprint 9</t>
  </si>
  <si>
    <t>El endpoint “consultardetallepagos” de MODO de Gamma genera el error “504- Gateway time out”.
En un primer análisis técnico realizado se presume que al estar desarrollado con tecnología JPA se produce el error por el volumen de los datos.</t>
  </si>
  <si>
    <t>MAN-56</t>
  </si>
  <si>
    <t>RN SIGA. Liquidación unificada Año Nuevo</t>
  </si>
  <si>
    <t>Liquidación de Lotería de Año Nuevo sorteo 2568, el día lunes 06/01/2025 al realizar la cta. cte. del día 04/01/2025 debe salir cobro de ventas desde 15/07/2024 hasta 04/01/2025. Recaudación, comisión, premios y retenciones.</t>
  </si>
  <si>
    <t>MAN-57</t>
  </si>
  <si>
    <t>SLA GAMMA. Reporte de cierre Diciembre 2024</t>
  </si>
  <si>
    <t>Gamma</t>
  </si>
  <si>
    <t>Se solicita el reporte de liquidación de GAMMA de Diciembre 2024.</t>
  </si>
  <si>
    <t>MAN-58</t>
  </si>
  <si>
    <t>Modificación Siga Sorteo especial (fraccion y entero) Reyes</t>
  </si>
  <si>
    <t>MAN-59</t>
  </si>
  <si>
    <t>PMP SGC. Período 2025 mal cargado.</t>
  </si>
  <si>
    <t>Highest</t>
  </si>
  <si>
    <t>El primer comprobante del año salió continuó con la numeración del 2024 en lugar de comenzar por el N°1.</t>
  </si>
  <si>
    <t>MAN-60</t>
  </si>
  <si>
    <t>SDE- Despliegue Ver.206 Tj10-Lahuan</t>
  </si>
  <si>
    <t>Version 206</t>
  </si>
  <si>
    <t>Implementacion Ver 206 de Tj y Lahuan</t>
  </si>
  <si>
    <t>MAN-61</t>
  </si>
  <si>
    <t>MAN-60 - SDE Ver 206 -Actualizacion BD SAA</t>
  </si>
  <si>
    <t>MAN-62</t>
  </si>
  <si>
    <t>MAN-60 SDE ver 206 - Actualizar Ver Servjue206</t>
  </si>
  <si>
    <t>MAN-63</t>
  </si>
  <si>
    <t>MAN-60 - SDE Ver 206- Actualizar Gateway TJ</t>
  </si>
  <si>
    <t>MAN-64</t>
  </si>
  <si>
    <t>MAN-60 SDE Ver 206 tj - SIGA?</t>
  </si>
  <si>
    <t>MAN-65</t>
  </si>
  <si>
    <t>MAN60 - SDE Ver 206 - LotericoAPP</t>
  </si>
  <si>
    <t>MAN-66</t>
  </si>
  <si>
    <t>MAN-60 - SDE Ver 206 Tj - Desplegar para terminales</t>
  </si>
  <si>
    <t>MAN-67</t>
  </si>
  <si>
    <t>Reuniones con Loteria COR</t>
  </si>
  <si>
    <t>MAN-68</t>
  </si>
  <si>
    <t>Testing Ver 206 con MODO</t>
  </si>
  <si>
    <t>MAN-69</t>
  </si>
  <si>
    <t>SLA GAMMA MAN-9516 No genera resumenes para algunas agencias.</t>
  </si>
  <si>
    <t>A desarrollar</t>
  </si>
  <si>
    <t>Cuando el PDV solo tiene movimientos de CSA en su cuenta corriente para la fecha a liquidar, no se genera un resumen para el PDV, 
Ejemplo prod salta:
Fecha a liquidar 16/01/25
PDV 451
Movimientos a liquidar CSA $1200 - IVA CSA $252
Finaliza la liquidación sin resumen para el PDV 451, los movimientos se marcan como liquidados.</t>
  </si>
  <si>
    <t>MAN-70</t>
  </si>
  <si>
    <t>SLA GAMMA MAN-9521 Modulo contabilidad aplica filtro al descargar archivos</t>
  </si>
  <si>
    <t>Vuelve a desarrollo. Validar.</t>
  </si>
  <si>
    <t>MAN-71</t>
  </si>
  <si>
    <t>SLA GAMMA MAN-9524 Modulo Contabilidad-Generacion de constancias no guarda nro de presentacion en tablas</t>
  </si>
  <si>
    <t>MAN-72</t>
  </si>
  <si>
    <t>SLA GAMMA MAN-9561 Comisiones Betwarrior</t>
  </si>
  <si>
    <t>En proceso de prueba</t>
  </si>
  <si>
    <t>MAN-73</t>
  </si>
  <si>
    <t>SLA GAMMA MAN-9950 Al marcar una baja en PDV 000 no deja avanzar con liquidación</t>
  </si>
  <si>
    <t>MAN-74</t>
  </si>
  <si>
    <t>SLA GAMMA MAN-10044 Problemas en la liquidación</t>
  </si>
  <si>
    <t>MAN-75</t>
  </si>
  <si>
    <t>SLA GAMMA MAN-10155 No permite editar dos veces una fecha en el calendario</t>
  </si>
  <si>
    <t>MAN-76</t>
  </si>
  <si>
    <t>SLA SAA MAN-10330 Modificación de calculo del total neto en M5/M9</t>
  </si>
  <si>
    <t>MAN-77</t>
  </si>
  <si>
    <t>Prueba e implementación. MAN-10330-SLA SAA. Modificar cáculo de Total Neto en M5/M9 de Sunmi</t>
  </si>
  <si>
    <t>JIRA
[MAN-6] MAN-10330-SLA SAA. Modificar cáculo de Total Neto en M5/M9 de Sunmi - Jira 
SUBTAREA
[MAN-77] Prueba e implementación. MAN-10330-SLA SAA. Modificar cáculo de Total Neto en M5/M9 de Sunmi - Jira
PROVINCIA
Salta
APLICACIÓN
Medios Digitales
VERSIÓN
3903
DESCRIPCIÓN
Se realizo el cambio que corrige el problema del total neto que no descontaba lo cobrado por medios de pagos digitales
DETALLES
Servjue
Versión:  3903
Branch: dev
git-hash: c237bf9 
link servjue205: http://hodor:8088/test/servjue/servjue205-dev-3903
link servjue206: http://hodor:8088/test/servjue/servjue206-dev-3903</t>
  </si>
  <si>
    <t>MAN-78</t>
  </si>
  <si>
    <t>PMP SAA. Formulario de mínimos no permite agregar mas de 6 cifras.</t>
  </si>
  <si>
    <t>Alberto Iribarren</t>
  </si>
  <si>
    <t xml:space="preserve"> Sprint 7</t>
  </si>
  <si>
    <t>El formulario de minimos del SAA no deja agregar mas de 6 cifras (automáticamente le pone el punto decimal).</t>
  </si>
  <si>
    <t>MAN-79</t>
  </si>
  <si>
    <t>Analisis y Seguimiento. MAN-10146-SLA LOTLINE. Agregar en página Lotline opción de descarga de la aplicación.</t>
  </si>
  <si>
    <t>MAN-80</t>
  </si>
  <si>
    <t>SLA SAA. Cambiar nombre y logo del Bingo de las Colectividades</t>
  </si>
  <si>
    <t>Cambiar el nombre del bingo que actualmente en el sistema se llama Bingo de las Colectividades por: Bingo de la Amistad
Valor de la impresión $ 7.000
Sortea el 16/02/2025 (esto no afecta ya que cuando cargue el sorteo pongo estos datos)
Se adjunta la resolución de ENREJA y el logo que debería incorporarse para el mismo.</t>
  </si>
  <si>
    <t>MAN-81</t>
  </si>
  <si>
    <t>Desarrollo</t>
  </si>
  <si>
    <t>MAN-82</t>
  </si>
  <si>
    <t>PMP SAA MAN-10049 Listado premios mayores no trae resultados de 10 digitos</t>
  </si>
  <si>
    <t>El error se producía cuando se ejecutaba el listado con un valor mayor a 2.147.483.647 (o sea, este era el máximo, los usuarios ponían valores como 9.999.999.999) en el filtro "Premio Hasta".</t>
  </si>
  <si>
    <t>MAN-83</t>
  </si>
  <si>
    <t>MAN-84</t>
  </si>
  <si>
    <t>MAN-85</t>
  </si>
  <si>
    <t>NQN LOTEMOVIL. No asigna subagencia 0 nuevo titular de agencia 18</t>
  </si>
  <si>
    <t>Loteria asignó a un nuevo propietario la agencia 18 que estaba dada de baja, por lo que dicen cargaron todos los datos en Siga y en Front End y no aparece la sub agencia 0 en el panel de agentes.</t>
  </si>
  <si>
    <t>MAN-86</t>
  </si>
  <si>
    <t>CTC Smartview. Cambiar logo de Catamarca en extracto Smartview.</t>
  </si>
  <si>
    <t>Catamarca</t>
  </si>
  <si>
    <t>Smartview</t>
  </si>
  <si>
    <t>Diego Cano</t>
  </si>
  <si>
    <t>Debe modificarse en la barra lateral donde aparecen los extractos / resultados.</t>
  </si>
  <si>
    <t>MAN-87</t>
  </si>
  <si>
    <t>SLA LOTLINE. Ingreso a plataforma con gmail sin registración.</t>
  </si>
  <si>
    <t>Se solicita que cualquier persona pueda ingresar a la plataforma de Lotline y conocerla con el simple ingreso de su Gmail (como muestra la foto de ejemplo), en el caso que la persona desee JUGAR (cargar saldo con su billetera virtual /o jugar dinero que posee en la cuenta) que solicite ingresar con su usuario y contraseña registrada que ya haya pasado por el proceso de registración completo.</t>
  </si>
  <si>
    <t>MAN-88</t>
  </si>
  <si>
    <t>SLA LOTLINE MAN-10297. No funciona enlace a reglamentos de juegos.</t>
  </si>
  <si>
    <t xml:space="preserve"> Actualizar redireccionamiento de donde tiene que apuntar lotline para buscar los reglamentos de juego.</t>
  </si>
  <si>
    <t>MAN-89</t>
  </si>
  <si>
    <t>JIRA
[MAN-82] MAN-10049-PMP-SAA Listo premios mayores no trae resultados de 10 digitos - Jira
SUBTAREA
[MAN-89] Prueba e implementación - Jira
PROVINCIA
La Pampa
APLICACIÓN
SAA 
DESCRIPCIÓN
MAN-10049
Listado premios mayores no trae resultados de 10 dígitos
IMPACTO
DETALLES
Version: 1961
build.date=08/01/2025 10:16:15
Developer: root
Git user:
FECHA SUGERIDA DE DESPLIEGUE
A disponer por el área según recursos y disponibilidad.</t>
  </si>
  <si>
    <t>MAN-90</t>
  </si>
  <si>
    <t xml:space="preserve">Se requiere que para el juego P.Telebingo se pueda seleccionar cartón del juego mediante el número de recupero. </t>
  </si>
  <si>
    <t>MAN-91</t>
  </si>
  <si>
    <t xml:space="preserve">Pruebas </t>
  </si>
  <si>
    <t>MAN-92</t>
  </si>
  <si>
    <t>SLA SAA- Listado 103 Recaudación por extracto-MAN-9823</t>
  </si>
  <si>
    <t>Agregar en el filtro hora desde y hora hasta, Que se visualice con franja horaria 00:00 a 23:59</t>
  </si>
  <si>
    <t>MAN-93</t>
  </si>
  <si>
    <t>MAN-94</t>
  </si>
  <si>
    <t>Análisis funcional. MAN-92. SLA SAA- Listado 103 Recaudación por extracto-MAN-9823</t>
  </si>
  <si>
    <t>MAN-95</t>
  </si>
  <si>
    <t>RN SIGA. Liquidación de lotería de Reyes sorteo 2569</t>
  </si>
  <si>
    <t>Liquidación de la Loteria de Reyes sorteo 2569, el dia lunes 13/01/2025 al realizar la cta cte. del dia 11/01/2025 debe salir cobro de ventas desde 15/07/2024 al 11/01/2025. Recaudacion, comisión, premios y retenciones.</t>
  </si>
  <si>
    <t>MAN-96</t>
  </si>
  <si>
    <t>MENU WEB-Falla relanzado del ServPipe - MAN-9704</t>
  </si>
  <si>
    <t>Menu Web</t>
  </si>
  <si>
    <t>SAP- DC</t>
  </si>
  <si>
    <t>MAN-97</t>
  </si>
  <si>
    <t>PUNTO DE VENTA-Estadísticas de COMM no reporta todas las SIMS - MAN-9382</t>
  </si>
  <si>
    <t>PDV</t>
  </si>
  <si>
    <t>MAN-98</t>
  </si>
  <si>
    <t>SLA LOTLINE. Incluir onboarding de Tombo Express.</t>
  </si>
  <si>
    <t>Incluir el onboarding del juego tombo Express en Lotline. Fecha límite para su implementación 15/02/2025.</t>
  </si>
  <si>
    <t>MAN-99</t>
  </si>
  <si>
    <t>BETWARRIOR-Analytics Betwarrior - Diferenciación de Propiedades Provincia - MAN-10346</t>
  </si>
  <si>
    <t>Betwarrior</t>
  </si>
  <si>
    <t>esta ok lo trakeado con el detalle que ellos lo quieren diferenciado por geolocalizacion , implica tiempo de entendimiento y desarrollo. Lo tiene que ver de nuevo Andre. Se adjunta mail de confirmacion de cierre del requerimiento</t>
  </si>
  <si>
    <t xml:space="preserve">*Betwarrior Salta
ID de medición GA4 → G-LDL82HH2NC
Contenedor GTM → GTM-MQS8LW6N
Flujo de datos → 10022123504
*Betwarrior Jujuy
ID de medición GA4 → G-LYBFDB52NL
Contenedor GTM → GTM-T7HP74D4
Flujo de datos → 10022149318
*Betwarrior La Rioja
ID de medición GA4 → G-9CGEYZQX8V
Contenedor GTM → GTM-TD2ZMNLL
Flujo de datos → 10022127789
</t>
  </si>
  <si>
    <t>MAN-100</t>
  </si>
  <si>
    <t>Gamma- Integracion Netsuite -Actualizacion ambiente UAT</t>
  </si>
  <si>
    <t>Clientes</t>
  </si>
  <si>
    <t>*Coordinación con PO (Sabrina Amarilla-Lotería de Salta)
*Backup de ambiente UAT (Gustavo Duarte)
*NO borrar bases de datos UAT:  ta_business, keycloak, users, application_abaco (Gustavo Duarte)
*Replicar demás bases de datos PROD a UAT (Gustavo Duarte)
*Control de UAT (Fabián Romero – SAP)
*Ejecutar scripts de actualización códigos contables para Netsuite (Ricardo Marino)
*Actualizar servicios para Netsuite (Ricardo Marino)
*Control Lotería de Salta (Sabrina Amarilla-Lotería de Salta)</t>
  </si>
  <si>
    <t>MAN-101</t>
  </si>
  <si>
    <t>RN LOTLINE. Apuesta redoblona ganadora no fue premiada.</t>
  </si>
  <si>
    <t>Se implementa con Lotline puesta a punto</t>
  </si>
  <si>
    <t>Apuesta de Lotline de redoblona cabeza y 5 no fue premiada. Se adjunta datos del cupón, extracto y el reglamento que en el artículo 36 inciso “d” donde estipula que en el segundo número de una apuesta redoblona con alcance a los 5 se entiende que esta hecha a los siguientes 5 excluyendo al primero, es decir del segundo al sexto premio. En este caso el segundo número de la redoblona, el 74, salió en en el 6to premio y no fue premiado.</t>
  </si>
  <si>
    <t>MAN-102</t>
  </si>
  <si>
    <t>NQN SPETA. Cargar sorteos especiales unificada reyes</t>
  </si>
  <si>
    <t>Se debe cambiar extracto de lotería unificada de reyes por sorteos especiales de premio fraccion y entero. Se adjunta imagen con los premios.</t>
  </si>
  <si>
    <t>MAN-103</t>
  </si>
  <si>
    <t>NQN SIGA. Liquidar comisiones de subagencias de agencia 1.</t>
  </si>
  <si>
    <t>Sprint 12</t>
  </si>
  <si>
    <t>Si bien la agencia 1 no comisiona el IJAN solicita que si se liquiden las comisiones en cuenta corriente de todas las subagencias que pertenecen a la misma.</t>
  </si>
  <si>
    <t>MAN-104</t>
  </si>
  <si>
    <t>RN SIGA. Duplicación de movimientos en lanzamiento posterior a cancelación.</t>
  </si>
  <si>
    <t xml:space="preserve"> En cta cte Siga cuando se cancela y se vuelve a lanzar siempre se duplican los movimientos de recaudación y premios de apuestas lotline código 10 y 559 de Quiniela, Quini Express, Pozo, Lotería, Minibingo y Telebingo y anula comisión online Telebingo código 55.</t>
  </si>
  <si>
    <t>MAN-105</t>
  </si>
  <si>
    <t>Crear ambiente de testing</t>
  </si>
  <si>
    <t>Se necesita un ambiente de testing para realizar pruebas de adjudicación de Quiniela, en particular, para probar la premiación de apuestas redoblonas cuya primer redoblona sea a la cabeza.</t>
  </si>
  <si>
    <t>MAN-106</t>
  </si>
  <si>
    <t>RN SAA. Error en lanzador al adjudicar billetera.</t>
  </si>
  <si>
    <t>Low</t>
  </si>
  <si>
    <t>En RN cuando entran para adjudicar billetera tiene este error en el Juego Patagonia. Se adunta captura de pantalla.</t>
  </si>
  <si>
    <t>MAN-107</t>
  </si>
  <si>
    <t>RN SIGA. Liquidación unificada fin de fiestas sorteo 2570.</t>
  </si>
  <si>
    <t>Incorporar liquidación de Lotería Unificada de Fin de Fiestas sorteo 2570. El día lunes 20/01/2025 al realizar la cta. cte. del día 18/01/2025 debe salir cobro de ventas desde 14/10/2024 al  18/01/2025. Recaudación, comisión, premios y retenciones.</t>
  </si>
  <si>
    <t>MAN-108</t>
  </si>
  <si>
    <t>Analisis y Seguimiento. RN SAA. Error en lanzador al adjudicar billetera</t>
  </si>
  <si>
    <t>MAN-109</t>
  </si>
  <si>
    <t>Analisis/Desarrollo. RN SAA. Error en lanzador al adjudicar billetera.</t>
  </si>
  <si>
    <t>Andrea Minin</t>
  </si>
  <si>
    <t>MAN-110</t>
  </si>
  <si>
    <t>JUY SICOM MAN-10362 Pérdida de datos</t>
  </si>
  <si>
    <t>Sicom</t>
  </si>
  <si>
    <t>Buenos días, sobre este tema. 
Se nos desapareció hace unos días la agencia 130 y no podemos ya cerrar una consulta. El resto de la información sigue perdida y con el tiempo aumenta al parecer. Desde desarrollo me pidieron que se genere un Jira nuevo con este problema para iniciar de nuevo el análisis. Se bajó el sincroagencias pero sigue ocurriendo según lo comentado por José Candia.</t>
  </si>
  <si>
    <t>MAN-111</t>
  </si>
  <si>
    <t>SAA- Nuevo diseño cupon de apuestas</t>
  </si>
  <si>
    <t>Tarea asignada a Dante Casalla</t>
  </si>
  <si>
    <t>MAN-112</t>
  </si>
  <si>
    <t>Analisis</t>
  </si>
  <si>
    <t>MAN-113</t>
  </si>
  <si>
    <t>Diseño</t>
  </si>
  <si>
    <t>MAN-114</t>
  </si>
  <si>
    <t>Testing QA</t>
  </si>
  <si>
    <t>MAN-115</t>
  </si>
  <si>
    <t>Demo - Presentacion</t>
  </si>
  <si>
    <t>MAN-116</t>
  </si>
  <si>
    <t>Validacion</t>
  </si>
  <si>
    <t>MAN-117</t>
  </si>
  <si>
    <t xml:space="preserve">SLA LOTLINE MAN-9579- Sprint 5 - Cambio de imágenes interiores de lotline </t>
  </si>
  <si>
    <t>MAN-118</t>
  </si>
  <si>
    <t>SLA LOTLINE MAN-9834 - Sprint 5 - Duplicar montos para usuarios existentes</t>
  </si>
  <si>
    <t>MAN-119</t>
  </si>
  <si>
    <t>SLA LOTLINE MAN-10110 Incorporar Quini6 y Loto.</t>
  </si>
  <si>
    <t>Este Jira sale de mantenimiento porque pertenece al proyecto Lotoides</t>
  </si>
  <si>
    <t>Se abre el ticket hasta que se cargue el proyecto.</t>
  </si>
  <si>
    <t>MAN-120</t>
  </si>
  <si>
    <t>SLA LOTLINE MAN-10293- Sprint 5 - Incluir onboarding de precupón de Tómbola.</t>
  </si>
  <si>
    <t>Incluir el onboarding del juego tómbola diseñado para precupon en Lotline</t>
  </si>
  <si>
    <t>MAN-121</t>
  </si>
  <si>
    <t>SLA GAMMA MAN-9527 Modulo Contabilidad-Diferencias en cálculo de retenciones.</t>
  </si>
  <si>
    <t>MAN-122</t>
  </si>
  <si>
    <t>SLA GAMMA MAN-9533 Reporte por imputación y Agencias muestra valores negativos.</t>
  </si>
  <si>
    <t>MAN-123</t>
  </si>
  <si>
    <t>SLA ABACO MAN-9575 Mercado Pago - Agregar filtro para ordenar por fecha pdv</t>
  </si>
  <si>
    <t>Abaco</t>
  </si>
  <si>
    <t>MAN-124</t>
  </si>
  <si>
    <t>SLA ABACO MAN-9576 - Premios cruzados, menu premios, los cruzados como gamma</t>
  </si>
  <si>
    <t>MAN-125</t>
  </si>
  <si>
    <t>SLA GAMMA MAN-9913 No permite editar titular(DNI y CUIL)</t>
  </si>
  <si>
    <t>MAN-126</t>
  </si>
  <si>
    <t>SLA GAMMA MAN-9536 SLA Pantalla de liquidación por PDV muestra valores &lt;&gt; en resumen y detalle</t>
  </si>
  <si>
    <t>MAN-127</t>
  </si>
  <si>
    <t>SLA GAMMA MAN-9556 Motor de Calculos - FrontEnd</t>
  </si>
  <si>
    <t>MAN-128</t>
  </si>
  <si>
    <t>SLA GAMMA MAN-9560 Descuentos y bonificaciones - uso del modulo de manera independiente para la carga de movimientos</t>
  </si>
  <si>
    <t>MAN-129</t>
  </si>
  <si>
    <t>SLA SAA MAN-9715  PC Historica</t>
  </si>
  <si>
    <t>Se abre hasta la creación del proyecto común a todas las provincias.</t>
  </si>
  <si>
    <t>MAN-130</t>
  </si>
  <si>
    <t>SLA ABACO MAN-9581  Menú “Control de Cajas” , agregar la posibilidad de filtrar por un rango de fechas</t>
  </si>
  <si>
    <t>MAN-131</t>
  </si>
  <si>
    <t>SLA ABACO MAN-9574 Listado de premios caducos que sea por fecha de caducidad en lotería y no de emisión</t>
  </si>
  <si>
    <t>MAN-132</t>
  </si>
  <si>
    <t>SLA ABACO MAN-9580 Control de ventas en Abaco, ( nuevo)</t>
  </si>
  <si>
    <t>MAN-133</t>
  </si>
  <si>
    <t>SLA ABACO MAN-9572 Menú “cuenta corriente”, Impresiones en pdf</t>
  </si>
  <si>
    <t>SAlta</t>
  </si>
  <si>
    <t>MAN-134</t>
  </si>
  <si>
    <t>SLA ABACO MAN-9573 Depósitos y retiros Lotline</t>
  </si>
  <si>
    <t>MAN-135</t>
  </si>
  <si>
    <t>SLA ABACO MAN-9570 Menú “Premios” el listado Resumen no esta mostrando los premios mayores</t>
  </si>
  <si>
    <t>MAN-136</t>
  </si>
  <si>
    <t>SLA ABACO MAN-9571 Smartphone panel responsive</t>
  </si>
  <si>
    <t>|Recomiendo seguir mejorando la visualización para celulares|</t>
  </si>
  <si>
    <t>MAN-137</t>
  </si>
  <si>
    <t>SLA GAMMA MAN-9555 Unificación de todas las grillas con buscadores y filtros</t>
  </si>
  <si>
    <t>MAN-138</t>
  </si>
  <si>
    <t>SLA GAMMA MAN-9520 Error altas PDV para tipos de personas Jurídicas.</t>
  </si>
  <si>
    <t>MAN-139</t>
  </si>
  <si>
    <t>MAN-140</t>
  </si>
  <si>
    <t>SLA GAMMA MAN-9518  UAT-PRD: Concentradoras con Subagencias igual a cero en Checking_Account</t>
  </si>
  <si>
    <t>MAN-141</t>
  </si>
  <si>
    <t>SLA GAMMA MAN-9530  Pantalla de cambio de contraseña</t>
  </si>
  <si>
    <t>MAN-142</t>
  </si>
  <si>
    <t>No habilita poner tipo de persona jurídica. Idem sucede al querer hacer un ABM para las personas jurídicas</t>
  </si>
  <si>
    <t>MAN-143</t>
  </si>
  <si>
    <t>SLA BETWARRIOR MAN-9852 Consultar cupones en base</t>
  </si>
  <si>
    <t>Hola Rober,
te pido cargues un ticket solicitando la posibilidad de consultar estas transacciones en nuestros servidores. 
Las mismas son apuestas que kambi reporta como vendidas, pero no figuran en SAA, aquí te paso la Info que obtenemos de ellos (ver imagen adjunta).
Y de nuestro lado se que corresponden al pdv: 590-000-01 de fecha 10/9 a las 9:30:35 y a las 9:32:14. Quizás sean apuestas q no llegaron a completarse de nuestro lado pero si del lado kambi Rober buen día, aclara en el ticket que desde Kambi me informan que las apuestas detalladas a ellos si les ingreso ( y el cliente perdió ). Sería importante ver los logs de nuestro lado, ellos tmb lo harán</t>
  </si>
  <si>
    <t>MAN-144</t>
  </si>
  <si>
    <t>SLA GAMMA MAN-10325  Alta PDV en mercadopago no funciona.</t>
  </si>
  <si>
    <t>En GAMMA para que al dispositivo PDV se le habilite el icono y la opción de poder usar MP, se edita el punto y se le agrega datos de Latitud y Longitud. Antes, con solo hacer esto y un reinicio del dispositivo era suficiente. 
Esto no está funcionando ya que se sigue los mismos pasos, pero además hay que coordinar con alguien de soporte para que busque el dispositivo en cuestión y lo marque como habilitado para que con suerte pueda operar con el aplicativo.</t>
  </si>
  <si>
    <t>MAN-145</t>
  </si>
  <si>
    <t>SLA LOTEMOVIL MAN-10331. Falta información de premios de PDV.</t>
  </si>
  <si>
    <t xml:space="preserve"> Cuando el usuario accede al panel y quiere realizar la consulta de los premios (resumen, pagados, pagados por otro pdv etc) si accede por concentradora ve la de todos sus puntos de ventas. No permite filtrar por cada uno de los sub agentes. Adjunto imagenes</t>
  </si>
  <si>
    <t>MAN-146</t>
  </si>
  <si>
    <t>SLA GAMMA MAN-10375 Sincro Sicom - Gamma</t>
  </si>
  <si>
    <t>Por algún motivo desconocido, cuando se mudó el SICOM a otro servidor, la sincronización entre estos dos sistemas dejo de funcionar bien, por lo que lo deshabilitaron. Uno de los problemas que se suscito es que comenzó a mover equipos de otras pcias al depósito SALTA"</t>
  </si>
  <si>
    <t>MAN-147</t>
  </si>
  <si>
    <t>NQN SIGA. Comprobante de entrega Money no informa agencia.</t>
  </si>
  <si>
    <t>La generación del comprobante del remito de entrega de la raspadita Money no informa los datos de la agencia.</t>
  </si>
  <si>
    <t>MAN-148</t>
  </si>
  <si>
    <t>SDE SIGA MAN-10484 Demora en incorporación archivo de cobros y pagos a agentes</t>
  </si>
  <si>
    <t> El Departamento Sistemas solicita que se revisen los procesos de actualización de caja en el sistemas Siga en la opción Operaciones/Banco/Incorporación Archivos con Cobros y Pagos a Agentes. 
Al incorporar el archivo txt se genera una demora de 10 minutos, en algunos casos supera ese tiempo, llevando a cerrar y abrir el sistema, repitiendo el proceso de actualización para saber si se llevó a cabo el procesamiento correspondiente.
Se adjuntan dos archivos de ejemplo para realizar pruebas.</t>
  </si>
  <si>
    <t>MAN-149</t>
  </si>
  <si>
    <t>JUY SIGA. Error en calculo IIBB de unificada.</t>
  </si>
  <si>
    <t>En el juego lotería unificada tenemos un error de cálculo de cobro de IIBB con código 3 que está cobrando de menos. 
La regla de cálculo es de 6% para los inscriptos en rentas y 7% para los no inscriptos.
Adjunto una liquidación de ejemplo donde con código 3 se liquida $16,77 cuando debería ser $25,2 (7%) para los no inscriptos y $21,6 para los inscriptos.</t>
  </si>
  <si>
    <t>MAN-150</t>
  </si>
  <si>
    <t>SC SAA Cupón TJ de pago premios de Pozo aplica retención.</t>
  </si>
  <si>
    <t>Sprint 9</t>
  </si>
  <si>
    <t>Al pagar un premio de Pozo por TJ deduce la retención cuando no debe hacerlo. En la liquidación de SIGA no lo hace, sale bien.</t>
  </si>
  <si>
    <t>MAN-151</t>
  </si>
  <si>
    <t>SLA GAMMA MAN-9541 QA - ETL  Error en rehomologacion</t>
  </si>
  <si>
    <t>MAN-152</t>
  </si>
  <si>
    <t>SLA SAA MAN-9823 SLA - Listado 103 Recaudación por extracto que se visualice con franja horaria 00:00 a 23:59</t>
  </si>
  <si>
    <t>MAN-153</t>
  </si>
  <si>
    <t>SLA GAMMA MAN-10084 SLA- Gamma Generación de archivo de comisiones BetWarrior</t>
  </si>
  <si>
    <t>Tarea de equipo de SAP</t>
  </si>
  <si>
    <t>MAN-154</t>
  </si>
  <si>
    <t>SLA GAMMA MAN-9529 Gamma-PRD: Saldos y Obligaciones con decimales.</t>
  </si>
  <si>
    <t>Pruebas UAT (07/02). Despliegue semana del 10/02</t>
  </si>
  <si>
    <t>MAN-155</t>
  </si>
  <si>
    <t>SLA GAMMA MAN-9546 Error en aviso de PDV sin titular adherido</t>
  </si>
  <si>
    <t>MAN-156</t>
  </si>
  <si>
    <t>SLA GAMMA MAN-9549 Error en listado de alertas generales ETL</t>
  </si>
  <si>
    <t>MAN-157</t>
  </si>
  <si>
    <t>SC SIGA. Modificar archivo para carga premios Money serie 2</t>
  </si>
  <si>
    <t>Mediante la misma solicito a TECNOACCION la modificación del archivo de premios del juego instantáneo MONEY Serie 2 ($500) para insertar la carga de los mismos a SIGA y posibilitar el pago. Adjunto archivo TXT a modificar. </t>
  </si>
  <si>
    <t>MAN-158</t>
  </si>
  <si>
    <t>SLA GAMMA MAN-9526 Movimientos para concentradora solo deben reflejarse en concentradora y no en PDV subagencia</t>
  </si>
  <si>
    <t>MAN-159</t>
  </si>
  <si>
    <t>SLA ABACO MAN-9582 Menú “Punto de venta” el total a pagar se movió y queda confuso, la flecha indica donde debería estar</t>
  </si>
  <si>
    <t>MAN-160</t>
  </si>
  <si>
    <t xml:space="preserve">SC SIGA. Reproceso de sorteo de Quini6 3231 sin codigo 535. </t>
  </si>
  <si>
    <t>Lotería solicita reliquidar el sorteo de Quini6 N°3231 sin el código 535 - Anulación impuesto al juego.
Buenas tardes claudio, te molesto por que observamos que en la
facturación del día 15/01 apareció en el juego Quini 6 sorteo N° 3231,
en todas las agencias que tenian premios, el codigo N° 535 anulación de
imp. al juego, los cuales aquellos sean mayores a $1.333,33 deben ser pagados por L.O.A.S. 
Se tomo una agencia como ejemplo, y se pudo determinar que se le dio el dinero de premio (lo cual es correcto), ni tampoco se le aplico el
codigo 35  "imp. al juego" (lo cual es correcto), pero si anulación la retención mediante el codigo 535 "Anulación de imp. al juego). 
A continuacion te manda foto del cupon que tiene premio , el cual esta en tesoreria de L.O.A.S. para abonarse y copia de la cta. cte. de la
agencia N° 60 donde figura el codigo.</t>
  </si>
  <si>
    <t>MAN-161</t>
  </si>
  <si>
    <t>RN LOTEMOVIL. TBP cambio de banner y actualizar monto premios extras</t>
  </si>
  <si>
    <t xml:space="preserve"> Necesitamos que se cambie el banner del Patagonia Telebingo en Resultados de la web de lotería. Sobre todo porque tiene niños.
Habría que reemplazar este por el que te mando adjunto. 
Y en el extracto, los premios extras pasan a ser de $100.000 c/u según circular del 30/12/2024. Si de esto necesitas la pieza gráfica avisanos y la armamos.</t>
  </si>
  <si>
    <t>MAN-162</t>
  </si>
  <si>
    <t>BD- Tabla Cupones - Ctrl1 nuevo - inserción en BD</t>
  </si>
  <si>
    <t>La tj ahora está utilizando un Ctrl1 nuevo que es más largo que el que se utiliza en la versión anterior, este nuevo Ctrl1 necesitaríamos agregarlo en la base de datos. El CTRL1 nuevo pasa a ser un SHA-256 por lo que lo ideal sería agrandar el tamaño permitido del campo que recibe el ctrl1 viejo a 64 caracteres y almacenarlo ahí.
Esto debería ir en la tabla cupones que es donde hoy en día también se guarda el viejo ctrl1(d_ctrl1) de paso con esto se evita tener que tocar todos los procedures de inserción de cupones.
Esto implicaría una nueva versión de base de datos con este cambio en la columna a cargo de desarrollo y luego tendríamos que hacer un testing para ver que este funcionando todo normalmente.</t>
  </si>
  <si>
    <t>MAN-163</t>
  </si>
  <si>
    <t>NQN SPETA. Cambio de valores sorteos ordinarios Unificada</t>
  </si>
  <si>
    <t>VISTO:
La necesidad de programar los SORTEOS ORDINARIOS DE LOTERÍA POR TERMINAL DE JUEGOS, correspondientes a las Emisiones Nº 2571, 2572, 2574 y 2575 a sortearse los días 21, 23, 28 y 30 de ENERO de 2025, respectivamente.
Artículo 3º: ESTABLÉZCASE que las Emisiones Nº 2571, 2572, 2574 y 2575, constarán de dos (2) series de 100.000 números cada una, desde el número 00.000 hasta el número 99.999, correspondiendo a la Lotería La Neuquina los certificados que se le adjudiquen oportunamente, siendo el precio del entero, de Pesos Cuatro Mil Ochocientos ($4.800), que estará compuesto de Seis (6) fracciones de Pesos Ochocientos ($800) cada una y se sortearán por el bolillero de Lotería de Río Negro los correspondientes a los días martes 21 y 28 de enero de 2025, y por el bolillero de Lotería la Neuquina los correspondientes a los días jueves 23 y 30 de enero de 2025.</t>
  </si>
  <si>
    <t>MAN-164</t>
  </si>
  <si>
    <t>NQN SPETA. Reasignar números de Unificada COR a las otras provincias.</t>
  </si>
  <si>
    <t>Humberto Martinez</t>
  </si>
  <si>
    <t>Humberto se reune con Arturo de Loteria el Jueves 3/4 para ver este tema</t>
  </si>
  <si>
    <t>Baja de Provincias: Se informó sobre las solicitudes de baja de las siguientes provincias:
o Misiones: Nota presentada el 08/10/2024.
o Chaco: Nota presentada el 12/12/2024.
o Corrientes: Nota presentada el 13/01/2025.
A pesar de no cumplirse los plazos establecidos para la baja, los entes presentes aceptaron dicha solicitud, estableciendo que la baja de estas provincias será efectiva a partir del primer sorteo ordinario del año 2025 (21 de enero de 2025). En consecuencia, las mencionadas provincias quedarán fuera de la comercialización de cualquier producto relacionado con la "Lotería Unificada".
Reasignación de Sorteos y Números: Debido a la baja de las provincias mencionadas, se procedió a la reasignación de los sorteos de los días sábados. La propuesta fue que la provincia de Neuquén se haga cargo de la realización de los sorteos los días jueves y sábados, quedando de la siguiente manera:
o Martes: Lotería de Río Negro
o Jueves y sábados: Lotería de Neuquén (IJAN)
También se solicitó a la empresa TECNOACCIÓN que realice la reasignación de los números, siguiendo el porcentaje de ventas de las jurisdicciones que aún componen la Lotería Unificada. Una vez finalizado este proceso, se dará a conocer la nueva asignación.</t>
  </si>
  <si>
    <t>MAN-165</t>
  </si>
  <si>
    <t>JUY SAA MAN-9679 JUY-SAA Actualización de extractos de lotería.</t>
  </si>
  <si>
    <t>MAN-166</t>
  </si>
  <si>
    <t>JUY SAA MAN-9977 Carga de extracto por archivo.</t>
  </si>
  <si>
    <t>MAN-167</t>
  </si>
  <si>
    <t>MAN-168</t>
  </si>
  <si>
    <t>SC SIGA. Premio mayor de Telekino TJ sin retención.</t>
  </si>
  <si>
    <t xml:space="preserve"> Buenas tardes claudio como andas? te molesto por que descubrimos que un premio mayor del Telkino Tj  no aplico el codigo 35 de retencion. te envio detalle del cupon y como figura en la cuenta corriente de la agencia.  Leandro Yañez Director General de Presupuesto "</t>
  </si>
  <si>
    <t>MAN-169</t>
  </si>
  <si>
    <t>RN LOTEMOVIL MAN-10355 No actualiza cambio de titular de subagencia 85 09</t>
  </si>
  <si>
    <t>MAN-170</t>
  </si>
  <si>
    <t>RN LOTLINE MAN-9931 No sale duplicador en cupón Lotimax.</t>
  </si>
  <si>
    <t>se estan haciendo pruebas para replicar problema</t>
  </si>
  <si>
    <t>MAN-171</t>
  </si>
  <si>
    <t>RN-SAA MAN-10008 - Money Online Matriz de códigos liquidados y detalle cupones.</t>
  </si>
  <si>
    <t>Se canaliza con listado opera lotline . Se muestra a loteria el dia lunes</t>
  </si>
  <si>
    <t>MAN-172</t>
  </si>
  <si>
    <t>RN Server Nginx MAN-9944 Caída del server provoca corte de Wifi en TJs de Rio Negro.</t>
  </si>
  <si>
    <t>MAN-173</t>
  </si>
  <si>
    <t>RN SIGA MAN-10007 - Exportación archivos a Bejerman.</t>
  </si>
  <si>
    <t>Comentario de Claudia: Al realizar la consulta de codigos liquidados para el juego Money Online no incluye el codigo 10 recaudacion.</t>
  </si>
  <si>
    <t>MAN-174</t>
  </si>
  <si>
    <t>RN SIGA MAN-10338 Creación de Código contable 35-Retención premios DGI de Money online</t>
  </si>
  <si>
    <t>MAN-175</t>
  </si>
  <si>
    <t>RN SIGA MAN-10366 Generación Centro de impresión se duplica nombre de archivo PCL.</t>
  </si>
  <si>
    <t>MAN-176</t>
  </si>
  <si>
    <t>NQN-SAA MAN-10062 Detalle de superbola en Pozo de la Quiniela.</t>
  </si>
  <si>
    <t>Jira viejo sin datos para poder ver que es y resolver</t>
  </si>
  <si>
    <t>MAN-177</t>
  </si>
  <si>
    <t>NQN SAA MAN-10143 NQN-Detalle Fin de Jornada en SAA.</t>
  </si>
  <si>
    <t xml:space="preserve"> Al incorporar una entrada en la la base ini_base por un tema de 206 generó ese problema de no sacar el detalle del Fin de Jornada pero el que se puede sacar por una opción del FE (no es grave).</t>
  </si>
  <si>
    <t>MAN-178</t>
  </si>
  <si>
    <t>NQN-LOTLINE MAN-9625 Diferencias en recaudación de Money online.</t>
  </si>
  <si>
    <t>MAN-179</t>
  </si>
  <si>
    <t>NQN SAA MAN-10096 poder agregar casillas de mail en procesos de Loteria y Pozo</t>
  </si>
  <si>
    <t>MAN-180</t>
  </si>
  <si>
    <t>NQN-SIGA MAN-10352 Solicitud de quita de información errónea en cta cte</t>
  </si>
  <si>
    <t>MAN-182</t>
  </si>
  <si>
    <t>SPETA - Implementacion</t>
  </si>
  <si>
    <t>Se deben ejecutar los scripts que se adjuntan
Programa de premios Sábados
Programa 1 Mínimo 1200 Máximo 7200
Programa días Martes y Jueves
Programa 2 Mínimo 800 Máximo 4800</t>
  </si>
  <si>
    <t>MAN-183</t>
  </si>
  <si>
    <t>COR SAA MAN-10203 Desarrollo campo ABMs en FE para gestión sorteos No ganadores</t>
  </si>
  <si>
    <t>Mario Corvalan</t>
  </si>
  <si>
    <t>En Curso</t>
  </si>
  <si>
    <t>Sprint 10</t>
  </si>
  <si>
    <t>Priorizar para sprint 10 (6/03). Lo va a desarrollar Josué Herbas (Pasante)</t>
  </si>
  <si>
    <t xml:space="preserve">Se necesita desarrollar un campo en FE para gestionar ABMs de los sorteos de cupones no ganadores. </t>
  </si>
  <si>
    <t>MAN-184</t>
  </si>
  <si>
    <t>Testing</t>
  </si>
  <si>
    <t>Este es el FE:  http://ernesto.tecnoaccion.com.ar:8080/feweb206Develop
Está contra en esquema sal@operac (porque la pantalla sirve para todas las instalaciones)
Generales -&gt; Maximos a pagar en agencia</t>
  </si>
  <si>
    <t>MAN-185</t>
  </si>
  <si>
    <t>Pruebas UAT e Implementación. (Panel de Agente / SIGA)</t>
  </si>
  <si>
    <t>Se entrega el desarrollo probado de Panel de Agente que devuelve movimientos de MODO.
Este pedido, por el momento es para la provincia de Corrientes.
La prueba UAT y su posterior implementación en producción coordinarlo con "servicio al cliente" e "Infra" respectivamente.
Ambiente de test.
http://lm-test.lotemovil.com.ar  
User / Passwd --&gt; 12345678 / 1234
La agencia 10 / 0 es una que tiene movimientos de MODO.   
IMPACTO
Medios Digitales / Totales del Panel de Agente. 
RECOMENDACIONES
Para implementar en la provincia de Corrientes.
ACLARACIONES
Como no hay GIT, cuando se requiera implementar se deberá avisar a Ricardo Tejerina.
Para SIGA. Cuando se requiera implementar. 
oVerificar última versión de "lotericoapp". (esto pedirlo e implementa INFRA)
oVerificar la generación de códigos contables 
Comentarios:
1. Jira: MAN-52. COR MediosDigi CNQ. Implementacion MODO
2.Subtarea: MAN-185. Pruebas UAT e Implementación. (Panel de Agente / SIGA).</t>
  </si>
  <si>
    <t>MAN-186</t>
  </si>
  <si>
    <t>Pruebas UAT e Implementación. (NO GANADORES)</t>
  </si>
  <si>
    <t>Buenos días;
Se entrega el desarrollo probado de No Ganadores para el pedido de agregar Columna de juego en FE y archivo pdf.
Este pedido, por el momento es para la provincia de Corrientes.
La prueba UAT y su posterior implementación en producción coordinarlo con "servicio al cliente" e "Infra" respectivamente.
Ambiente de test / Prueba.
Con las credenciales y url del documento adjunto se probó:
Que se agregó la columna “juego” en FE.
Que se agregó la columna “juego“ en PDF.
VERSIONES
No Ganadores Service: 1.2.0
No Ganadores Operador: 1.1.0
Se informa que se agregó en tabla 'parametros' el campo "nombre".
(se adjunta SCRIPT de implementación para producción)
IMPACTO
En FrontEnd, servico y BD de No Ganadores.  
RECOMENDACIONES
Para implementar en la provincia de Corrientes. 
JIRAS:
1. Jira: MAN-18. COR NOGA MAN-10139. Agregar columna con nombre de juego
2.Subtarea: MAN-186. Pruebas UAT e Implementación. (NO GANADORES).</t>
  </si>
  <si>
    <t>MAN-187</t>
  </si>
  <si>
    <t>RN SAA. Cambio valores de Telebingo</t>
  </si>
  <si>
    <t>Desde Loteria de Rio Negro piden el cambio de valor de Patagonia Telebingo sorteo 381, comienza toma de apuestas el 27/01/2025, valor $ 2.200 para el sorteo 382 vuelve a valor $ 2.000.</t>
  </si>
  <si>
    <t>MAN-188</t>
  </si>
  <si>
    <t>Analisis y Seguimiento. SLA LOTLINE MAN-10297. No funciona enlace a reglamentos de juegos.</t>
  </si>
  <si>
    <t>Actualizar redireccionamiento de donde tiene que apuntar lotline para buscar los reglamentos de juego.</t>
  </si>
  <si>
    <t>MAN-189</t>
  </si>
  <si>
    <t>SLA LOTLINE. Actualizar enlace a reglamentos de juegos</t>
  </si>
  <si>
    <t>1 ) Charla con R.Canavoso:
Se aclara que para cuando haya un cambio de reglamento que haga que se cambie el enlace en Lotline, SE DEBE AVISAR para cambiar a la nueva url que se genere con lo nuevo.
Ella es la encargada de la Pag. de Salta , por lo que procederá (avisará) cuando haya cambio alguno.
2 ) Pasó las siguientes url para que las acualice en Lotline:
Tombola: https://www.loteriadesalta.com/como-jugar/#tab-3151
Tombo Express: https://www.loteriadesalta.com/como-jugar/#tab-3152
Loto Plus: https://www.loteriadesalta.com/como-jugar/#tab-3156
Quini 6: https://www.loteriadesalta.com/como-jugar/#tab-3157</t>
  </si>
  <si>
    <t>MAN-190</t>
  </si>
  <si>
    <t>Actualizar ver 206</t>
  </si>
  <si>
    <t>MAN-191</t>
  </si>
  <si>
    <t>MAN-192</t>
  </si>
  <si>
    <t>RN-SAA- Error en adjudicacion de billetera</t>
  </si>
  <si>
    <t>Ricardo Marino</t>
  </si>
  <si>
    <t>En el sorteo nocturno dia 22-1 figura leyenda “Cupones inconclusos”</t>
  </si>
  <si>
    <t>MAN-193</t>
  </si>
  <si>
    <t>SLA GAMMA Correlatividad de asientos para cada organización</t>
  </si>
  <si>
    <t>Luis Rodriguez</t>
  </si>
  <si>
    <t>Prioridad 3</t>
  </si>
  <si>
    <t>GAMMA está numerando los asientos de manera correlativa, pero sin tomar en cuenta la organización que lo genero.
Se necesita que cada vez que una organización (Salta, Jujuy etc.) consulte los asientos vea los propios, numerados de manera correlativa.
Se adjunta captura de pantalla de como se visualiza en la actualidad.</t>
  </si>
  <si>
    <t>MAN-194</t>
  </si>
  <si>
    <t>Modificar la tabla CUPONES y verificar packages afectados</t>
  </si>
  <si>
    <t>Se necesita modificar el campo D_CTRL1 de la tabla CUPONES. Actualmente, es un varchar2(40). Agrandarlo a un varchar2(100).
Hay en el repositorio de SAA, un directorio llamado Version206. Guardar los archivos en ese directorio por favor.
Para implementar el cambio, usar el esquema stg de operac.
Usar la siguiente estrategia: implementar el ALTER TABLE y luego compilar los packages con la siguiente instrucción:
exec dbms_utility.compile_schema (user, false) ;
Luego, verificar si quedaron packages inválidos. Aquellos que hayan quedado inválidos habrá que revisar.
Cualquier duda, consultar.</t>
  </si>
  <si>
    <t>MAN-195</t>
  </si>
  <si>
    <t>Gamma- Integracion Netsuite -Actualizacion ambiente PRD</t>
  </si>
  <si>
    <t>Coordinación con PO (Sabrina Amarilla-Lotería de Salta)
Backup de ambiente PRD (Gustavo Duarte)
Ejecutar scripts de actualización códigos contables para Netsuite (Fabian Romero)
Actualizar servicios para Netsuite (contabil-gateway Gustavo Duarte)
Control Lotería de Salta (Sabrina Amarilla-Lotería de Salta)</t>
  </si>
  <si>
    <t>MAN-196</t>
  </si>
  <si>
    <t>Listados → Listados Generales → Listados para Santiago del Estero → Minuta de cuenta corriente Santiago (Listado nro: 6)
desplegué en ernesto un FE para que prueben el listado corregido.
FE: http://ernesto.tecnoaccion.com.ar:8080/feweb206Develop
Esquema de base de datos: stg@operac
Credenciales: TECNOPERAC / Operacion2016*
No hace falta tener datos para realizar las pruebas porque el problema estaba en la cantidad de agentes seleccionados en el filtro.
Hay que hacer 4 pruebas:
1- con todos los agentes seleccionados y el check box "Solo Totales" sin check
2- con algunos agentes seleccionados y el check box "Solo Totales" sin check
3- con todos los agentes seleccionados y el check box "Solo Totales" con check
4- con algunos agentes seleccionados y el check box "Solo Totales" con check</t>
  </si>
  <si>
    <t>MAN-197</t>
  </si>
  <si>
    <t>SLA Lotemovil PDV no visualicen en CC el concepto de Ingresos Brutos</t>
  </si>
  <si>
    <t>Falta validar</t>
  </si>
  <si>
    <t>Se solicita en el LOTEMOVIL que los PDV que no sean concentrados no visualicen en Cuenta Corriente el concepto de Ingresos Brutos.</t>
  </si>
  <si>
    <t>MAN-198</t>
  </si>
  <si>
    <t>MAN-199</t>
  </si>
  <si>
    <t>SLA- Actualizacion servjue206</t>
  </si>
  <si>
    <t>Instalación de servjue-master-3909-206 y ejecución de script, para acondicionar la implantación de versión 206</t>
  </si>
  <si>
    <t>MAN-200</t>
  </si>
  <si>
    <t>MAN-37 - SDE - SAA-Implementacion</t>
  </si>
  <si>
    <t xml:space="preserve"> Descripción implementar F.end SAA
</t>
  </si>
  <si>
    <t>MAN-201</t>
  </si>
  <si>
    <t xml:space="preserve">SDE - SAA Cupon con premio que no entro a SAA </t>
  </si>
  <si>
    <t>Envian un cupon de TJ de la maquina 898001 del 25/01 que no entro al SAA, el mismo tienen premio. En los listados se observa que hay un hueco entre las 13:42 y 19:12. Ese dia la TJ hizo un Fin de Jornada. Se adjunta el cupon, el Fin de Jornada y listado de movimientos de esa terminal.</t>
  </si>
  <si>
    <t>MAN-202</t>
  </si>
  <si>
    <t xml:space="preserve">SLA - SUNMI Mensaje de error al cobrar con Mercado Pago </t>
  </si>
  <si>
    <t>Al realizar un cobro por Mercado Pago, en la Sumni sale un mensaje erróneo como se ve en la imagen que se adjunta, donde dice que expiro y ahí debiera decir Cobro realizado con éxito.
Cuando se consultan los movimientos, el pago impacto de manera normal.Al realizar un cobro por Mercado Pago, en la Sumni sale un mensaje erróneo como se ve en la imagen que se adjunta, donde dice que expiro y ahí debiera decir Cobro realizado con éxito.
Cuando se consultan los movimientos, el pago impacto de manera normal.</t>
  </si>
  <si>
    <t>MAN-203</t>
  </si>
  <si>
    <t>Saa</t>
  </si>
  <si>
    <t>Loteria de Rn solicita el cambio de valor de Patagonia Telebingo para el sorteo 382, inicio de toma de apuestas 03/02/2025 valor $ 2.000</t>
  </si>
  <si>
    <t>MAN-204</t>
  </si>
  <si>
    <t>COR-SIGA agregar codigo</t>
  </si>
  <si>
    <t>Lotería Correntina solicita agregar el código 32-Comisión Adicional Afiliados Negativa de la imputación 62-Casinos del Litoral para imputarse como base en la generación del padrón de retenciones del mes de Enero.</t>
  </si>
  <si>
    <t>MAN-205</t>
  </si>
  <si>
    <t>Modificación SIGA comisiones Ag. 1</t>
  </si>
  <si>
    <t>Rodolfo Ferreyra</t>
  </si>
  <si>
    <t>MAN-206</t>
  </si>
  <si>
    <t>RN LOTEMOVIL Incorporacion de listados al panel de agentes</t>
  </si>
  <si>
    <t>Se requiere desarrollo. Tiempo promedio 1 semana</t>
  </si>
  <si>
    <t>Desde Loteria solicitan que en el panel de agentes (lotemovil) se incluya el listado Recaudación por tj consolidado ya que las agencias lo utilizan a diario. También se podría agregar al pedido los listados Recaudación por Tj y recaudación por Tj juegos.</t>
  </si>
  <si>
    <t>MAN-207</t>
  </si>
  <si>
    <t>SLA PAGINA OFICIAL Implementar Google analitycs</t>
  </si>
  <si>
    <t>Andrea lo ve con Alma Daubenfeld. Resuelto desde Salta.</t>
  </si>
  <si>
    <t>Se solicita instalar Google analítycs para la página de Loteria de Salta.  
Loteria de Salta – Operado por Tecno Acción Salta S.A.</t>
  </si>
  <si>
    <t>MAN-208</t>
  </si>
  <si>
    <t>NQN- Lotemovil - Error en la adjudicacion</t>
  </si>
  <si>
    <t>Para Implementar</t>
  </si>
  <si>
    <t>Al adjudicar el sorteo de quiniela matutina da un error
“Cupones inconclusos”</t>
  </si>
  <si>
    <t>MAN-209</t>
  </si>
  <si>
    <t>Pagina web Tecno Accion (cambio de versión de librería Jquery)</t>
  </si>
  <si>
    <t>Falta resultado del pentest</t>
  </si>
  <si>
    <t>Se requerie cambio de versión de librería Jquery en tecnoaccion.com.ar (desarrollo)</t>
  </si>
  <si>
    <t>MAN-210</t>
  </si>
  <si>
    <t>Pagina web Tecno Accion (errores de certificado)</t>
  </si>
  <si>
    <t>Finalizado</t>
  </si>
  <si>
    <t>Requerimiento de errores de certificado (Infra).</t>
  </si>
  <si>
    <t>MAN-211</t>
  </si>
  <si>
    <t>MAN-212</t>
  </si>
  <si>
    <t>Implementación Técnica</t>
  </si>
  <si>
    <t>MAN-213</t>
  </si>
  <si>
    <t>MAN-214</t>
  </si>
  <si>
    <t>Lotline- Errores al realizar adjudicacion</t>
  </si>
  <si>
    <t>Al adjudicar billetera surgió en RN y luego en Nqn la leyenda “cupones inconclusos”
Se debería analizar la causa de estos cupones y accionar para evitar estos errores</t>
  </si>
  <si>
    <t>MAN-215</t>
  </si>
  <si>
    <t>La Rioja - Mantenimiento server virt-lrline3</t>
  </si>
  <si>
    <t>La Rioja</t>
  </si>
  <si>
    <t>Infraestructura</t>
  </si>
  <si>
    <t>Se necesita realizar tareas de mantenimiento servidor virt-lrline3</t>
  </si>
  <si>
    <t>MAN-216</t>
  </si>
  <si>
    <t>La Pampa - Mantenimiento server virt-pampaline1</t>
  </si>
  <si>
    <t>Solicitud de Infra, se deben realizar tareas de mantenimiento.
Se solicito autorización para realizarlas el 30/1/2025 al cierre de las tareas de operación de la provincia</t>
  </si>
  <si>
    <t>MAN-217</t>
  </si>
  <si>
    <t>JUY LOTLINE Creacion de demo</t>
  </si>
  <si>
    <t xml:space="preserve"> Sprint 8</t>
  </si>
  <si>
    <t>Demo martes 11/02. Se adjunta mail de confirmacion</t>
  </si>
  <si>
    <t>Se solicita la creacion de una demo de lotline para Jujuy</t>
  </si>
  <si>
    <t>JUY LOTLINE Ejecución de scripts de adaptabilidad de SAA a Lotline.</t>
  </si>
  <si>
    <t>Fernando Isidro</t>
  </si>
  <si>
    <t>Ejecución de scripts de adaptabilidad de SAA a Lotline.</t>
  </si>
  <si>
    <t>MAN-218</t>
  </si>
  <si>
    <t>COR SAA Elevar monto maximo de cupon</t>
  </si>
  <si>
    <t>Gerencia de Comercialización de la Lotería, Solicita elevar el monto de máximo por cupón que actualmente está en $5000 llevarlo a $10000.
En lo posible si puede ser a partir del 01/02/2025.</t>
  </si>
  <si>
    <t>MAN-219</t>
  </si>
  <si>
    <t>Gamma Multiempresa- Implementacion en Produccion</t>
  </si>
  <si>
    <t>Actualizar version de produccion.</t>
  </si>
  <si>
    <t>MAN-220</t>
  </si>
  <si>
    <t xml:space="preserve">SLA SAA Cambio leyenda de cupon </t>
  </si>
  <si>
    <t>Solicitan cambio de nombre en cupón-sistema de nombre del juego "La Changuita Express", siendo este el que corresponde y no "Changa Express".
Donde dice "Changa Express" corresponde "La Changuita Express"</t>
  </si>
  <si>
    <t>MAN-221</t>
  </si>
  <si>
    <t>COR-SIGA Reporte ventas y comisiones</t>
  </si>
  <si>
    <t>Lotería Correntina solicita reportes de ventas y comisiones por subagentes del mes enero 2025 de todos los juegos.</t>
  </si>
  <si>
    <t>MAN-222</t>
  </si>
  <si>
    <t>SDE-SAA Habilitación de listado de inconsistencias(huecos)</t>
  </si>
  <si>
    <t>En análisis con Rodo y Héctor. Beto de vacaciones.</t>
  </si>
  <si>
    <t>Se solicita de forma urgente para poner en SDE el listado de inconsistencias ( huecos).</t>
  </si>
  <si>
    <t>MAN-223</t>
  </si>
  <si>
    <t>MAN-224</t>
  </si>
  <si>
    <t>SLA-GAMMA Generacion de reporte cierre enero25</t>
  </si>
  <si>
    <t>Solicitan la generación del reporte de cierre del mes enero 2025.</t>
  </si>
  <si>
    <t>MAN-225</t>
  </si>
  <si>
    <t>MAN-226</t>
  </si>
  <si>
    <t>MAN-227</t>
  </si>
  <si>
    <t>RN-SAA No registra datos de pagos en el cupon</t>
  </si>
  <si>
    <t>Pantalla pagadora</t>
  </si>
  <si>
    <t>RN - SAA- Error al registrar cupón pagado por tesorería.
No registra datos de pago en el cupón, al ingresar nuevamente da mensaje cupón cargado previamente</t>
  </si>
  <si>
    <t>MAN-228</t>
  </si>
  <si>
    <t>Disponibilizar Front-end test jujuy</t>
  </si>
  <si>
    <t xml:space="preserve">Crear Front end de juegos para test de lotline Jujuy.
Base de datos : oci-test-juj.tecnoaccion.com.ar </t>
  </si>
  <si>
    <t>MAN-229</t>
  </si>
  <si>
    <t>Diponibilizar SIGA test jujuy</t>
  </si>
  <si>
    <t>Link previemante utilizado http://ernesto.tecnoaccion.com.ar:8090/sigawebJLT/ no funciona o esta roto.</t>
  </si>
  <si>
    <t>MAN-230</t>
  </si>
  <si>
    <t>SLA GAMMA Problemas en la refinanciación del 2-feb</t>
  </si>
  <si>
    <t>Luego de realizar varias pruebas en el entorno de UAT con los datos productivos detectamos que el microservicio checking_account utiliza una función que realiza un paginado para traer datos de agencias. Esta función fue desarrollada hace mas de un año pero por alguna situación en particular se activó en la liquidación del 2-feb para la organización Salta. Se realizaron cambios en UAT, se pudo avanzar con el proceso de operación bajo la modalidad de refinanciación y luego se aplicó un hotfix en el entorno de PRD para que la lotería pueda avanzar con su operatoria normal. También hemos abierto un ticket para analizar la causa raíz del problema.</t>
  </si>
  <si>
    <t>MAN-231</t>
  </si>
  <si>
    <t>SLA SAA  Total Neto erroneo en M5</t>
  </si>
  <si>
    <t xml:space="preserve">Esta implementado, lo que falta implementar es la corrección se que se da cuando Mercado pago es superior a lo recaudado. </t>
  </si>
  <si>
    <t>Se necesita de manera urgente se solucione el item Total Neto que esta saliendo en los M5 de las terminales y esta mostrando información que no es la real, cuando las sumas, restas entre recaudación, premios y mercado pago, hacen que este total se tenga que mostrar negativo</t>
  </si>
  <si>
    <t>MAN-232</t>
  </si>
  <si>
    <t>SLA Lotemovil</t>
  </si>
  <si>
    <t>Desde Loteria solicitan solucionar el logueo en Lotemóvil, si bien se hizo una actualización el viernes31/1 el problema persisite. Se adjunto el correo con el paso a paso de esta situacion.</t>
  </si>
  <si>
    <t>MAN-233</t>
  </si>
  <si>
    <t>RN SIGA Consulta por combos LU</t>
  </si>
  <si>
    <t>Loteria de RN consulta por las ventas de los sorteos extraordinarios de lotería unificada de fin de año 2024/2025.
Necesito saber la cantidad de combos (4 sorteos) que vendieron cada agencia posterior a la liberación de los sorteos. en el sistema solo veo hasta la fecha de venta de la chequera.</t>
  </si>
  <si>
    <t>MAN-234</t>
  </si>
  <si>
    <t>SLA TREX</t>
  </si>
  <si>
    <t>Trex</t>
  </si>
  <si>
    <t>Fabian Figueroa</t>
  </si>
  <si>
    <t>GAMMAPROV-627. Lo esta viendo Ricardo Marino</t>
  </si>
  <si>
    <t>QA - NO muestra extractos de "Pozo de la Quiniela"</t>
  </si>
  <si>
    <t>MAN-235</t>
  </si>
  <si>
    <t>GAMMAPROV-628</t>
  </si>
  <si>
    <t>QA - Extracto "Loto5" NO muestra aciertos y pozos</t>
  </si>
  <si>
    <t>MAN-236</t>
  </si>
  <si>
    <t>GAMMAPROV-629</t>
  </si>
  <si>
    <t>QA - Cambio archivo XML de Loto y Loto5</t>
  </si>
  <si>
    <t>MAN-237</t>
  </si>
  <si>
    <t>GAMMAPROV-631</t>
  </si>
  <si>
    <t>QA - Telekino - Aciertos.</t>
  </si>
  <si>
    <t>MAN-238</t>
  </si>
  <si>
    <t>GAMMAPROV-632</t>
  </si>
  <si>
    <t>QA - Telekino - Pozo acumulado</t>
  </si>
  <si>
    <t>MAN-239</t>
  </si>
  <si>
    <t>GAMMAPROV-633</t>
  </si>
  <si>
    <t>QA - Telekino - Premio extra</t>
  </si>
  <si>
    <t>MAN-240</t>
  </si>
  <si>
    <t>GAMMAPROV-760. Lo esta viendo Ricardo Marino</t>
  </si>
  <si>
    <t>QA - NO carga extracto Pozo Quiniela</t>
  </si>
  <si>
    <t>MAN-241</t>
  </si>
  <si>
    <t>GAMMAPROV-834</t>
  </si>
  <si>
    <t>QA - Endpoint - trex tj datos erroneos</t>
  </si>
  <si>
    <t>MAN-242</t>
  </si>
  <si>
    <t>GAMMAPROV-835</t>
  </si>
  <si>
    <t>QA - Endpoint - trex smartview/Lotemovil/web datos erroneos</t>
  </si>
  <si>
    <t>MAN-243</t>
  </si>
  <si>
    <t>GAMMAPROV-625</t>
  </si>
  <si>
    <t>QA - NO caduca sesion</t>
  </si>
  <si>
    <t>MAN-244</t>
  </si>
  <si>
    <t>GAMMAPROV-623</t>
  </si>
  <si>
    <t>QA - Pantalla de loguin</t>
  </si>
  <si>
    <t>MAN-245</t>
  </si>
  <si>
    <t>GAMMAPROV-624</t>
  </si>
  <si>
    <t>QA - Falta de filtros</t>
  </si>
  <si>
    <t>MAN-246</t>
  </si>
  <si>
    <t>GAMMAPROV-626</t>
  </si>
  <si>
    <t>QA - Borrado de filtros al volver hacia atras</t>
  </si>
  <si>
    <t>MAN-247</t>
  </si>
  <si>
    <t>GAMMAPROV-630</t>
  </si>
  <si>
    <t>QA - Extracto Telekino - Nro de carton</t>
  </si>
  <si>
    <t>MAN-248</t>
  </si>
  <si>
    <t>GAMMAPROV-634</t>
  </si>
  <si>
    <t>QA - BD TREX- Tabla "lineas_Extractos"</t>
  </si>
  <si>
    <t>MAN-249</t>
  </si>
  <si>
    <t xml:space="preserve">Salta </t>
  </si>
  <si>
    <t>Analizar versionado de Trex</t>
  </si>
  <si>
    <t>MAN-250</t>
  </si>
  <si>
    <t xml:space="preserve">SLA GAMMA ERROR EN LA CONFECCION DE LAS OBLIGACIONES
</t>
  </si>
  <si>
    <t>Sabrina Amarilla</t>
  </si>
  <si>
    <t>Al cargar al archivo de bco (cobros realizados), en gamma impacta como fecha de imputación la fecha de carga, cuando debería tener fecha de vencimiento del resúmen que se está pagando, esto andaba correctamente hasta la implementación que se realizo el 02/03 de febrero dado que impacto en Salta la configuración de la caja establecida para Jujuy y esto no debería ser asi. Necesitamos lo solucionen de manera urgente para que no nos vuelva a ocurrir esto nuevamente el lunes.</t>
  </si>
  <si>
    <t>MAN-251</t>
  </si>
  <si>
    <t>LR - Actualizar version SAA Services</t>
  </si>
  <si>
    <t>SAA Service</t>
  </si>
  <si>
    <t>Gustavo Duarte</t>
  </si>
  <si>
    <t>Infra</t>
  </si>
  <si>
    <t>el endpoint de adjudicacion no trae la informacion de fecha_toto_premios</t>
  </si>
  <si>
    <t>MAN-252</t>
  </si>
  <si>
    <t>SLA SAA  Habilitación PDV Concentrador</t>
  </si>
  <si>
    <t>Paolo Alarcon</t>
  </si>
  <si>
    <t>Roberto Molina</t>
  </si>
  <si>
    <t>Todavía no refleja bien información de provincia, país y localidad</t>
  </si>
  <si>
    <t xml:space="preserve">Se esta avanzando con la creación de una red de venta propia  (Sub Agencias que dependen directamente de Lotería).
Para poder lograr la diferenciación de estos PDV -  Propios, se pensó en arrancar la numeración de las mismas desde el 1.000 (un mil)
Por este motivo y como el SAA tiene la limitación 999, se pide que nos habiliten el rango para poder crear los mismos.
</t>
  </si>
  <si>
    <t>MAN-253</t>
  </si>
  <si>
    <t>SC SIGA Error en entrega y devolucion Minibingo</t>
  </si>
  <si>
    <t>SIGA</t>
  </si>
  <si>
    <t>Error al cargar archivo de entregas y devoluciones de Minibingo sorteo 837. Solución: Se elimino ingreso de entregas y devoluciones en estado erronio, se solicito que loteria los ingrese nuevamente, y salió todo ok</t>
  </si>
  <si>
    <t>MAN-254</t>
  </si>
  <si>
    <t>SC SAA Cupones no impresos</t>
  </si>
  <si>
    <t>Ver con HK</t>
  </si>
  <si>
    <t>El día jueves 6 de este mes hubo un problema en el proceso de adjudicación de la matutina cerca de las 15:45, el SAA quedo detenido en la generación de archivos para TR y no avanzo. Se intento repetidas veces volver adjudicar y no lo permitía. Se dio aviso a soporte de aplicaciones, finalmente a las 17:50 se pudo adjudicar y no hubo otros problemas en esa jornada. Al día siguiente, viernes 7 llama la agencia 151 de Perito Moreno reclamando por una diferencia de $80.000 en lo que le cobraban, lo que recaudo, recordó que cerca de las 17:30 intento hacer una jugada por $10.000, que como no la imprimía lo volvió a intentar, esto lo hizo 4 veces por máquina. Revisando las operaciones de ese día con Fernando Isidro efectivamente se detuvo el procesamiento de apuestas en un periodo de 10 minutos.</t>
  </si>
  <si>
    <t>MAN-255</t>
  </si>
  <si>
    <t>CTC SGC Libro diario no trae datos</t>
  </si>
  <si>
    <t>SGC</t>
  </si>
  <si>
    <t>Ernesto Alderete</t>
  </si>
  <si>
    <t>Se detectaron dos ID_CUENTA sin crear para el plan 11 del ejercicio 2023 Modelo 22 líneas 2 y 26.  Se crearon ambas cuentas en SGC y se pudo generar reportes de todo el año 2023.
La configuración quedó definida de la siguiente manera:
linea 2 :Cta 4610
Linea  26 ----Cta6147
Plan 11 Modelo 22.
Se espera confirmación por parte de la Lotería. Lo harán el día lunes 17-02-2025.</t>
  </si>
  <si>
    <t>No se puede ver ni descargar el libro diario general, el libro diario mayor si funciona de forma correcta.</t>
  </si>
  <si>
    <t>MAN-256</t>
  </si>
  <si>
    <t>BITA- Capacitacion area SApp</t>
  </si>
  <si>
    <t>BITA</t>
  </si>
  <si>
    <t>Claudia saissac</t>
  </si>
  <si>
    <t>Positivo y conformes</t>
  </si>
  <si>
    <t xml:space="preserve"> Capacitación funcional a Soporte, entrega de documentación de aplicativo y base de datos, capacitación funcional, capacitación de operación, capacitación en modelo de base de datos y comparativo con SAA, capacitación para resolución de problemas frecuentes (falta de actualización desde el SAA, actualizaciones erróneas como payout, ingreso de nuevos códigos, etc.)</t>
  </si>
  <si>
    <t>MAN-257</t>
  </si>
  <si>
    <t>BITA-problema del payout erróneo</t>
  </si>
  <si>
    <t>Gustavo Uribe</t>
  </si>
  <si>
    <t>Por Hacer</t>
  </si>
  <si>
    <t>MAN-258</t>
  </si>
  <si>
    <t>LP -SGC Error al generar OP</t>
  </si>
  <si>
    <t>Generamos la Orden de Pago 250 a favor de Pezzola. Cuando la generamos nos tiro error pero se generó igualmente. El problema es que no nos deja imprimirla</t>
  </si>
  <si>
    <t>MAN-259</t>
  </si>
  <si>
    <t>COR-SAA Elevar montos de importe en cupon</t>
  </si>
  <si>
    <t>Se solicita tenga a bien y a la máxima brevedad aumentar los siguientes valores en corrientes:
Valor Máximo por extracto en cupon $ 10.000 (7 extractos $70.000)
Valor Mínimo por Cupón $ 100 
Valor Mínimo por línea $10
Valor Máximo por Redoblona $2.000</t>
  </si>
  <si>
    <t>MAN-260</t>
  </si>
  <si>
    <t>TDF SAA Actualizacion BD, SAA Services y servjue</t>
  </si>
  <si>
    <t>Verificando se observa que las versiones de Base de Datos, SAA Services y servjue están muy desactualizadas por lo que nos gustaría aprovechar y actualizarlos
Necesitamos generar un jira para el resto de los componentes.
Se podría realizar las actualizaciones en el día de mañana.
Componentes F.End SAA  Responsable G.Duarte
BD 10 minutos
SAA Services Responsable G.Duarte
El tiempo estimado necesario para implementar los 3 componentes es de aproximadamente 30 minutos.
Servjue 5 minutos  Responsable Fer Isidro</t>
  </si>
  <si>
    <t>MAN-261</t>
  </si>
  <si>
    <t>RN Server Nginx con caidas diarias</t>
  </si>
  <si>
    <t>Esteban Sosa</t>
  </si>
  <si>
    <t>28/02 Esteban hace mas de una semana que no reinicia. Lado comunica dice que no pasa en otras provincias, puede que sea que no bajan procesos a diario y el log se hace demasiado grande. No encuentran otra posible falla.</t>
  </si>
  <si>
    <t>Se debe relanzar todos los dias el servidor Nginx ya que las TJ con Wifi se quedan sin servicio</t>
  </si>
  <si>
    <t>MAN-262</t>
  </si>
  <si>
    <t>RN SAA Borrado de archivos historicos de FrontEnd</t>
  </si>
  <si>
    <t xml:space="preserve">Esteban dice que sigue pasando, del lado de infraestructura no tienen nada automatizado para que pase esto. Se le pidio a Esteban revisar las PC de la red local para encintrar si se estan borrando archivos localmente. ES indica que no tiene acceso a algunas PC del personal de Loteria como para corroborar. </t>
  </si>
  <si>
    <t>En Viedma detectamos, que los archivos que genera el Frontend de forma diaria ya no se encuentran disponible en el disco z. Revisando solo están los de los últimos 7 días. Supongo que puede existir un cron que borra estos archivos y solo mantiene "vivos" los de la última semana.
Estimamos que se perdieron más de 25000 archivos, por casualidad quedó uno que data del 2020!.
Informan desde cómputos que sigue sucediendo lo mismo aprox a las 10.15 horas. Confirmado con el CC y los archivos que tiene son los de la última semana (7 días), desde el día 06/02.</t>
  </si>
  <si>
    <t>MAN-263</t>
  </si>
  <si>
    <t>LP SAA Aumento minimos x apuesta y cupon y aumento del limite del monto apuesta a 3 y 4 cifras</t>
  </si>
  <si>
    <t xml:space="preserve">Desde Loteria solicitan que a partir del 1/03/2025 el valor minimo por apuesta sea de $ 60 y el valor minimo por cupon sea de $ 120. Tambien solicitan ampliar el monto de las apuestas a 3 cifras en $ 30.000 y el monto de las apuestas de 4 cifras en $ 6.000. </t>
  </si>
  <si>
    <t>MAN-264</t>
  </si>
  <si>
    <t xml:space="preserve">BITA Tabla para cálculo de Esperanza Matemática </t>
  </si>
  <si>
    <t>Se realizó análisis funcional. Es necesario optimizar tabla de apuestas para continuar. Se tuvo reunión con Duarte. Se habló con José Arata. Se necesita DBA para optimizar algunas tablas. Hay que preparar un informe para pasar al DBA</t>
  </si>
  <si>
    <t>Se adjunta mail con el requerimiento</t>
  </si>
  <si>
    <t>MAN-265</t>
  </si>
  <si>
    <t>SLA GAMMA crear comision para PDV propios</t>
  </si>
  <si>
    <t>Se solicita dado que actualmente GAMMA tiene una limitación donde no se puede acceder al frontend para trabajar sobre el abm de reglas solicitamos que nos creen las reglas de comisión de los pdv propios, mismas se conforman de la siguiente manera:
 Comisión PDV PROPIO
 % de comisión: 13%
 Imputación a la que aplica: todas las imputaciones (a excepción de Betwarrior)
 PDV a los que aplica: 1001 Y 1002</t>
  </si>
  <si>
    <t>MAN-266</t>
  </si>
  <si>
    <t>NQN SAA Aumento adelanto de premios</t>
  </si>
  <si>
    <t xml:space="preserve">Necesitamos aumentar los límites de adelantos de premios a agencias con y sin retención (la última vez se realizó en 02/2024).
El límite de premios de Quiniela actual es de $800.000 y lo queremos elevar a  $1.600.000
El límite de premios con Retencion actual es de $400.000 y lo queremos elevar a $800.000
La vigencia de este cambio debería ser a partir de los sorteos del día lunes 24/02/2025 (procesado el 25/02/2025)
</t>
  </si>
  <si>
    <t>MAN-267</t>
  </si>
  <si>
    <t xml:space="preserve">SLA SAA Cambio de nombre a evento de BINGO
</t>
  </si>
  <si>
    <t>Riberto Molina</t>
  </si>
  <si>
    <t>Cambiar nombre del evento existente como Bingo Colectividades por el siguiente:
Bingo Monumental
Valor del cartón $ 8.000
Fecha de sorteo: 16/03/2025
Número de sorteo: 14
Esto es a los efectos de poder realizar la carga del stock en el sistema-</t>
  </si>
  <si>
    <t>MAN-268</t>
  </si>
  <si>
    <t>LP SAA Aumento apuesta y cupon de Instantanea</t>
  </si>
  <si>
    <t>Solicitan aumento del importe minimo por cupon: Pesos ochenta ($80) importe minimo por apuesta: Pesos cuarenta ($40). Importe maximo por apuesta: A una cifra o ulima cifra Pesos mil ($1.000), a Dos cifras o dos ultimas cifras pesos seiscientos ($600) y a las Tres cifras o ultimas tres pesos doscientos ($200). Todo esto en Quiniela Instantanea. Adjunto la resolucion.</t>
  </si>
  <si>
    <t>MAN-269</t>
  </si>
  <si>
    <t>COR Lotemovil cupones No ganadores en app celular</t>
  </si>
  <si>
    <t>Sprint 11</t>
  </si>
  <si>
    <t>Priorizar para Sprint 11</t>
  </si>
  <si>
    <t>El pedido es que la consulta del sorteo de cupones no ganadores que está en la página Lotemovil también pueda visualizarse en la aplicacion de celulares de Lotemóvil.
Adjunto imágenes de como se ven en la página y en la aplicacion.</t>
  </si>
  <si>
    <t>MAN-270</t>
  </si>
  <si>
    <t>Betwarrior Diferencia recaudacion de Betwarrior</t>
  </si>
  <si>
    <t>Esta chequeado y solucionado ese problema (respuesta de Folco)</t>
  </si>
  <si>
    <t>Kambi esta tomando en cuanta como recaudación cupones que en SAA figuran como anulados (Comunes y especiales).  Se adjunta mail</t>
  </si>
  <si>
    <t>MAN-271</t>
  </si>
  <si>
    <t xml:space="preserve"> </t>
  </si>
  <si>
    <t xml:space="preserve">RN Lotline Error en la creación de usuario
</t>
  </si>
  <si>
    <t>Christian Torreblanca</t>
  </si>
  <si>
    <t>Este usuario estaba registrado en Neuquen, se borro para que pueda crear nuevamente pero en Rio Negro. Por lo que veo ya se registró en río Negro sin problemas.</t>
  </si>
  <si>
    <t>Una usuaria de Lotline que ya se había registrado hace un año, al buscarla no aparece tampoco puede ingresar. Adjunto capturas y datos para hacer la búsqueda
DNI:24.918.561, CUIL: 27-24918561-8, Patricia Andrea Kalamicoy.
Domicilio es en Mainqué Isla N°52 , Río Negro.</t>
  </si>
  <si>
    <t>MAN-272</t>
  </si>
  <si>
    <t xml:space="preserve">SLA GAMMA Desincronización entre SAA y GAMMA
</t>
  </si>
  <si>
    <t>Prioridad 1. Se realizaron pruebas con Rmolina cambiando datos en el PDV 936-8 para validar que los cambios en gamma impactan en SAA y no se produjo por lo que quedamos a la espera de mañana si el cambio termina de impactar o no, si no lo hace el problema no es producto de gamma</t>
  </si>
  <si>
    <t>Se detecto que en GAMMA no nos deja cambiar el estado habilitado a deshabilitado en frontend y debemos considerar que todo cambio realizado en gamma impacta en saa. 
El impacto que estamos teniendo es que a los PDV que deberían figurar como deshabilitado se le esta cobrando csa y es una maquina q esta de baja, dicho esto gamma le pone el habilitado al hacer eso le cambia en saa y se le cobra.
Solitamos una solución urgente.</t>
  </si>
  <si>
    <t>MAN-273</t>
  </si>
  <si>
    <t>NQN Lotline Retiros de billetera virtual no figuran en resumen de cuenta</t>
  </si>
  <si>
    <t>Hablar con HM ya que esto no aparecio nunca en resumen CC. No es un error, si Loteria lo solicita se evaluara su desarrollo.</t>
  </si>
  <si>
    <t xml:space="preserve">Se comunicó la agencia 441 informando que en el resumen de cuenta corriente del 18/2 no figura un retiro de la billetera virtual de $200.000. Hicimos la consulta en Lotline para corroborar, y efectivamente allí figura ese movimiento (pero no en el resumen).
Hoy mandó otro comprobante de retiro del 19/2 por $140.000, y en este caso además de no figurar en el resumen tampoco figura en Lotline. 
Mando en el adjunto los 2 comprobantes de retiro que envió el agenciero y el reporte de Lotline del 18/2 donde están los $200.000. 
Por favor, necesitamos que hagan los ajustes correspondientes, y que detecten la falla para que no le siga generando esa diferencia a la agencia. </t>
  </si>
  <si>
    <t>MAN-274</t>
  </si>
  <si>
    <t>NQN Speta Problemas con los mail que salen de Speta</t>
  </si>
  <si>
    <t xml:space="preserve">Ver con RM. Reconfigurar </t>
  </si>
  <si>
    <t>No esta funcionando el envio automatico de correos desde Speta</t>
  </si>
  <si>
    <t>MAN-275</t>
  </si>
  <si>
    <t>RN Lotline No permite hacer jugadas</t>
  </si>
  <si>
    <t xml:space="preserve">Ya estaba resuelto, se debe volver a analizar porque volvio a pasar. </t>
  </si>
  <si>
    <t>No permite jugar Lotline. Comentario de GU "Es una tabla de Lotline que duplica una línea de parámetros fijos y por eso no funciona"</t>
  </si>
  <si>
    <t>MAN-276</t>
  </si>
  <si>
    <t>Desarrollo de integracion impresoras Bematech en Sunmi D02</t>
  </si>
  <si>
    <t>Sunmi</t>
  </si>
  <si>
    <t>Dante Casalla</t>
  </si>
  <si>
    <t>Claudio Ocampos</t>
  </si>
  <si>
    <t>Dante analizará con Juli este requerimiento.</t>
  </si>
  <si>
    <t>Desarrollo por parte del equipo de Sistemas para integrar la impresora Bematech disponibles en fabrica en la Sunmi D02</t>
  </si>
  <si>
    <t>MAN-277</t>
  </si>
  <si>
    <t>LP SGC Calculó erroneo en la retención de Impuesto a las Ganancias</t>
  </si>
  <si>
    <t>Anularon, volvieron a hacer y sigue saliendo mal. Anularon la OP y la realizaron por fuera.  Pidieron que controlemes la escala para calcular la retención de ganancias y que traten de solucionarlo para el futuro, porque seguramente este mes va a pasar lo mismo</t>
  </si>
  <si>
    <t>En la Orden de Pago 314 a favor de Punte Menendez Simon calculó mal la retención de Impuesto a las Ganancias. En la OP salio por $75.400,82 y el importe correcto es $67.409,70</t>
  </si>
  <si>
    <t>MAN-278</t>
  </si>
  <si>
    <t>JUY Gamma Problema Pre-liquidación en GAMMA</t>
  </si>
  <si>
    <t>Jose Candia</t>
  </si>
  <si>
    <t>Se analizará para reproducir el error. Prioridad 2</t>
  </si>
  <si>
    <t>El día de ayer(25/2) durante una pre-liquidación, GAMMA dió un error que no permitía realizarla.
Se hicieron Back Process sobre todos los movimientos y cálculos, se relanzaron servicios y aún persistía el problema.
Hubo intervención manual de Luis Rodriguez y Mario Corvalán de soporte para poder solucionar el problema de ese momento.
Lotería solicita que se revise para evitar atrasos en la liquidación a futuro.</t>
  </si>
  <si>
    <t>MAN-279</t>
  </si>
  <si>
    <t>Integración de equipos físicos del SAA a Salesforce</t>
  </si>
  <si>
    <t>Proyecto Salesforce</t>
  </si>
  <si>
    <t>Fernando Gutierrez</t>
  </si>
  <si>
    <t>18 de marzo de 2025</t>
  </si>
  <si>
    <t>Fecha comprometida 18/3</t>
  </si>
  <si>
    <t>MAN-280</t>
  </si>
  <si>
    <t>SDE Siga Resumen con total incorrecto y otro sin codigo de barra</t>
  </si>
  <si>
    <t>Santiago del Estero</t>
  </si>
  <si>
    <t>Guillermo Madalon</t>
  </si>
  <si>
    <t>Adjunto resumenes del Siga que manda la gente de La Banda, donde dicen que el primero no coincide con el total y el segundo esta sin codigo de barra.</t>
  </si>
  <si>
    <t>MAN-281</t>
  </si>
  <si>
    <t>Implementar Lotline en Santa Cruz</t>
  </si>
  <si>
    <t>Nicolás Vazquez</t>
  </si>
  <si>
    <t>Se debe definir fecha comprometida o fecha tentativa. Se comenzara el relavamiento luego dell lanzamiento en Jujuy</t>
  </si>
  <si>
    <t>MAN-282</t>
  </si>
  <si>
    <t>Implementar Lotline en La Rioja</t>
  </si>
  <si>
    <t xml:space="preserve">Se debe definir fecha comprometida o fecha tentativa </t>
  </si>
  <si>
    <t>MAN-283</t>
  </si>
  <si>
    <t>Implementar Lotline en Tierra del Fuego</t>
  </si>
  <si>
    <t>MAN-284</t>
  </si>
  <si>
    <t xml:space="preserve">COR Siga Padron de retenciones de febrero esta dando diferencias el calculo. </t>
  </si>
  <si>
    <t>Fabian Romero</t>
  </si>
  <si>
    <t>MAN-285</t>
  </si>
  <si>
    <t>Fabian Romero envio el reporte y espera el OK lado Loteria</t>
  </si>
  <si>
    <t>Lotería Correntina solicita reportes de ventas y comisiones por subagentes del mes febrero 2025 de todos los juegos.</t>
  </si>
  <si>
    <t>MAN-286</t>
  </si>
  <si>
    <t>SLA-GAMMA Generacion de reporte cierre febrero25</t>
  </si>
  <si>
    <t>Santiago Gabriel Aoki</t>
  </si>
  <si>
    <t>Solicitan el reporte de ventas de febrero.</t>
  </si>
  <si>
    <t>MAN-287</t>
  </si>
  <si>
    <t>SLA-GAMMA No funcionan las alertas</t>
  </si>
  <si>
    <t>Es una tarea operativa de Loteria, se debe hacer junto a MC o FR al momento de que aparezca alguna alerta, se homologa el codigo que aparezca.</t>
  </si>
  <si>
    <t>Al no estar funcionando como corresponde, permite realizar una liquidación con movimientos no homologados.</t>
  </si>
  <si>
    <t>MAN-288</t>
  </si>
  <si>
    <t>NQN-Panel de agentes Agencia nueva creada, no aparece la sub agencia 0</t>
  </si>
  <si>
    <t>Panel de agentes</t>
  </si>
  <si>
    <t>Lotería habilitó una agencia nueva (agencia 433) y no aparece la sub agencia 0 en el panel de agentes.</t>
  </si>
  <si>
    <t>MAN-289</t>
  </si>
  <si>
    <t>NQN-SPETA Archivo de liquidacion sin datos de recaudacion</t>
  </si>
  <si>
    <t>El archivo liquidación del sorteo 2590 aparece en cero, deberían aparecer los montos de las provincias.
Se adjunta el archivo generado por Speta de Rio Negro y Neuquén y envío el anterior que está correcto</t>
  </si>
  <si>
    <t>MAN-290</t>
  </si>
  <si>
    <t>RN-Lotemovil No se visualizan cupones de Money</t>
  </si>
  <si>
    <t>Esta en proceso la modificacion en el panel opera lotline.  Va a estar disponible cuando con la nueva version de opera lotline. Se adjunta mail de confirmacion de cierre</t>
  </si>
  <si>
    <t>Solicitan que desde cómputos puedan realizar una consulta por cupón de Money en Lotmovil.
En el día de ayer una sra llamo a cómputos para consultar por un cupón con premio que según ella no se lo acredito a su cuenta.</t>
  </si>
  <si>
    <t>MAN-291</t>
  </si>
  <si>
    <t>Capacitacion FABI para grupo SAP</t>
  </si>
  <si>
    <t>Luz Britos</t>
  </si>
  <si>
    <t>Claudia Saisacc</t>
  </si>
  <si>
    <t>Tiene que ser priorizada por SAP</t>
  </si>
  <si>
    <t>MAN-292</t>
  </si>
  <si>
    <t>NQN-SAA Aumento cupon Patagonia Telebingo y cambios en minimos</t>
  </si>
  <si>
    <t>Se va a analizar con personal de loteria. Fecha del negocio para cambio de valor</t>
  </si>
  <si>
    <t>Así quedarían los mínimos (adjunto resolución -ver art. 2-), de ser viable la implementación, la misma sería a partir del lunes siguiente, ya que a partir de ese dia tbm deberian cambiar parámetros de venta con el aumento de precio, todo ello para el sorteo del día domingo 23/3.</t>
  </si>
  <si>
    <t>MAN-293</t>
  </si>
  <si>
    <t>JUY-Siga Gamma Aumento del monto de la cuota societaria</t>
  </si>
  <si>
    <t>Siga Gamma</t>
  </si>
  <si>
    <t xml:space="preserve">Mario Corvalan </t>
  </si>
  <si>
    <t>Lotería comunica un pedido de la cámara de agencieros para actualizar el monto del cobro de la cuota societaria en SIGA y GAMMA.
Esta actualización deberá comenzar a cobrarse a partir del 1ero de abril del cte año.                       Nuevo valor $ 107.</t>
  </si>
  <si>
    <t>MAN-294</t>
  </si>
  <si>
    <t>COR-Implementación MODO Corrientes.: Estimación horas de desarrollo y testing QA para agregar un dato al mensaje</t>
  </si>
  <si>
    <t>Falta hacer pruebas</t>
  </si>
  <si>
    <t>MODO realizó una modificación de su servicio MODO y requiere que devolvamos el nuevo dato que nos indican.</t>
  </si>
  <si>
    <t>MAN-295</t>
  </si>
  <si>
    <t>LP-SAA Incluir en listado de ganadores los premios de Telekino</t>
  </si>
  <si>
    <t>Loteria solicita incluir en el listado de ganadores los premios de Telekino</t>
  </si>
  <si>
    <t>MAN-296</t>
  </si>
  <si>
    <t>RN-SAA Creacion de listado para consultas de anulados.</t>
  </si>
  <si>
    <t>El 10/03 tuvimos una diferencia en la recaudación del quini6, es un anulado post proceso.
El listado que tenemos de anulados post procesos no funciona, Fernando Isidro se dio cuenta y quedó en ver si podían crear un listado que nos sirva así no tenemos que consultar a alguien mas por una diferencia.</t>
  </si>
  <si>
    <t>MAN-297</t>
  </si>
  <si>
    <t>SDE-SIGA Correcion de listado Resumen de Asiento con Saldos del sistema - Inclusión de Premios Mayores</t>
  </si>
  <si>
    <t>Se pidio a Loteria coordinar una reunion para mostrar el error en detalle, aun no tenemos respuesta.</t>
  </si>
  <si>
    <t>Desde Loteria solicitan una corrección en el listado Resumen de Asiento con Saldos del sistema SIGA. Actualmente, hemos detectado una diferencia de $70.000 al comparar dicho listado con el Resultado Provisorio del Sorteo del sistema SAA correspondiente al mes de Febrero.
La diferencia se debe a que en el SIGA no se están incorporando los premios mayores, los cuales van por fuera del sistema. Para que ambos listados coincidan correctamente, sería necesario que se agreguen estos premios (los 70.000) al listado del SIGA.
Adjunto los listados correspondientes a lo mencionado anteriormente.
Agradecemos su asistencia en la corrección de este detalle y quedamos atentos a su confirmación sobre la implementación del ajuste.</t>
  </si>
  <si>
    <t>MAN-298</t>
  </si>
  <si>
    <t>SDE-Lotemovil no se visualizan extractos y no esta habilitada la carga</t>
  </si>
  <si>
    <t>Loteria informa que estan experimentando inconvenientes con el sistema Lotemóvil. Actualmente, no se visualizan los extractos de MonoBingo, MonoFecha y Lotería.
Además, hemos detectado que en el panel de administración no aparecen las opciones para subir los extractos, lo que nos impide completar las actualizaciones necesarias.</t>
  </si>
  <si>
    <t>MAN-299</t>
  </si>
  <si>
    <t>NQN-SAA Proyecto de Sale o Sale de Telebingo</t>
  </si>
  <si>
    <t>Proyecto de Resolución mediante el cual derogamos el Programa de Premios mediante el cual se implementó un sorteo mensual sale o sale del juego ptb, por lo que el sorteo especial del 30/3 previsto no se realizará.</t>
  </si>
  <si>
    <t>MAN-300</t>
  </si>
  <si>
    <t>COR-SAA Actualizar SAA services</t>
  </si>
  <si>
    <t>se solicita actualizar SAA services en producción de corrientes a la versión que se usa actualmente en Salta - Jujuy y La Rioja para poder realizar pruebas de gamma en Ambientes no productivos.</t>
  </si>
  <si>
    <t>MAN-301</t>
  </si>
  <si>
    <t>RN-SAA Mensaje "Existen Cupones con estado inconcluso"  en adjudicacion</t>
  </si>
  <si>
    <t>Al adjudicar aparece el mensaje "Existen Cupones con estado inconcluso", es un mensaje confuso, pero se debe a que no hay premios para adjudicar en ese sorteo, controlé los cupones y llegaron ok (lado del lotline y SAA). solo sería eso "un mensaje confuso", no es bloqueante ni interrumpe el desarrollo de ningún proceso</t>
  </si>
  <si>
    <t>MAN-302</t>
  </si>
  <si>
    <t xml:space="preserve">NQN-SPETA Modificar Endpoints Lotería y Pozo de la Quinela desde SPETA
</t>
  </si>
  <si>
    <t>Matias Majul</t>
  </si>
  <si>
    <t>Validar por comercial</t>
  </si>
  <si>
    <t>1) Modificar el endpoint consultaLiquidacion de lotería o agregar uno nuevo para que se pueda consultar con los parámetros sorteo desde-hasta o con fecha desde-hasta.
2) Hacer dos nuevos endpoints de lotería con los datos adjuntos del compensado mensual y de las PR0403LiquidacionCompsensación. El primer endpoint deberá tener como parámetro el mes o fecha desde hasta (como vean mas conveniente) y el segundo con fecha de emisión como dice el reporte.
3) Hacer nuevos endpoint de liquidación pero en este caso para el pozo de la quiniela tal cual se envía desde el SPETA (adjunto archivos, Total a transferir, Total de ganadores, total a transferir mensual). 
4) Desde la API de lotería consulto el sorteo 2590 y no trae nada, cual es el problema ?</t>
  </si>
  <si>
    <t>MAN-303</t>
  </si>
  <si>
    <t>JUY-GAMMA Discrepancia en codigos de registro</t>
  </si>
  <si>
    <t>GAMMA</t>
  </si>
  <si>
    <t xml:space="preserve">Ante una solicitud de retiro y su posterior anulación, el endpoint Gamma registra ambos movimientos con los siguientes conceptos:
La solicitud de retiro se informa con el concepto "retiro".
La cancelación de la solicitud se registra con el concepto "retporotra", cuando debería registrarse como "anupedretiro".
Esta discrepancia genera confusión en el procesamiento de la información. El problema fue detectado durante las pruebas realizadas en Lotline Jujuy (producción), pero entendemos que afecta a todas las instalaciones de Gamma - Lotline. En principio es eso , faltan mas pruebas aun y esperamos finalizar hoy, si hay alguna otra novedad que este relacionado te aviso.
 </t>
  </si>
  <si>
    <t>MAN-304</t>
  </si>
  <si>
    <t xml:space="preserve">SAL-SAA Cambio de nombre del evento Bingo
</t>
  </si>
  <si>
    <t>Humberto Kuntz</t>
  </si>
  <si>
    <t>Roberto Molina reporta un error, ya se informo a HK</t>
  </si>
  <si>
    <t>Cambiar nombre del evento existente como Bingo de la Amistad por el siguiente:
Bingo de la Liga
Valor del cartón $ 10.000
Fecha de sorteo: 20/04/2025
Número de sorteo: 40</t>
  </si>
  <si>
    <t>MAN-305</t>
  </si>
  <si>
    <t>NQN-SAA Cálculo del Mínimo</t>
  </si>
  <si>
    <t>Establecer fecha para informar a Loteria</t>
  </si>
  <si>
    <t>Adjunto resolución -ver art. 2</t>
  </si>
  <si>
    <t>MAN-306</t>
  </si>
  <si>
    <t>NQN-SAA Reporte de Mínimos</t>
  </si>
  <si>
    <t>MAN-307</t>
  </si>
  <si>
    <t>NQN-SAA ABM para la gestión de escalas y mínimos</t>
  </si>
  <si>
    <t>RM: "sugiero implementarlo directamente en Gamma, ya que será el sistema que reemplazará a SIGA este año."</t>
  </si>
  <si>
    <t>MAN-308</t>
  </si>
  <si>
    <t>RN-SIGA diferencia en asientos que importan desde Siga($ 700)</t>
  </si>
  <si>
    <t>Surge de los asientos que importamos del siga. El cálculo es correcto, excepto por los $700
Telekino preimpreso, por ejemplo sorteo 2357 05/01/2025 recaudación $2.184.000 la comisión importada en siga según asiento contable es $524.860 cuando en realidad debiera ser $524.160
De la recaudación de cada sorteo nos pasa lo mismo.</t>
  </si>
  <si>
    <t>MAN-309</t>
  </si>
  <si>
    <t>RN-LOTLINE Al comprar un cupon de money y no raspar en forma inmediata no se puede hacerlo mas tarde</t>
  </si>
  <si>
    <t>muestra el cupon como jugado sin raspar pero no habilita en ningun lado opcion de hacerlo</t>
  </si>
  <si>
    <t>MAN-310</t>
  </si>
  <si>
    <t>COR-SAA Aumento de costo cupon poceada
a $ 750</t>
  </si>
  <si>
    <t>Federico Gomez</t>
  </si>
  <si>
    <r>
      <rPr>
        <sz val="11"/>
        <color rgb="FF000000"/>
        <rFont val="Calibri"/>
        <charset val="1"/>
      </rPr>
      <t xml:space="preserve">Preveer y actualizar el precio a 750 pesos en el producto quiniela poceada a partir del </t>
    </r>
    <r>
      <rPr>
        <b/>
        <sz val="11"/>
        <color rgb="FF000000"/>
        <rFont val="Calibri"/>
        <charset val="1"/>
      </rPr>
      <t>31 de marzo</t>
    </r>
    <r>
      <rPr>
        <sz val="11"/>
        <color rgb="FF000000"/>
        <rFont val="Calibri"/>
        <charset val="1"/>
      </rPr>
      <t xml:space="preserve"> darle la prioridad necesaria</t>
    </r>
  </si>
  <si>
    <t>MAN-311</t>
  </si>
  <si>
    <t>Implementar Lotline en Catamarca</t>
  </si>
  <si>
    <t>MAN-312</t>
  </si>
  <si>
    <t xml:space="preserve">SDE-SAA Proceso de cupones demorados en el SAA de OCI no lo permite por no tener impresora configurada
</t>
  </si>
  <si>
    <t>Fabian  Figueroa</t>
  </si>
  <si>
    <t>Controlando las recaudaciones del SIGA con el SAA surgieron diferencia por cupones demorados. Al querer procesar los cupones demorados en el SAA no lo puede hacer por no tener configurada una impresora para esta operación.</t>
  </si>
  <si>
    <t>MAN-313</t>
  </si>
  <si>
    <t>SAL-Panel de agentes -  modificar el Open Graph</t>
  </si>
  <si>
    <t>Agustin Folco</t>
  </si>
  <si>
    <t>solicitarles cargar ticket con la posibilidad de modificar el Open Graph del Panel de Agentes ( https://panelsalta.lotemovil.com.ar/ ) , esto a los fines de emprolijar la comunicación con los puntos de venta.
Cuando compartimos el enlace de nuestro panel en WhatsApp / Redes sociales , la imagen y descripción que aparecen en la vista previa no son las correctas. Esto ocurre porque faltan o están mal configuradas las etiquetas Open Graph en la página.</t>
  </si>
  <si>
    <t>MAN-314</t>
  </si>
  <si>
    <t xml:space="preserve">RN-SAA Cambio de valores Patagonia Telebingo </t>
  </si>
  <si>
    <t>Informo que a partir del sorteo nro 390 de patagonia telebingo de fecha 06 de abril con inicio de venta el 31 de marzo se modifica valor de cupon y programa de premios. A continuación dejo nuevos valores:
VALOR DEL CARTON: $2.500 (continua la modalidad 2x1)
PROGRAMA DE PREMIOS:
LINEA 1: $660.000
BINGO 1: $1.650.000
LINEA 2: $1.320.000
BINGO 2: $3.300.000
8 PREMIOS EXTRA DE $110.000
POZO ACUMULADO: Inicia en $6.600.000 una vez que salga el pozo actual y se incrementa en un 1% semanal hasta que exista coincidencia. El porcentaje se extraerá de la recaudación bruta del producto.
A partir del sorteo 390 tambien actualizamos los valores para tener en cuenta los minimos de venta:
VALOR DE CARTONES SEMANAL: $50.000
VALOR DE QUINIELA SEMANAL: $1.400.000</t>
  </si>
  <si>
    <t>MAN-315</t>
  </si>
  <si>
    <t>RN-SAA Cambio de valores quiniela</t>
  </si>
  <si>
    <t>Estaban Sosa</t>
  </si>
  <si>
    <t>QUINIELA: APUESTA MÍNIMA
Estimados/as:
Les comunicamos que a partir del día 07 de abril de 2025 el valor de la apuesta mínima de Quiniela Tradicional será de PESOS DOSCIENTOS ($200) de acuerdo al siguiente detalle:
● Apuesta Quiniela Tradicional: $ 200
● Cupón Suerte: $ 400 el que será distribuido en $ 200 a tres cifras a la primera ubicación y $ 200 a la modalidad redoblona.
● Máximo por línea $20.000 QUINIELA EXPRESS: INCREMENTO
A partir de la misma fecha que la quiniela tradicional, el valor de la apuesta mínima de Quiniela Instantánea será de $ 100 y se incrementa el importe máximo por apuesta de acuerdo a la siguiente escala:
Importe Mínimo por apuesta 1 CIFRA 2 CIFRAS 3 CIFRAS
Apuestas Directas $ 100.00 $ 100.00 $ 100.00
Importe Máximo
por apuesta 1 CIFRA 2 CIFRAS 3 CIFRAS
Apuestas Directas $2.000,00 $2.000,00 $ 1.000,00</t>
  </si>
  <si>
    <t>MAN-316</t>
  </si>
  <si>
    <t>SC-Menu Web</t>
  </si>
  <si>
    <t>Menuweb</t>
  </si>
  <si>
    <t xml:space="preserve">Se va a actualizar el Menuweb por la nueva version </t>
  </si>
  <si>
    <t>MAN-317</t>
  </si>
  <si>
    <t xml:space="preserve">NQN-SAA Cambio de valores Patagonia Telebingo </t>
  </si>
  <si>
    <t>Solicitan actualizacion del valor de Patagonia Telebingo, adjunto resolucion.</t>
  </si>
  <si>
    <t>MAN-318</t>
  </si>
  <si>
    <t>LP-Menuweb</t>
  </si>
  <si>
    <t>Raul Lobo</t>
  </si>
  <si>
    <t xml:space="preserve">Se va a actualizar el Menuweb a la nueva version </t>
  </si>
  <si>
    <t>MAN-319</t>
  </si>
  <si>
    <t>COR-Menuweb</t>
  </si>
  <si>
    <t>MAN-320</t>
  </si>
  <si>
    <t>SDE-Actualizacion valores Quiniela</t>
  </si>
  <si>
    <t>Adjunto nuevos valores a actualizar para el primero de Abril</t>
  </si>
  <si>
    <t>MAN-321</t>
  </si>
  <si>
    <t>SAL-Actualizacion valores Betwarrior</t>
  </si>
  <si>
    <t>En pausa</t>
  </si>
  <si>
    <t>En espera de autorizacion del Ente</t>
  </si>
  <si>
    <t>Solicitan cambio de valores minimos y maximos del cupon de Betwarrior, se adjunttan detalles</t>
  </si>
  <si>
    <t>MAN-322</t>
  </si>
  <si>
    <t>NQN-Actuazacion valores Quiniela</t>
  </si>
  <si>
    <t>Adjunto nuevos valores para Quiniela tradicional e Intantanea</t>
  </si>
  <si>
    <t>MAN-323</t>
  </si>
  <si>
    <t>LP-Actualizacion de TJ10/Lahuan a version 206</t>
  </si>
  <si>
    <t>Terminales</t>
  </si>
  <si>
    <t>Se van a actualizar todas las terminales a la nueva version 206 SVN 32941</t>
  </si>
  <si>
    <t>MAN-324</t>
  </si>
  <si>
    <t>RN-Actualizacion de TJ10/Lahuan a version 206</t>
  </si>
  <si>
    <t>MAN-325</t>
  </si>
  <si>
    <t>SLA-GAMMA Generacion de reporte cierre marzo25</t>
  </si>
  <si>
    <t>Solicitan el reporte de ventas de marzo.</t>
  </si>
  <si>
    <t>MAN-326</t>
  </si>
  <si>
    <t>Lotería Correntina solicita reportes de ventas y comisiones por subagentes del mes marzo 2025 de todos los juegos.</t>
  </si>
  <si>
    <t>MAN-327</t>
  </si>
  <si>
    <t>JUY-SAA Aumento de apuesta minina por cupon y por linea</t>
  </si>
  <si>
    <t xml:space="preserve">Buenos días, en función de lo conversado y habiendo transcurrido más de
un año desde la última modificación de los valores mínimos de apuestas
de los Juegos Tómbola y Tombo Express se solicita lo siguiente:
Para el Juego Tómbola:
Elevar la apuesta mínima por línea a $100,00 (actualmente se encuentra
en $50,00).
Elevar la apuesta mínima por cupón a $400,00 (actualmente se encuentra
en $200,00).
Para el Juego Tombo Express:
Elevar la apuesta mínima por línea a $50,00 (actualmente se encuentra en
$20,00)
Mantener sin modificaciones el valor del mínimo por Cupón (actualmente
se encuentra en $200,00)
Las propuestas de modificación se implementarían a partir del próximo
lunes 07 de abril.
</t>
  </si>
  <si>
    <t>MAN-328</t>
  </si>
  <si>
    <t>SAL-GAMMA Error en liquidacion de PDV</t>
  </si>
  <si>
    <t>Error en la vista de liquidaciones por imputación, GAMMA no está totalizando los PDV, ejemplo, para la concentradora 246 en el día 01/04/2025 no se está tomando en cuenta la subagencia 246-3</t>
  </si>
  <si>
    <t>MAN-329</t>
  </si>
  <si>
    <t>SAL-Lotemovil Area de premios da totales incorrectos</t>
  </si>
  <si>
    <t>Carlos Perez</t>
  </si>
  <si>
    <t>Reparación en Área de Premios - Visualización de Puntos de Venta
Descripción del Problema:
Se ha detectado una anomalía en el área de premios del sistema. Si bien los totales de puntos de venta de la concentradora se calculan correctamente, la información detallada de cada punto de venta no se está mostrando. Esto resulta en que la información esté "oculta" para los usuarios, lo que dificulta el seguimiento y la gestión de los premios.
Solicitud:
Se solicita la reparación urgente de este problema para que la información de todos los puntos de venta de la concentradora se visualice correctamente en el área de premios. Es fundamental que los usuarios puedan acceder a la información completa y detallada de cada punto de venta.</t>
  </si>
  <si>
    <t>MAN-330</t>
  </si>
  <si>
    <t>JUJ-Lotemovil</t>
  </si>
  <si>
    <t>Desde Loteria estan reclamando que no les esta funcionando la redirccion de www.loterialajujeña.com.ar a la web de Lotemovil, https://juj.lotemovil.com.ar/</t>
  </si>
  <si>
    <t>MAN-331</t>
  </si>
  <si>
    <t xml:space="preserve"> IA-Consulta de extractos con ChatGpt</t>
  </si>
  <si>
    <t>Administración</t>
  </si>
  <si>
    <t>MAN-332</t>
  </si>
  <si>
    <t>RN-SIGA Cambio de minimos venta Patagonia Telebingo</t>
  </si>
  <si>
    <t>Omar, buen dia como estas? A raiz del incremento de la apuesta mínima de Quiniela surge la necesidad de modificar los parámetros para tener en cuenta los minimos de venta del Patagonia Telebingo.
Es por esto, que a partir del sorteo nro 391 que sortea el domingo 13 de abril e inició la venta el dia de hoy los valores a tener en cuenta serán los siguientes:
VALOR DE CARTONES SEMANAL: $50.000
VALOR DE QUINIELA SEMANAL: $1.800.000
Cualquier consulta lo vemos, saludos!</t>
  </si>
  <si>
    <t>Suma de Desarrollo</t>
  </si>
  <si>
    <t>Evaluación real del caso</t>
  </si>
  <si>
    <t>Total general</t>
  </si>
  <si>
    <t>Consulta</t>
  </si>
  <si>
    <t>Mantenimiento correctivo</t>
  </si>
  <si>
    <t>Mantenimiento evolutivo</t>
  </si>
  <si>
    <t>Mantenimiento preventivo</t>
  </si>
  <si>
    <t>Clave del caso</t>
  </si>
  <si>
    <t>Prioridad real</t>
  </si>
  <si>
    <t>Fecha alta de la solicitud</t>
  </si>
  <si>
    <t>Título o Asunto</t>
  </si>
  <si>
    <t>Descripción detallada y completa del caso</t>
  </si>
  <si>
    <t>Cliente que solicita</t>
  </si>
  <si>
    <t>Area responsable de traccionar</t>
  </si>
  <si>
    <t>OP</t>
  </si>
  <si>
    <t>Fecha Requerida en Producción</t>
  </si>
  <si>
    <t>Fecha comprometida (para UAT)</t>
  </si>
  <si>
    <t>Fecha Real de Cierre</t>
  </si>
  <si>
    <t>Comentarios Funcionales</t>
  </si>
  <si>
    <t>Comentarios Técnicos</t>
  </si>
  <si>
    <t>Referencia al documento</t>
  </si>
  <si>
    <t>Análisis</t>
  </si>
  <si>
    <t>Estimación Desarrollo</t>
  </si>
  <si>
    <t>Desarrollo Realidad</t>
  </si>
  <si>
    <t>QA/UAT</t>
  </si>
  <si>
    <t>Implementación</t>
  </si>
  <si>
    <t>Total</t>
  </si>
  <si>
    <t>Visto</t>
  </si>
  <si>
    <t>Columna3</t>
  </si>
  <si>
    <t>Columna4</t>
  </si>
  <si>
    <t>Fase</t>
  </si>
  <si>
    <t>Dias_abiertos</t>
  </si>
  <si>
    <t>En_plazo</t>
  </si>
  <si>
    <t>Comentarios SAC</t>
  </si>
  <si>
    <t>16613</t>
  </si>
  <si>
    <t>Muy alta</t>
  </si>
  <si>
    <t xml:space="preserve">CNQ-GAMMA-GAMMA-DIFERENCIA CALCULO CSA
</t>
  </si>
  <si>
    <t xml:space="preserve">EL calculo de CSA tiene diferencias debido a que no esta calculando para todas las maquinas de un PDV motivo: Gamma no actualiza las maquinas activas y habilitadas en los PDV al momento de hacer los cálculos de CSA, tomando solo los datos que ya tenia grabados antes de la nueva implementación del día 6/04/2026. Este problema tambien afecta al cobro de CSA en SALTA
</t>
  </si>
  <si>
    <t>GAMMA-817 SF16721</t>
  </si>
  <si>
    <t>End-point de adjudicaciones</t>
  </si>
  <si>
    <t>Se necesita la incorporación del campo fechaTotPremios en la respuesta del end-point de adjudicaciones para la Provincia de La Pampa. Se detecto en esta provincia el faltante de este campo lo que no permite realizar la liquidaciones a sorteo cerrado con premios.</t>
  </si>
  <si>
    <t>Saaservice</t>
  </si>
  <si>
    <t>Mantenimiento</t>
  </si>
  <si>
    <t>GAMMA-746 SF16529</t>
  </si>
  <si>
    <t>Alta</t>
  </si>
  <si>
    <t>Se necesita eliminar el servicio Extract</t>
  </si>
  <si>
    <t>Servicio Extract:
Servicio en desuso que se utilizaba para buscar datos en sistemas externos a gamma.
Se necesita Eliminar el servicio.</t>
  </si>
  <si>
    <t>GAMMA-747 SF16530</t>
  </si>
  <si>
    <t xml:space="preserve">Se necesita Depurar la BD Extract
</t>
  </si>
  <si>
    <t>BD Extract
Bd relacionada con servicio Extract y las configuraciones necesarias para lo que se procesaba
Se necesita Depurar la BD
Tablas con información de procesos
      executions
            Borrar todos los registros
      movement_executions_status
            Borrar todos los registros</t>
  </si>
  <si>
    <t>GAMMA-748 SF16531</t>
  </si>
  <si>
    <t xml:space="preserve">Se necesita Eliminar el servicio Transform
</t>
  </si>
  <si>
    <t>Descripción
Servicio Transform
servicio en desuso que se utilizaba para procesar la información extraída por "Extract"
Se necesita Eliminar el servicio.</t>
  </si>
  <si>
    <t>GAMMA-749 SF16532</t>
  </si>
  <si>
    <t xml:space="preserve">Se necesita Depurar la BD Transform
</t>
  </si>
  <si>
    <t>Descripción
BD Transform
BD relacionada con el servicio Transform
Se necesita Depurar la BD
Tablas con información del proceso no hay datos</t>
  </si>
  <si>
    <t>GAMMA-750 SF16533</t>
  </si>
  <si>
    <t xml:space="preserve">Se necesita Eliminar el servicio Load
</t>
  </si>
  <si>
    <t>Servicio Load
servicio que se utilizaba para homologar(guardar) la información generada por "Transform" y otros servicios
Se necesita Eliminar el servicio.</t>
  </si>
  <si>
    <t>GAMMA-751 SF16534</t>
  </si>
  <si>
    <t xml:space="preserve">Se necesita Depurar la BD Load
</t>
  </si>
  <si>
    <t>BD Load
BD relacionada con el servicio Load
Se necesita Depurar la BD
Tablas con información del proceso
      errors
            Borrar todos los registros
      non_homologated_movements
            Borrar todos los registros
      non_homologated_raffles
            Borrar todos los registros
      raffles
            Borrar todos los registros
      success_movements
            Borrar todos los registros</t>
  </si>
  <si>
    <t>GAMMA-752 SF16535</t>
  </si>
  <si>
    <t xml:space="preserve">Se necesita Eliminar el servicio Rulesengine
</t>
  </si>
  <si>
    <t>Servicio Rulesengine
servicio que se utilizaba para administrar y procesar las reglas de la loteria ademas de procesar informacion para las mismas
Se necesita Eliminar el servicio.</t>
  </si>
  <si>
    <t>GAMMA-753 SF16536</t>
  </si>
  <si>
    <t xml:space="preserve">Se necesita Depurar la BD Rulesengine
</t>
  </si>
  <si>
    <t>BD Rulesengine
BD relacionada con el servicio Rulesengine
Se necesita Depurar la BD
      Tablas con informacion del proceso
      adjacent_rules
            Borrar todos los registros
      execution_history
            Borrar todos los registros
      item_conditions
            Borrar todos los registros
      kafka_errors
            Borrar todos los registros
      processable_item_groups
            Borrar todos los registros
      processable_items
            Borrar todos los registros
      processed_items
            Borrar todos los registros
      processed_items_relations
            Borrar todos los registros
      rule_conditions
            Borrar todos los registros
      rule_indexes
            Borrar todos los registros
      rules
            Borrar todos los registros</t>
  </si>
  <si>
    <t>GAMMA-754 SF16537</t>
  </si>
  <si>
    <t xml:space="preserve">Depurar BD ETL
</t>
  </si>
  <si>
    <t>BD ETL
      Tablas con informacion del proceso a depurar
      no_homologated
            Borrado selectivo
                  Registros con fecha de borrado logico borrar todos
                  Registros sin fecha de borrado logico borrar los registros de mas de 31 dias de antiguidad
      procesos
            Borrado selectivo
                  Borrar los registros de mas de 31 dias de antiguidad</t>
  </si>
  <si>
    <t>GAMMA-755 SF16538</t>
  </si>
  <si>
    <t xml:space="preserve">Depurar BD Contability
</t>
  </si>
  <si>
    <t xml:space="preserve">BD Contability
      Tablas con informacion del proceso a depurar
      entries
            Borrado selectivo
                  Registros con fecha de borrado logico borrar todos
      entry_rows
            Borrado selectivo
                  Registros con fecha de borrado logico borrar todos
      file_entries
            Borrado selectivo
                  Registros con fecha de borrado logico borrar todos
</t>
  </si>
  <si>
    <t>GAMMA-756 SF16539</t>
  </si>
  <si>
    <t xml:space="preserve">Depurar BD Checking_account
</t>
  </si>
  <si>
    <t xml:space="preserve">BD Checking_account
      Tablas con informacion del proceso a depurar
      agency_settlements
            Borrado selectivo
                  Registros con fecha de borrado logico borrar todos
      execution_movements
            Borrar todos los registros
      kafka_errors
            Borrar todos los registros    
      movements
            Borrado selectivo
            calculated_movements antes del borrado de movementes
                  Borrado selectivo
                  Registros con movimientos con fecha de borrado logico con mas de 31 dias de antiguidad          
            Registros con fecha de borrado logico con mas de 31 dias de antiguidad        
      movements_processed_items
            Borrar todos los registros    
      processed_items
            Borrar todos los registros    
      settlement_events
            Borrado selectivo
            Registros con fecha de borrado logico borrar todo     
      settlements
            Borrado selectivo
            Registros con status cancelados borrar todos
      tmp_minimos
            Borrar todos los registros
</t>
  </si>
  <si>
    <t>SF16554</t>
  </si>
  <si>
    <t xml:space="preserve">CORR-NOA Error al cargar predistribución
</t>
  </si>
  <si>
    <t>Al intentar cargar el archivo de redistribución se genera un error que deja como pendiente el proceso. Se necesita tener todo cargado los sorteos de mayo a más tardar resuelto el día jueves 30/04. Se adjunta imagen del error</t>
  </si>
  <si>
    <t>NOA</t>
  </si>
  <si>
    <t>NOA tiene que filtrar las concentradoras</t>
  </si>
  <si>
    <t>GAMMA - 000719
SF16366</t>
  </si>
  <si>
    <t>Adaptar archivo D&amp;B para aceptar múltiples conceptos</t>
  </si>
  <si>
    <t>En SIGA hoy en dia cargan un archivo apuntado a varios codigos contables</t>
  </si>
  <si>
    <t>Autorizado por la direccción</t>
  </si>
  <si>
    <t>Desarrollado - Jimena</t>
  </si>
  <si>
    <t>Adaptar archivo D&amp;B para aceptar múltiples conceptos - 1.2.pdf</t>
  </si>
  <si>
    <t>GAMMA - 000722
SF16367</t>
  </si>
  <si>
    <t>Adaptar archivo D&amp;B para aceptar operaciones de Embargos y Garantías</t>
  </si>
  <si>
    <t>En SIGA hoy en dia cargan un archivo donde indican un numero de porcentaje para que el sistema realice un calculo (Garantia, Embargo judicial, etc), a su vez, colocan en el archivo un importe de tope para descuento.
GAMMA no acepta este tipo de archivos y no aplica calculos desde d&amp;b.</t>
  </si>
  <si>
    <t>Adaptar archivo D&amp;B para aceptar operaciones de Embargos y Garantías - 1.0.pdf</t>
  </si>
  <si>
    <t>16608</t>
  </si>
  <si>
    <t>Configuracion particular de vencimientos por PDV</t>
  </si>
  <si>
    <t xml:space="preserve">En SIGA tienen configurado para cada agencia un dia de vencimiento en particular, con la particularidad de que cuando llega el dia previo al pago, el pago se saltea a la semana siguiente con el fin de que al PDV le quede, al menos, una recaudacion para su uso. 
</t>
  </si>
  <si>
    <t>SDE - GAMMA - Configuracion particular de vencimientos por PDV - 1.1.pdf</t>
  </si>
  <si>
    <t>16609</t>
  </si>
  <si>
    <t>Republicacion de deuda</t>
  </si>
  <si>
    <t>Al momento de aplicarse el nuevo sistema bancario (2026) la Loteria iniciara a realizar la republicacion de deuda.
Hoy en dia en SIGA se encuentra esta opcion disponible generandose un nuevo archivos con dos opciones de habilitarlo:
1) Dia de emision de cta.cte: genera archivo con todas las agencias que no cancelaron el resumen colocandole nueva fecha de vencimiento.
2) Por agencia: Permite seleccionar los resumenes pendientes que se deciden abonar, genera un archivo con la informacion preseleccionada y se le coloca la nueva fecha de vencimiento.</t>
  </si>
  <si>
    <t>SDE - GAMMA - Republicación de deuda - 1.0.docx</t>
  </si>
  <si>
    <t>GAMMA - 000739 16403</t>
  </si>
  <si>
    <t>ID717 - Ampliar funcional de roles y perfiles</t>
  </si>
  <si>
    <t>En GAMMA actualmente se puede realizar BP desde el modulo "Loteria" y desde el modulo de "Caja" por cualquier usuario con un rol que permita el ingreso a esos modulos. La Loteria solicita que la accion del BP no pueda ser realizada por cualquier usuario, sino por alguien autorizado (rol personalizado)</t>
  </si>
  <si>
    <t>ID717 - Gamma - Cambios en los roles actuales - 2.0.docx</t>
  </si>
  <si>
    <t>GAMMA - 000738
16404</t>
  </si>
  <si>
    <t>Resumen para pago en banco con código de barras</t>
  </si>
  <si>
    <t>hoy en dia SIGA genera un reporte/listado con los resumenes bancarios a pagar colocandole un talon de pago con codigo de barra, GAMMA genera el reporte SIN el talon de pago.</t>
  </si>
  <si>
    <t>Alejandro Falta pruebas unitarias</t>
  </si>
  <si>
    <t>SDE - Gamma - Código de barras para el resumen de agentes - 1.1.pdf</t>
  </si>
  <si>
    <t>16453</t>
  </si>
  <si>
    <t>Adaptar GAMMA para poder liquidar día abierto</t>
  </si>
  <si>
    <t>GAMMA no está permitiendo liquidar con la config a día abierto &gt;&gt;&gt; DC Probar lunes 15 x la noche (2340hs / 00.05hs) &gt;&gt; Martes evaluar resultados</t>
  </si>
  <si>
    <t>Desarrollado - Tejerina</t>
  </si>
  <si>
    <t>SDE - GAMMA - Adaptar GAMMA para poder liquidar día abierto - v1.2.pdf</t>
  </si>
  <si>
    <t>16454</t>
  </si>
  <si>
    <t>Buzón para envió de documentación con indicador de lectura (envío masivo de cert de IIBB)</t>
  </si>
  <si>
    <t>El buzón se encuentra en fase de pruebas QA pero el pedido de la lotería es que se pueda realizar envío masivo de los cert de IIBB</t>
  </si>
  <si>
    <t>Alejandro. Desarrollado.</t>
  </si>
  <si>
    <t>Lotemovil – Envío masivo de certificados IIBB con acuse de lectura - 1.2.docx</t>
  </si>
  <si>
    <t>16455</t>
  </si>
  <si>
    <t>Visualizar estado de resúmenes en pantalla</t>
  </si>
  <si>
    <t>Estado de los resúmenes para que el dueño de agencias pueda ver y controlar</t>
  </si>
  <si>
    <t>https://tecnoaccionsa.sharepoint.com/:w:/s/GAMMA.2024/IQAaIvvg3eg5SJVxUyCXE6IBAc_JlFy7qcMdpOnljAxsJmY?e=ffUJif</t>
  </si>
  <si>
    <t>16456</t>
  </si>
  <si>
    <t>Control y cierre de TJ's - ver cierres m9 y m5</t>
  </si>
  <si>
    <t>Control de las operaciones de m9 (se usa para el cierre de sorteo y/o consultas) y m5 (fin de jornada) por TJ</t>
  </si>
  <si>
    <t>Paolo y Marcos en desarrollo</t>
  </si>
  <si>
    <t>Lotemovil – Control y cierre de TJ ver cierres M9 y M5 - 1.0.docx</t>
  </si>
  <si>
    <t>16458</t>
  </si>
  <si>
    <t xml:space="preserve">Control y cierre de TJ's - ver productividad por máquina con apertura igual a la de lotermovil viejo
</t>
  </si>
  <si>
    <t>Paolo y Marcos en desarrollo.</t>
  </si>
  <si>
    <t>Lotemovil – Control y cierre de TJ ver productividad por terminal - 1.2.docx</t>
  </si>
  <si>
    <t>16667</t>
  </si>
  <si>
    <t>Listado - estado general de resúmenes histórico</t>
  </si>
  <si>
    <t>Listados/Listados Generales/Contaduría/ Liquidaciones Agentes/Resúmenes para Lotería/estado general de resúmenes histórico</t>
  </si>
  <si>
    <t>SDE - GAMMA - Listado - estado general de resúmenes histórico - 1.0.docx</t>
  </si>
  <si>
    <t>16410</t>
  </si>
  <si>
    <t>Listado - movimientos por imputación/sorteo/código</t>
  </si>
  <si>
    <t>Listados/Listados Generales/Contaduría/ Liquidaciones Agentes/Resúmenes para Lotería/movimientos por imputación/sorteo/código</t>
  </si>
  <si>
    <t>SDE - GAMMA - Listado - Movimientos por imputación-sorteo-codigo - 1.0.docx</t>
  </si>
  <si>
    <t>16668</t>
  </si>
  <si>
    <t>Listado - Crédito autorizados por sucursal</t>
  </si>
  <si>
    <t>Listados/Listados Generales/Contaduría/Bancos/Crédito autorizados por sucursal</t>
  </si>
  <si>
    <t>SDE - GAMMA - Listados - Creditos Autorizados por Sucursal - 1.0.docx</t>
  </si>
  <si>
    <t>16670</t>
  </si>
  <si>
    <t>Listado - Débitos autorizados por sucursal</t>
  </si>
  <si>
    <t>Listados/Listados Generales/Contaduría/Bancos/Débitos autorizados por sucursal</t>
  </si>
  <si>
    <t>SDE - GAMMA - Listados - Debitos Autorizados por Sucursal - 1.0.docx</t>
  </si>
  <si>
    <t>16671</t>
  </si>
  <si>
    <t>Listado - Liquidación</t>
  </si>
  <si>
    <t>Listados/Listados Generales/Contaduría/Bancos/Liquidación</t>
  </si>
  <si>
    <t>autorizado por la direccción</t>
  </si>
  <si>
    <t>Listado - certificado Retenciones IB</t>
  </si>
  <si>
    <t>Listados/Listados Generales/Contaduría/Impuestos/Rentas/certificado Retenciones IB (Se envia a las agencias a través del panel de agentes)</t>
  </si>
  <si>
    <t>SDE - GAMMA - Certificado Retenciones IIBB - 1.0.docx</t>
  </si>
  <si>
    <t>Listado - códigos</t>
  </si>
  <si>
    <t>Listados/Listados Generales/Contaduría/Liquidaciones Agentes/códigos</t>
  </si>
  <si>
    <t>SDE - GAMMA - Listado - Códigos - 1.0.docx</t>
  </si>
  <si>
    <t>Listado - resumen asiento con agentes</t>
  </si>
  <si>
    <t>Listados/Listados Generales/Contaduría/Liquidaciones Agentes/resumen asiento con agentes</t>
  </si>
  <si>
    <t>SDE - GAMMA - Listado Resumen Asiento con PDV - 1.0.docx</t>
  </si>
  <si>
    <t>Listado - resumen asientos con saldos</t>
  </si>
  <si>
    <t>Listados/Listados Generales/Contaduría/Liquidaciones Agentes/resumen asientos con saldos (dif oficina)</t>
  </si>
  <si>
    <t>SDE - GAMMA - Listado Resumen Asiento con Saldo - 1.0.docx</t>
  </si>
  <si>
    <t>Listado - estado de cuenta corriente</t>
  </si>
  <si>
    <t>Listados/Listados Generales/Contaduría/Liquidaciones Agentes/Resúmenes para Lotería/estado de cuenta corriente</t>
  </si>
  <si>
    <t>SDE - GAMMA - Listado - Estado de Cuenta Corriente - ver 1.0.docx</t>
  </si>
  <si>
    <t>Listado - Descuentos y bonificaciones</t>
  </si>
  <si>
    <t>Listados/Listados Generales/Agentes/Liquidación/Descuentos y bonificaciones</t>
  </si>
  <si>
    <t>SDE - GAMMA - Listado - Descuentos y bonificaciones - ver 1.0.docx</t>
  </si>
  <si>
    <t>16674</t>
  </si>
  <si>
    <t>Excel de preliquidacion con nueva información</t>
  </si>
  <si>
    <t>Desde la loteria solicitan que los excel que se descargan durante la liquidacion en GAMMA, figure detallado el N° de sorteo y la fecha del mismo.</t>
  </si>
  <si>
    <t>ID716 - Tesoreria - Fecha valor en cobros manuales</t>
  </si>
  <si>
    <t>ID716 - COR - Gamma - Tesoreria - Fecha valor en cobros manuales - 1.0.docx</t>
  </si>
  <si>
    <t>ID718 - Resumenes de preliquidacion en PDF</t>
  </si>
  <si>
    <t>ID718 - COR - Gamma - Resumenes de preliquidacion en PDF - 1.0.docx</t>
  </si>
  <si>
    <t>ID719 - Movimientos manuales con PDV</t>
  </si>
  <si>
    <t>ID719 - COR - Gamma - Movimientos Manuales con PDV - 1.0.docx</t>
  </si>
  <si>
    <t>ID721 - Resumen pagado/cobrado fuera de término</t>
  </si>
  <si>
    <t>ID721 - COR - Gamma - Resumen pagado-cobrado fuera de término - 1.0.docx</t>
  </si>
  <si>
    <t>ID765 - Excepción de sorteos: se borra config al ejecutar EP de sorteos</t>
  </si>
  <si>
    <t>Probado FF el 26/09 en UAT no funciona la solucion o el workarround.</t>
  </si>
  <si>
    <t>ID765 – COR - Gamma - Excepción de sorteos - 1.0.docx</t>
  </si>
  <si>
    <t>MAN-674 SF16019</t>
  </si>
  <si>
    <t>Aumento del tiempo de caducidad de contraseñas</t>
  </si>
  <si>
    <t>Solicitan si es factible modificar el período de 45 días para el cambio de contraseña en el Lotemóvil a raíz de las reiteradas quejas de las agencias, las cuales consideran ése período muy corto y les genera inconvenientes.</t>
  </si>
  <si>
    <t>Todas las provincias</t>
  </si>
  <si>
    <t>Panel Agentes-Abaco</t>
  </si>
  <si>
    <t>Que lo resuelva SAC, porque requeriria muhas horas de trabajo</t>
  </si>
  <si>
    <t>MAN-679 SF16067</t>
  </si>
  <si>
    <t>Error en calendario al configuridad un dia sin actividad</t>
  </si>
  <si>
    <t>Error al configurar un dia feriado o sin actividad. Ya paso antes estaba solucionado y ahora volvio a surgir. Al liquidar en el paralelo de SIGA /GAMMA en TDF en el 1 de abril hasta el 4 de abril. Se vió trabada la operatoria por no poder avanzar ya que al momento de intentar liquidar el dia 1° saltaBa al dia 4 sin liquidar el 1 de abril 2026</t>
  </si>
  <si>
    <t>MAN-697 15940</t>
  </si>
  <si>
    <t>Gamma- Costo papel</t>
  </si>
  <si>
    <t>En GAMMA no esta saliendo los movimientos n° 6 de Consumo Papel en todos los juegos de la provincia. Si ya esta abierto en otra provincia lo desconozco y desestimar el caso de ser asi</t>
  </si>
  <si>
    <t>Duplicado de 15068? Eso dicen</t>
  </si>
  <si>
    <t>Ya se lo pidieron y lo va a encarar</t>
  </si>
  <si>
    <t>MAN-698 16245</t>
  </si>
  <si>
    <t>Gamma - Error en Preliquidacion</t>
  </si>
  <si>
    <t>Lotería informó un error al intentar iniciar la preliquidación del día domingo 19-04-2026, se visualiza en pantalla "No value present - NoSuchElementException".</t>
  </si>
  <si>
    <t xml:space="preserve">00009750  Gamma - 000048
</t>
  </si>
  <si>
    <t>15/10/2025</t>
  </si>
  <si>
    <t>COR-Abaco-Control de Caja en Lotemovil</t>
  </si>
  <si>
    <t>El registro de cupones en Lotemóvil (por PDV, juego, concepto: Validado/Pagado y monto totalizado), se visualiza correctamente y como tal, pero no detalla información específica de cada jugada. El agente solicita el mismo a fin de controlar la correcta validación de cupones, por ejemplo cuando la TJ no genera el ticket.</t>
  </si>
  <si>
    <t>00008124</t>
  </si>
  <si>
    <t>Gamma-T.L.P.-Agregar nuevas localidades</t>
  </si>
  <si>
    <t>Impacta en creacion nuevos PDV. Bloqueante para asignacion a pdv</t>
  </si>
  <si>
    <t>Horacio preguntará al cliente</t>
  </si>
  <si>
    <t>00008127</t>
  </si>
  <si>
    <t>15/9/2025</t>
  </si>
  <si>
    <t>Gamma-T.L.P.-Generación de archivos para descuentos y bonificaciones:</t>
  </si>
  <si>
    <t>Codigos contables y montos, MD5 etc. Convertimos el formato xls a txt</t>
  </si>
  <si>
    <t>Averiguar como se puede ya que cada Lotería es diferente.</t>
  </si>
  <si>
    <t>00008140</t>
  </si>
  <si>
    <t>Gamma-T.L.P.- Solicitud de reporte de reglas configuradas</t>
  </si>
  <si>
    <t>00008121</t>
  </si>
  <si>
    <t>Gamma-T.L.P.-ETL-No ingresan movimientos para la liquidacion</t>
  </si>
  <si>
    <t>datos de sistemas perifericos (medios digitales, lotline etc) , a veces bloqueante a veces permite realizar el proceso pero con faltante de informacion</t>
  </si>
  <si>
    <t>FE para homologar casos por el operador sin intervención de tecno</t>
  </si>
  <si>
    <t>00008128</t>
  </si>
  <si>
    <t>Gamma-T.L.P- Devoluciones CSA e IVA CSA. (Mensualmente). entre otros</t>
  </si>
  <si>
    <t>Codigos contables y montos, MD5 etc, aca son 2 archivos. Convertimos el formato xls a txt.</t>
  </si>
  <si>
    <t>hecho</t>
  </si>
  <si>
    <t>00008133</t>
  </si>
  <si>
    <t>Gamma-T.L.P.-Nuevo concepto no se actualiza en BD ETL, tabla accounting_codes</t>
  </si>
  <si>
    <t>Ante la aparición de un nuevo concepto proveniente de algún endpoint, es necesario modificar datos en la BD ETL, tabla accounting_codes
Previamente, la Lotería debe crear el código contable correspondiente. No imputan movimientos en la cuenta corriente generando diferencias</t>
  </si>
  <si>
    <t>HB: 12/02 Similar a 00008136</t>
  </si>
  <si>
    <t>mismo req que el man8121</t>
  </si>
  <si>
    <t>00008138</t>
  </si>
  <si>
    <t>Gamma-T.L.P- Actualizacion de PDV</t>
  </si>
  <si>
    <t>No permite modificar datos como por ej localidad</t>
  </si>
  <si>
    <t>Esto está en producción. Debe validar SAC.</t>
  </si>
  <si>
    <t>Plan controlado de despliegues integrales - integrar devops</t>
  </si>
  <si>
    <t>Acordar con DevOps como se organizan despliegues.</t>
  </si>
  <si>
    <t>Leo armó un docuemento que debe consensuarse con Infra</t>
  </si>
  <si>
    <t>Validar si está solucionado</t>
  </si>
  <si>
    <t>690</t>
  </si>
  <si>
    <t>Revisión completa del uso de Kafka</t>
  </si>
  <si>
    <t>En UAT anda mal (resto ambientes ok)  con problemas en UAT y potencial para PRD.Analisis en Desarrollo. Luego ver con DevOps</t>
  </si>
  <si>
    <t>Es de Infra el tema. Desarrollo que se entere por Infra y listo.</t>
  </si>
  <si>
    <t>708</t>
  </si>
  <si>
    <t>Revisión de políticas de respaldo en general para info sensible o auditable x entes</t>
  </si>
  <si>
    <t>Backup de archivos de presentaciones en general, y estructura de almacenamiento. Hablar con Luis.</t>
  </si>
  <si>
    <t>871</t>
  </si>
  <si>
    <t>Versión de Keycloak deprecada</t>
  </si>
  <si>
    <t>Ver con Infra</t>
  </si>
  <si>
    <t>Es de Infra el tema. Que expliquen a desarrollo que van a hacer</t>
  </si>
  <si>
    <t>902</t>
  </si>
  <si>
    <t>Kafka - revisar versión</t>
  </si>
  <si>
    <t>903</t>
  </si>
  <si>
    <t>zookeeper - revisar versión</t>
  </si>
  <si>
    <t>MAN-620</t>
  </si>
  <si>
    <t>SLA- Solicitud API sincronizar SAA-GAMMA(ver si corresponde al equipo de Fabiana)</t>
  </si>
  <si>
    <t>Se solicita habilitación Api para sincronizar SAA-Gamma, sobre todo tema relacionado con las agencias activas y su identificación comercial. Cuit-cuil/cambios de domicilios etc</t>
  </si>
  <si>
    <t>MARZO</t>
  </si>
  <si>
    <t>Hay que arreglar el sincroagencias para multilotería.  ver con Fabiana.</t>
  </si>
  <si>
    <t>MAN-00011119</t>
  </si>
  <si>
    <t>COR- Modificacion de listado Movimientos Diarios(Sf Casos 11119-11127-11122</t>
  </si>
  <si>
    <t>Lotería solicita que el listado de movimientos diarios  
- Se emita y/o visualice en una sola hoja.
- Quitar la impresión de "Liquidaciones Pendientes".
- Aumentar el tamaño de la letra del importe a pagar y agregar la fecha de vencimiento al lado.</t>
  </si>
  <si>
    <t>Parece imposible con la cantidad de datos que hay. Son muchos pedidos para un solo ticket. Que hagan tickets individuales y lo valide SAC</t>
  </si>
  <si>
    <t>MAN-00011282</t>
  </si>
  <si>
    <t>JUJ-NOA- Modificación carga de archivos externos</t>
  </si>
  <si>
    <t>La Lotería solicita que el sistema NOA se adapte a la carga de archivos generados por los proveedores (para la carga de entregas, devoluciones de ser necesario, premios y retenciones), con el objetivo de automatizar el procedimiento y reducir al mínimo la intervención manual en el proceso. Esta mejora busca optimizar tiempos y disminuir riesgos asociados a la manipulación humana.</t>
  </si>
  <si>
    <t>Hay que llevarlo a algo concreto y claro. Que se pide exactamente?</t>
  </si>
  <si>
    <t>MAN-00014262</t>
  </si>
  <si>
    <t>Gamma-COR Error en la liquidación</t>
  </si>
  <si>
    <t>Al iniciar la liquidación aparece un error de ETL.
Se consulta al Soporte Gamma. Se verifica que un Alta nuevo en SAA estaba duplicado en gamma. Ag 440-005.</t>
  </si>
  <si>
    <t xml:space="preserve">Sucedió porque dos máquinas se habilitaron al mismo tiempo. Fue un error operativo. </t>
  </si>
  <si>
    <t>Se puede evitar desde el sistema.</t>
  </si>
  <si>
    <t>MAN-14000 MAN - 000458</t>
  </si>
  <si>
    <t>NOA Habilitar Editar / Anular Remito</t>
  </si>
  <si>
    <t>Se solicita habilitar las opciones de NOA para poder editar y/o eliminar remitos de entrada/salida. Se adjunta imagen</t>
  </si>
  <si>
    <t>Esto puede traer quilombo. No deberían editar o elimiar remitos. Es por seguridad y consistecia del sistema</t>
  </si>
  <si>
    <t>MAN-517 SF13331</t>
  </si>
  <si>
    <t>GAMMA no genera el certificado de Retención de IIBB</t>
  </si>
  <si>
    <t>GAMMA no genera el certificado de Retención de IIBB como se hace en el SIGA. Adjunto como tendria que salir, Tiene que salir dentro de constancia de retención dentro del modulo Contabilidad. Por mas que se pruebe con varios numero de presentación el certificado no lo genera.</t>
  </si>
  <si>
    <t>MAN-521 SF14871</t>
  </si>
  <si>
    <t>Gamma- No se visualizan nros de movimientos manuales</t>
  </si>
  <si>
    <t>En el GAMMA los movimientos que se cargan de forma manual y ya fue probado en las liquidaciones no se visualizan por mas que esten cargados los datos. Se adjunta las capturas de un ejemplo. El Movimiento manual cargado del Tele ag 300 con 5100 con el numero de sorteo cargado. Se liquidó. En la preliquidacion no se ve y tampoco en la el movimiento liquidado de la misma agencia.</t>
  </si>
  <si>
    <t>No se entiende. Ver con Luis y SAC.</t>
  </si>
  <si>
    <t>MAN-615 SF15068</t>
  </si>
  <si>
    <t>Gamma- Costo por Cupon - TK Proy MAN-811</t>
  </si>
  <si>
    <t>Gamma- En las liquidaciones del Paralelo falta que se solicita que se cargue a todas la agencias se refleje en todas las liquidaciones diarias el costo por cupon actualmente es por 2,00 (valor variable).</t>
  </si>
  <si>
    <t>https://tecnoaccionsa-my.sharepoint.com/:w:/g/personal/fgarufi_tecnoaccion_com_ar/IQBAU4fS_sleT4jYnVlJU-FWAUWpxBIkeJ-jw92j_gNhWsY?e=J8GuAl</t>
  </si>
  <si>
    <t>MAN-652 SF15835</t>
  </si>
  <si>
    <t>Padron de agentes IIBB (Nota 013/26)</t>
  </si>
  <si>
    <t>La loteria de Santa Cruz el padron de IIBB lo genera en txt y la loteria lo pide con el formato que se adjunta en pdf. El padron debe respetar exactamente igual a las constancias que se emiten a los agencieros y consecuente mente los totales de importe retenido y el retenido. y como todo reporte piden que tenga el logo de la loteria</t>
  </si>
  <si>
    <t>Esto se desprende luego de la nota 013/26 enviada por Fernanda Serrano</t>
  </si>
  <si>
    <t>MAN-00011662</t>
  </si>
  <si>
    <t>Gamma- Consumo de memoria</t>
  </si>
  <si>
    <t>análisis y eventual solicitud de ampliación de memoria siendo que hoy las loterías en dicho entorno son Salta / Jujuy / La Rioja / Corrientes / Santa Cruz y estamos en las puertas de incorporar a Santiago del Estero.</t>
  </si>
  <si>
    <t xml:space="preserve">MAN-00011639
</t>
  </si>
  <si>
    <t>Gamma Reporte de ventas y Comisiones</t>
  </si>
  <si>
    <t>Loteria solicita  un reporte en Excel con la información de ventas y comisiones que se enviaba con anterioridad de manera mensual (se adjunta el Excel del mes pasado de referencia) pero además incluir códigos liquidados de VLT mes noviembre. Esta información adicional anteriormente se descargaban desde SIGA en el módulo Consulta &gt; Contaduría &gt; Liquidación de Agentes &gt; Matriz de Códigos Liquidados. 
El reporte Excel final con toda la información debe ser enviado el 2 de diciembre por Mail a la siguiente dirección: evera@loteriacorrentina.gov.ar .
Se adjunta ejemplos descriptivos.</t>
  </si>
  <si>
    <t>1</t>
  </si>
  <si>
    <t>Revisión de microservicios que no se usan</t>
  </si>
  <si>
    <t>2</t>
  </si>
  <si>
    <t>Revisión de procesos ETL que no se usan</t>
  </si>
  <si>
    <t>3</t>
  </si>
  <si>
    <t>Revisión de memoria redis y cache</t>
  </si>
  <si>
    <t>4</t>
  </si>
  <si>
    <t>Revisión de tareas programadas que no se usan.</t>
  </si>
  <si>
    <t>MAN-00012125</t>
  </si>
  <si>
    <t>presentación de IIBB. casino</t>
  </si>
  <si>
    <t>Se realizaron pruebas en el entorno UAT con la propuesta de solución de Luis Rodríguez, pero no se obtuvo el resultado esperado. Él continúa trabajando en una alternativa. Una vez que esté lista para su validación, se llevará a cabo una nueva verificación en UAT, y si la prueba es exitosa, procederemos a su implementación en producción.</t>
  </si>
  <si>
    <t xml:space="preserve">MAN-00012726
</t>
  </si>
  <si>
    <t>SAL Integración Lotix y convivencia con Lotline</t>
  </si>
  <si>
    <t>Se necesita analizar la integración con Gamma-Lotix</t>
  </si>
  <si>
    <t>16953</t>
  </si>
  <si>
    <t>Media</t>
  </si>
  <si>
    <t xml:space="preserve">LR-Gamma Solicitud de Mejora para el Listado Estado General de Resúmenes en la Rioja
</t>
  </si>
  <si>
    <t xml:space="preserve">Se solicita una mejora en el listado estado general de resúmenes para La Rioja , ya que según el personal que lo opera necesita ciertas mejoras para poder usarlo - adjunto informe .-
</t>
  </si>
  <si>
    <t>Esto afecta a todas las provincias. Tener en cuenta.</t>
  </si>
  <si>
    <t>Detallar bien para todas. Que sea bien claro para evitar retrabajos.</t>
  </si>
  <si>
    <t>16954</t>
  </si>
  <si>
    <t xml:space="preserve">Se solicita la generación de un comprobante al realizar un movimiento Manual
</t>
  </si>
  <si>
    <t xml:space="preserve">Por razones administrativas se requiere la generación de un comprobante manual en Formato PDF , incluyendo los items mencionados en le informe .
</t>
  </si>
  <si>
    <t>MAN-13030</t>
  </si>
  <si>
    <t>SC- Formato archivo de banco</t>
  </si>
  <si>
    <t>Verificar por favor el formato del archivo de banco de para los Cobros. El archivo de ejemplo es el que analizó el Banco Santa Cruz con el que trabaja ésta Loteria. Adjunto los archivos en cuestion y lo que pidió el banco. Solicitamos el analisis de los mismo para que sean modificados como pide el banco para su proceso correcto,</t>
  </si>
  <si>
    <t>MAN-0010257</t>
  </si>
  <si>
    <t>COR- Gamma-Reporte</t>
  </si>
  <si>
    <t>Cuando se incorpora un archivo bancario cancelando un resumen vencido el sistema no refleja correctamente el balanceo en cta cte. Si cambia correctamente el estado del mismo.
Lo mismo sucede en S. Cruz caso en SF. 9950 de dicha Prov.</t>
  </si>
  <si>
    <t>MAN - 000561 SF15148</t>
  </si>
  <si>
    <t>Gamma- Registro de pagos cobros en el modulo de caja, Agencia nueva</t>
  </si>
  <si>
    <t>Lotería comenta que desde que se dió de alta la agencia 220 no se puede procesar en caja para cobrar o pagar.
Se intentó procesar las liquidaciones de a una o grupales como las demás y en todos los casos da "Error de conexión"</t>
  </si>
  <si>
    <t>MAN-191 SF10881</t>
  </si>
  <si>
    <t>Gamma- RN- Exportacion de archivos a Bejerman Web.</t>
  </si>
  <si>
    <t>Solicitan que el archivo que sale en txt de exportación de asientos lo puedan sacar en XLS con el nuevo formato para Bejerman Web</t>
  </si>
  <si>
    <t>Río Negro</t>
  </si>
  <si>
    <t>MAN-00014048</t>
  </si>
  <si>
    <t>Gamma | CHECKINGACCOUNT – Caídas de servicio</t>
  </si>
  <si>
    <r>
      <rPr>
        <b/>
        <sz val="11"/>
        <color rgb="FF000000"/>
        <rFont val="Calibri"/>
      </rPr>
      <t>Se adjunta log y captura de pantalla con los horarios de las caidas.</t>
    </r>
    <r>
      <rPr>
        <sz val="11"/>
        <color rgb="FF000000"/>
        <rFont val="Calibri"/>
      </rPr>
      <t xml:space="preserve"> Se detectaron dos caídas del servicio CHECKINGACCOUNT del aplicativo Gamma, una el viernes 23/01 pasado alrededor de las 00:00 hs y otra el viernes 30/01, en un horario similar.
Se solicita análisis del incidente, causa raíz y acciones correctivas/preventivas.</t>
    </r>
  </si>
  <si>
    <t>Validar si está solucionado con Santaigo Aoki</t>
  </si>
  <si>
    <t>MAN-12357</t>
  </si>
  <si>
    <t>Modulo de Caja - Permitir cargar la fecha de pago del resumen</t>
  </si>
  <si>
    <t>Lotería solicita lo antes posible que en el modulo CAJA exista la opción de elegir fecha de pago, a los fines de incorporar cobros manuales con fechas anteriores a la fecha actual del sistema.
Tiene relación directa con el MAN ID716 - Tesoreria - Fecha valor en cobros manuales</t>
  </si>
  <si>
    <t>Validar con Napoleon Mena</t>
  </si>
  <si>
    <t xml:space="preserve">  MAN - 000466
SF 14508</t>
  </si>
  <si>
    <t>Gamma-LR-No entran los movimientos en las liquidaciones</t>
  </si>
  <si>
    <t>Es necesario cambiar manualmente el estado de liquidación de los días domingos, desmarcando el estado “liquidado” y configurándolo en false.</t>
  </si>
  <si>
    <t>El problema sigue. El paliativo es no configurar el domingo hasta el dia que lo vas a liquidar. (El martes mismo que liquidan) Bajaría la prioridad.  Hay que documentar. Solución que otra provincia no impacte en la que no tiene actividad.</t>
  </si>
  <si>
    <t>LR - GAMMA - CASO 8134 - No entran los movimientos en las liquidaciones - 1.2.DOC</t>
  </si>
  <si>
    <t>MAN-00008136</t>
  </si>
  <si>
    <t>Gamma-T.L.P.- Agregar modulo de homologación.
Caso 8136</t>
  </si>
  <si>
    <t>Homologación de Imputación y Código Contable para el servicio Discount
Para que nuevos movimientos puedan ser ingresados mediante el servicio, deben insertarse registros en la BD-Discount, tabla Homologation_imputation</t>
  </si>
  <si>
    <t>Caso 8136 - Homologación de códigos contables en DISCON - 1.1.docx</t>
  </si>
  <si>
    <t>Jimena</t>
  </si>
  <si>
    <t>00008135</t>
  </si>
  <si>
    <t>Gamma-T.L.P.-ABM para reglas</t>
  </si>
  <si>
    <t>a. Cambios de alícuotas, nuevos conceptos o creación de nuevas zonas que impacten en los cálculos requieren la creación de nuevas reglas en BD Calculator, de forma manual.
b. Generación de reglas particulares según necesidad específica.</t>
  </si>
  <si>
    <t>Cumple con los parámetros de la dirección. En desarrolo  ABM de comisiones. No hay ABM de impuestos (faltarían los impuestos)</t>
  </si>
  <si>
    <t>https://tecnoaccionsa.sharepoint.com/:w:/s/GAMMA.2024/IQAdK3QuBWdcQLY7heyCwY-hAet-gDt7lWKMOA3O1k2O1zw?e=j9Sbue</t>
  </si>
  <si>
    <t>Marcos</t>
  </si>
  <si>
    <t>MAN-511</t>
  </si>
  <si>
    <t>Jujuy Gamma Desde contable comentan que para el periodo de mayo, no es posible descargar las declaraciones juradas y las constancias de lo que se genera en impuestos a las Ganancias y lo que se genera para el cobro de IIBB. Está mal la información como el formato.
Por lo que teniendo fecha de vencimiento de presentación hasta este viernes 06/06/25, solicitan la corrección urgente de la misma.
Por lo que solicito un Jira que permita ver y solucionar este tema. Luis Rodriguez como Mario están al tanto del problema.</t>
  </si>
  <si>
    <t xml:space="preserve"> Está Ingresos Brutos. Falta GANANCIAS. HACER OTRO TICKET CON EL ERROR ESPECIFICO PARA GANANCIAS!!!!!!!!!</t>
  </si>
  <si>
    <t>Paolo</t>
  </si>
  <si>
    <t>7855</t>
  </si>
  <si>
    <t>Duplicados en reporte Resumen de Obligaciones</t>
  </si>
  <si>
    <t>Problema en el Excel exportado en el proceso de Liquidación, es decir en el Reporte Resumen de Obligaciones.
Duplicado la Agencia 10</t>
  </si>
  <si>
    <t>Registros duplicados de obligación de pagos para la agencia 10
Análisis:
Se detectó que el endpoint que consulta las obligaciones de cobros y pagos durante una preliquidación devuelve registros duplicados para la agencia 10. La causa se debe a que en la tabla banking_accounts existen dos registros asociados a la misma agencia, de los cuales uno se encuentra en estado deleted.
La duplicación se produce porque, para la generación del reporte, la información se extrae desde dos bases de datos distintas (Agencies y Checking_accounts). De ambas se obtienen los resúmenes y los datos complementarios de las agencias (CUIT, CBU, etc.), lo que provoca la inconsistencia.
Solución propuesta:
Modificar los scripts de consulta de manera que el endpoint:
Considere únicamente los registros de banking_accounts cuyo campo deleted sea NULL.
Filtre adicionalmente por el campo organization_id correspondiente tanto en la base de datos Agencies como en Checking_accounts</t>
  </si>
  <si>
    <t xml:space="preserve">Ver esfuerzo. </t>
  </si>
  <si>
    <t>MAN-7855 - COR - GAMMA - Duplicados reporte Resumen de Obligaciones - 1.0.docx</t>
  </si>
  <si>
    <t xml:space="preserve">MAN - 000093          10708
</t>
  </si>
  <si>
    <r>
      <rPr>
        <sz val="11"/>
        <color rgb="FF000000"/>
        <rFont val="Calibri"/>
      </rPr>
      <t xml:space="preserve">Error en reporte 104 - Gamma.
Caso SF 00010708 </t>
    </r>
    <r>
      <rPr>
        <b/>
        <sz val="11"/>
        <color rgb="FF000000"/>
        <rFont val="Calibri"/>
      </rPr>
      <t>MAN-573</t>
    </r>
  </si>
  <si>
    <t>Lotería reclama un error en el reporte 104, que desde hoy aparece (aparentemente a causa de la implementación del viernes 31-10-25).
En la selección de agencias para emitir reportes, el sistema muestra en pantalla el reporte con otros números de agencia que no existen siquiera.
El área de fiscalización contable reclama por estár haciendo controles por el mes de Octubre.</t>
  </si>
  <si>
    <t>Sería de bajo esfuerzo solucionarlo. Ver con Tejerina</t>
  </si>
  <si>
    <t>MAN 0483 - Error en reporte 104 - 1.0.docx</t>
  </si>
  <si>
    <t>Alejandro</t>
  </si>
  <si>
    <t>MAN-483</t>
  </si>
  <si>
    <t>JUY-Gamma Reporte movimientos de la lotería por la agencia 998  Ver Caso 6675</t>
  </si>
  <si>
    <t>Luego de revisar un poco los reportes, se encontró que los movimientos de la lotería por la agencia 998 por pago de premios por tesorería o de otra agencia, se están perdiendo por no registrarse.
            Por lo que los reportes tienen faltante de información.
            Solicitamos revisar el problema y sugerir una solución a la misma, para poder presentar los reportes a lotería antes de fin de mes.</t>
  </si>
  <si>
    <t>Este es por el 104. Detallar bien que se quiere.</t>
  </si>
  <si>
    <t>Consenso con Fabiana</t>
  </si>
  <si>
    <t>Tejerina</t>
  </si>
  <si>
    <t xml:space="preserve">MAN - 000061
</t>
  </si>
  <si>
    <t>BD propia de NOA no sincroniza con agencias del GAMMA (Prioridad ALTA). Caso SF 00010300</t>
  </si>
  <si>
    <t>Al modificar los datos de una agencia existente o crear una nueva en GAMMA, NOA no actualiza la información.Para Priorizar</t>
  </si>
  <si>
    <t>Estaría para desplegar el lunes?</t>
  </si>
  <si>
    <t>Se desplegó?  Implementado?</t>
  </si>
  <si>
    <t>MAN-00012574</t>
  </si>
  <si>
    <t xml:space="preserve">NOA- Generación Archivo Entregas </t>
  </si>
  <si>
    <t>Lotería utiliza . sacan el reporte de siga en preimpresos&gt; generación de archivos para entregas.
EN NOA/Procesamiento de archivos/Ventas Telekino - Archivo de Salida (No Funciona o no esta desarrollado)</t>
  </si>
  <si>
    <t>NOA - MAN 12574 - Generación archivo de entregas - 1.0.docx</t>
  </si>
  <si>
    <t>MAN - 000094
10705</t>
  </si>
  <si>
    <t>*Resúmenes de crédito con fecha errónea de vencimiento*
Reporte resumen de obligaciones solo figura total a cobrar. Caso SF 00010705</t>
  </si>
  <si>
    <t>En la liquidación del día Domingo 2 de noviembre, en el paso "Resumen de Obligaciones" en pantalla vemos tanto "Total a Pagar" como "Total a cobrar" sin embargo al exportar el Excel solo figura total a cobrar, falta que se visualice en el archivo de Excel la información correspondiente a total a pagar.</t>
  </si>
  <si>
    <t>Ocurrió solo una vez luego de una actualización de Gamma y solo ocurrió en Corrientes. No se sabe que pasó. Se supone que fue algo colateral de esa implementación en particular. Se recomienda observa si vuelve a ocurrir alguna vez. Corriente asumiría que este de desestime si no se repite.</t>
  </si>
  <si>
    <t>558</t>
  </si>
  <si>
    <t>Investigar funcionamiento de los procesos de depuración</t>
  </si>
  <si>
    <t>Analisis en Desarrollo. Proceso de depuración. Luego Infra corre depuración a pedido.</t>
  </si>
  <si>
    <t>595</t>
  </si>
  <si>
    <t>planificar depuraciones</t>
  </si>
  <si>
    <t>SLA GAMMA MAN-9524 Modulo Contabilidad-Generacion de constancias no guarda nro de presentacion en tablas.
Caso 6637.</t>
  </si>
  <si>
    <t>Sabrina indicó en el correo del 14/11/2025 que este sigue abierto. Que es un PROBLEMA de Media y el responsable interno es Santiago. Ver con Santiago y Luis. Estaría resuelto.</t>
  </si>
  <si>
    <t>Validar con Franco</t>
  </si>
  <si>
    <t>00009746</t>
  </si>
  <si>
    <t>14/10/2025</t>
  </si>
  <si>
    <t>Caso 9746- COR-Gamma -Declaración Jurada IIBB</t>
  </si>
  <si>
    <t>El archivo txt generado por GAMMA no contiene el CUIT de lotería ni el periodo.
Adjunto imagen de como genera en gamma y como lo debería generar.</t>
  </si>
  <si>
    <t>Quedó algo que se pedirá en otro caso de SF. Este se cierra. QUE SE CIERRE. LO VALIDEN!!!</t>
  </si>
  <si>
    <t>MAN-00011429</t>
  </si>
  <si>
    <t>Juj- Gamma- Listado 144</t>
  </si>
  <si>
    <t>El reporte 144, los movimientos de la agencia 998 no aparece. Lotería realiza los pagos de premios menores y mayores en la institución con la Sunmi 998-0-1. Por lo que el sistema debe reflejar los movimientos de dinero implicados en estas acciones.</t>
  </si>
  <si>
    <t xml:space="preserve">Lo revisamos con Luis Rodriguez y José Candia:  agregar al filtro agencias del reporte 104 y 144 la opción de seleccionar todas las agencias. Que tenga un check para incluir tambien los no liquidables.Y debe permitir seleccionar más de 10 agencias </t>
  </si>
  <si>
    <t>00009735</t>
  </si>
  <si>
    <t>No salen los caducos en la liquidacion</t>
  </si>
  <si>
    <t xml:space="preserve">Durante la liquidación de estas fechas, Loto Plus del 9/10 y Telekino TJ del 11/10 no salieron en la liquidados los caducos en GAMMA.
Se debe dar solución al endpoint de sorteos y adjuducaciones y con eso se resuelve de forma definitiva. El EndPoint de Sorteo y Adjudicación, debería identificar cuales son las novedades y mandar a Gamma solo eso. Gamma no está interpretando la información.
 </t>
  </si>
  <si>
    <t>Relacionado con 11646 (Duplicado)</t>
  </si>
  <si>
    <t>Está hecho?</t>
  </si>
  <si>
    <t>MAN-9735 y 11646 - Null sobrescribe adjudicación y premios - 1.1.pdf</t>
  </si>
  <si>
    <t>MAN-00011646</t>
  </si>
  <si>
    <t>Gamma-No trajo caducos Q6 y Brinco</t>
  </si>
  <si>
    <t>En la preliquidacion del día sábado 22 del-11 . No Aparecieron los caducos que el sistema trae automáticamente correspondientes al Quini 6 y Brinco. Este error ya sucedió.
Se soluciono incorporando los caducos de estos juegos por archivo desde el modulo Descuentos y Bonificaciones.
Se aclara que no se realizaron modificaciones de calendario de sorteo en SAA de estos juegos.</t>
  </si>
  <si>
    <t>Solo pasa cuando se cambia una caducidad en un sorteo ya cerrado. (Luis) Pero dicen que no ha cambiado nada.Es de baja probabilidad de impacto alto si no avisaron. Deben tener un procedimiento escrito para avisar que se ha cambiado la caducidad de un sorteo (Jujuy manda mail)</t>
  </si>
  <si>
    <t>COR - GAMMA - MAN 11456 - Error al incorporar archivo de banco - 2.0.docx</t>
  </si>
  <si>
    <t>Sería más complicado. Ver con Tejerina. Podría ser SAA. Hay que poner inteligencia</t>
  </si>
  <si>
    <t>MAN-00011480</t>
  </si>
  <si>
    <t>Baja</t>
  </si>
  <si>
    <t>TLP-Gamma-Reporte 21</t>
  </si>
  <si>
    <t>Análisis preliminar recopilatorio:
Cuando se da de alta un PDV asociado a una Organización, el proceso impacta sobre la tabla organizations y establece el campo name en NULL; es decir, el registro se crea con el id correspondiente, pero el nombre de la organización no se genera.
Impacto:
A nivel Gamma: No se observan efectos funcionales.
A nivel reportes: El inconveniente afecta el Reporte 21 de La Rioja, ya que este reporte obtiene el nombre de la organización desde la tabla mencionada.
Entorno: El error se presenta en el ambiente de Producción.</t>
  </si>
  <si>
    <t>Solo afecta al reporte 21  en La Rioja. Es un reporte a demanda cuando alguna agencia tiene un credito a favor. (Paga más premios de lo que vendió)</t>
  </si>
  <si>
    <t>https://tecnoaccionsa.sharepoint.com/:w:/s/GAMMA.2024/IQD2qcHLL_06QYw0_0yapXa_AUEIYj9A4MEgsv4dNHtxtXE?e=I2LkXT</t>
  </si>
  <si>
    <t>Estima luis que no es mucho esfuerzo</t>
  </si>
  <si>
    <t>MAN-00011546</t>
  </si>
  <si>
    <t>Gamma- Error al incorporar archivo de banco</t>
  </si>
  <si>
    <t>Se verifica que cuando se reprocesa se produce un error en los resultados, luego de la carga del archivo bancario (se adjunta captura de pantalla).
Solución propuesta: volver a cargar el archivo, no reprocesar</t>
  </si>
  <si>
    <t>MAN 11456 - Error al incorporar archivo de banco - 2.1.pdf</t>
  </si>
  <si>
    <t>No sería complicado</t>
  </si>
  <si>
    <t>367</t>
  </si>
  <si>
    <t>checking_account inestable con Eureka</t>
  </si>
  <si>
    <t>el ms se comporta de manera inestable con Eureka</t>
  </si>
  <si>
    <t>Hay que involucrar a Infra antes de Desarrollo. Empezar con una reunión conjunta.</t>
  </si>
  <si>
    <t>MAN-668 SF15881</t>
  </si>
  <si>
    <t>SC - Gamma Reporte 103 modificado luego de despliegue</t>
  </si>
  <si>
    <t>Después de la implementación del 6/4/26 el reporte 103 perdió las columnas propias que tenia 1 columna para los debitos y la otra para los creditos y sus totales para cada columna en el debe y en la columna haber. Ahora sale todo en una misma columna. La loteria de Santa Cruz pide que los debitos y los creditos tenga su propia columna como antes. Y los archivos exportados en el reporte sea con permisos de edición no como sale ahora que lo hace solo con permisos de lectura.</t>
  </si>
  <si>
    <t>SLA- Solicitud API sincronizar SAA-GAMMA</t>
  </si>
  <si>
    <t>Hay que ver si esto es de Gamma o Mundo SAA y satelites. Sabrina indicó en el correo del 14/11/2025 que este sigue abierto. Que es un REQUERIMIENTO de Media y el responsable interno es Franco ¿Esto debería hacer sincroagencias?Preguntar a Marino.</t>
  </si>
  <si>
    <t>00008137</t>
  </si>
  <si>
    <t>Gamma-T.L.P.- Permitir borrar Códigos Contables</t>
  </si>
  <si>
    <t>En caso de errores de creación de códigos contables por parte de la Lotería (especialmente en el tipo de código contable), las correcciones solo pueden realizarse desde las tablas</t>
  </si>
  <si>
    <t>Se puede borrar si nunca se uso. Y si se uso no se puede editar el tipo de código contable. Baja prioridad.</t>
  </si>
  <si>
    <t>Borrar/modificar</t>
  </si>
  <si>
    <t>MAN-665 SF15922</t>
  </si>
  <si>
    <t>SLA - GAMMA - Duplicidad de Cancelación de Débitos</t>
  </si>
  <si>
    <t>Para los casos en que SDE y SLA tengan un mismo número de resumen para una misma agencia, el cobro realizado en SDE también impacta en la de SLA.
Ej. la Agencia 6 de SDE con el resumen 33488 que corresponde a la liquidación del día 15/02/2026. La de SLA que tiene el mismo número de resumen y agencia corresponde al día 02/06/2024.</t>
  </si>
  <si>
    <r>
      <rPr>
        <sz val="11"/>
        <color rgb="FF000000"/>
        <rFont val="Calibri"/>
      </rPr>
      <t xml:space="preserve">MAN-00012734   MAN-00013568 </t>
    </r>
    <r>
      <rPr>
        <b/>
        <sz val="11"/>
        <color rgb="FF000000"/>
        <rFont val="Calibri"/>
      </rPr>
      <t>ver correo 13568</t>
    </r>
  </si>
  <si>
    <t xml:space="preserve">LR-NOA Problemas para cargar remito proveedor de Telekino </t>
  </si>
  <si>
    <t>error al cargar los remitos de los sorteos de Telekino. Se requiere intervención de sistema para desbloquear la carga.
Hay que ejecutar este scripts en BD-ta_business :
ta_business:
update raffles set coupons_amount_per_bundle=1
where organization_id =3 and game_id =8
and "number" in (2405,
2406,
2407,
2408);</t>
  </si>
  <si>
    <t>MAN-669 SF15900</t>
  </si>
  <si>
    <t>SLA - Gamma Reporte PDV para cambio alícuotas masivas</t>
  </si>
  <si>
    <t>Se necesita se genere un reporte de PDV para cambio alícuotas masivas. El reporte debe tener los siguientes campos:
PDV - CUIT - LOCALIDAD - IIBB - TISSH</t>
  </si>
  <si>
    <t>MAN-670 SF15939</t>
  </si>
  <si>
    <t>COR - Gamma Archivos de cobros bancarios-Backproces</t>
  </si>
  <si>
    <t>Realizaron Backprocess de archivos de cobros bancarios cuyos movimientos ya se habían liquidado y luego procesaron un nuevo archivo sobre resúmenes ya cancelados cuyos saldos ya estaban liquidados y generando un desbalance entre movimiento de saldos y movimientos de cancelaciones.
No se debe hacer backprocess de archivos de cobros procesados cuando ya salieron los movimientos generados (saldo y/o cancelaciones) en alguna liquidación</t>
  </si>
  <si>
    <t>Ordenar los datos de pantalla de recuperación PW.
Caso 6646.</t>
  </si>
  <si>
    <t>Ordenar los datos de pantalla de recuperación password</t>
  </si>
  <si>
    <t>Responsable Interno: Napoleón. Sabrina priorizo como requerimiento pendiente de Alta prioridad en el correo del 14/11/2025</t>
  </si>
  <si>
    <t>SAL - LOTEMOVIL - MAN-592 Contraseña vencida - CASO-10453 Mail de recuperacion - ver 1.1.docx</t>
  </si>
  <si>
    <t>SLA GAMMA MAN-9527 Modulo Contabilidad-Diferencias en cálculo de retenciones. Caso 6639.</t>
  </si>
  <si>
    <t>Sabrina indicó en el correo del 14/11/2025 que este sigue abierto. Que es un PROBLEMA de Media y el responsable interno es Santiago</t>
  </si>
  <si>
    <t>SLA GAMMA MAN-9560 Descuentos y bonificaciones - uso del modulo de manera independiente para la carga de movimientos
Caso 6640 fue cerrado. Hay que abrir en SF un caso vinculado a MAN-128 y MAN-9560 para pedir solucion final</t>
  </si>
  <si>
    <t>Juan Manuel lo tiene como cerrado el 30/09/2024. Con implementaciones. Preguntar a SAC que revise esto. No está en desarrollo. Sabrina dice que está pendiente en el correo del 14/11/2025 el responsable interno es Franco y es de prioridad alta.</t>
  </si>
  <si>
    <t>Lo tiene Desarrollo</t>
  </si>
  <si>
    <t>SLA GAMMA MAN-9556 Motor de Calculos - FrontEnd.
Caso 6648.</t>
  </si>
  <si>
    <t>Sabrina indicó en el correo del 14/11/2025 que este sigue abierto. Que es un REQUERIMIENTO de Media y el responsable interno es Santiago</t>
  </si>
  <si>
    <t>FE - Carga manual descuentos y bonificaciones - 1.5.docx</t>
  </si>
  <si>
    <t>SLA ABACO MAN-9581  Menú “Control de Cajas” , agregar la posibilidad de filtrar por un rango de fechas.
Caso 6649.</t>
  </si>
  <si>
    <t>Sabrina indicó en el correo del 14/11/2025 que este sigue abierto. Que es un REQUERIMIENTO de Baja y el responsable interno es Napoleon</t>
  </si>
  <si>
    <t>SAL - ABACO - CASO 6649 - Agregar rango fechas- 1.1.docx</t>
  </si>
  <si>
    <t>SLA ABACO MAN-9574 Listado de premios caducos que sea por fecha de caducidad en lotería y no de emisión.
Caso 6650.</t>
  </si>
  <si>
    <t>Sabrina indicó en el correo del 14/11/2025 que este sigue abierto. Que es un REQUERIMIENTO de Media y el responsable interno es Napoleon</t>
  </si>
  <si>
    <t>SLA ABACO MAN-9580 Control de ventas en Abaco, ( nuevo).
Caso 6651.</t>
  </si>
  <si>
    <t>SLA ABACO MAN-9571 Smartphone panel responsive.
Caso 6654.</t>
  </si>
  <si>
    <t>SAL-Panel de agentes -  modificar el Open Graph.
Caso 6655.</t>
  </si>
  <si>
    <t>ya está resuelto. confirmar con SAC</t>
  </si>
  <si>
    <t>MAN-395 6685</t>
  </si>
  <si>
    <t>JUY-GAMMA Modificacion de comprobante de caja</t>
  </si>
  <si>
    <t>Lotería está solicitando en el módulo de caja, cuando el comprobante que emite el sistema una vez cobrado o pagado está totalizado en números, pero no expresado en letras como corresponde a ese tipo de comprobantes.</t>
  </si>
  <si>
    <t>MAN-508</t>
  </si>
  <si>
    <t>JUY-Gamma desarrollar módulo para  para el cobro de la cuota societaria.</t>
  </si>
  <si>
    <t>Jujuy - Gamma
Este es un cálculo y descuento que en SIGA se hacía de forma automática (Cod.30).
Para GAMMA se debe calcular manualmente, cobrando a las agencias afiliadas $107 por cada sorteo de tómbola en los que participa diariamente.
Los reportes de gamma no proveen ese detalle y la info se busca en SAA para elaborar los descuentos.</t>
  </si>
  <si>
    <t xml:space="preserve">MAN-542                     GAMMA - 000507
</t>
  </si>
  <si>
    <t>JUY-GAMMA desarrollar sistema que evite preliquidar en simultaneo.</t>
  </si>
  <si>
    <t>JUY-GAMMA Se necesita que el sistema no permita realizar liquidaciones en simultaneo</t>
  </si>
  <si>
    <t xml:space="preserve">MAN-546        MAN - 000510
</t>
  </si>
  <si>
    <t>JUY-GAMMA - análisis de archivo bancario para interfaz</t>
  </si>
  <si>
    <t>MAN-562</t>
  </si>
  <si>
    <t>LR-GAMMA Solicitud de modificacion del reporte 103</t>
  </si>
  <si>
    <t>LR-GAMMA Reporte 103: Si bien permite la exportación del mismo, es necesario agregar en los filtros la posibilidad de filtrar por "fecha de proceso" (de pago) ya que este reporte es el que utiliza la gente de caja/tesorería para exportar únicamente los pagos realizados en el dia.</t>
  </si>
  <si>
    <t>Está en QA porque no pone la fecha de pago de los resumenes con obligaciones de pago. Lo tiene desarrollo y ya lo está trabajando.</t>
  </si>
  <si>
    <t xml:space="preserve">MAN-573 </t>
  </si>
  <si>
    <t>SLA-GAMMA Solicitud de menú para autogestion de los reportes de cierre contable.
Caso 6657.</t>
  </si>
  <si>
    <t xml:space="preserve">SLA-GAMMA Solicitan tener en el menu los siguientes reportes:                                            *Liquidaciones GAMMA: listado de movimientos liquidados en el rango de fechas solicitados.
Columnas: agencia, imputación, código, descripción, partida (debito/crédito), total del rango de fechas, fecha/s.
Debe devolver los importes debitados/acreditados.                                                   *No homologados: detalle de movimientos no homologados en el período consultado.                                                </t>
  </si>
  <si>
    <t>Ver reporte 104. Caso 10708 es el caso vinculado. Sabrina indicó en el correo del 14/11/2025 que este sigue abierto. Que es un REQUERIMIENTO de Alta y el responsable interno es Santiago ¿Que se hace hoy para suplanntar esto?</t>
  </si>
  <si>
    <t>https://tecnoaccionsa.sharepoint.com/:w:/s/GAMMA.2024/IQD96kNAde83TKR4nagcaF9KAQ_hUf99DHz0b6ddOhwXql4?e=IlRhoT   https://tecnoaccionsa.sharepoint.com/:w:/s/GAMMA.2024/IQA8cuN34mqXQqamingZSo7FAZ7qR1y5sMJqtEfrhmbRg8s?e=7ITwfs    https://tecnoaccionsa.sharepoint.com/:w:/s/GAMMA.2024/IQAg8dx3M4CST79BvEY914SqARYqlqKCsSusVR-sotEsioI?e=6HO6RR   https://tecnoaccionsa.sharepoint.com/:w:/s/GAMMA.2024/IQAPX6KPnap6Sq8qVQN7gS5NATmX793LnMobo9QD9lqa2Mo?e=bwmESs</t>
  </si>
  <si>
    <t>MAN-576</t>
  </si>
  <si>
    <t>LR-NOA Modificacion en remitos de salida</t>
  </si>
  <si>
    <t>LR-NOA Remitos de salida. permitir asignar a un mismo producto varios lotes.</t>
  </si>
  <si>
    <t>esto va en contra de definiciones regulatorias e integridad del circuito</t>
  </si>
  <si>
    <t>MAN-577</t>
  </si>
  <si>
    <t>LR-NOA  Mejora en modulo de pagos TK</t>
  </si>
  <si>
    <t>LR-NOA Modulo de pagos TK, se solicita se pueda utilizar lector de codigos de barras.</t>
  </si>
  <si>
    <t>No está ni planificado. En por hacer.</t>
  </si>
  <si>
    <t>MAN-582</t>
  </si>
  <si>
    <t>SAL-GAMMA Anulación retiro no figura en GAMMA.
Caso 6658.</t>
  </si>
  <si>
    <t>SAL-GAMMA El día 20/06/2025 esperábamos encontrar un código 070 ANULACION SOLICITUD DE RETIRO por $ 3.000 en el PDV 12. Sin embargo, el mismo no se liquidó.</t>
  </si>
  <si>
    <t>Sabrina indicó en el correo del 14/11/2025 que este sigue abierto. Que es un REQUERIMIENTO de Media y el responsable interno es Franco</t>
  </si>
  <si>
    <t>MAN-584</t>
  </si>
  <si>
    <t>SAL-GAMMA No funciona el boton de reprocesar. 
Caso  6641.</t>
  </si>
  <si>
    <t>SAL-GAMMA No esta funcionando el boton de reprocesar en el panel de auditoria(TESORERIA/PANEL DE AUDITORIA/ACCIONES ????? )</t>
  </si>
  <si>
    <t>Este comentario no es de este ticket: No hay error. Hay un botón que se llama recalcular que no se sacó del frontend. Perdió uso. Hay que sacarlo al botón.(Comentario de Luis) Horacio lo verá con el cliente.Sabrina indicó en el correo del 14/11/2025 que este sigue abierto. Que es un REQUERIMIENTO de Media y el responsable interno es Franco</t>
  </si>
  <si>
    <t>MAN - 000043
9781</t>
  </si>
  <si>
    <t>Exportación de información de cada Lote.
Caso SF 00009781</t>
  </si>
  <si>
    <t>Solicitamos un botón para descargar / exportar / imprimir los detalles de puntos de ventas e imputación, en el módulo Descuentos y Bonificaciones, opción "Panel de auditoría"</t>
  </si>
  <si>
    <t xml:space="preserve">00009676  Gamma - 000052
</t>
  </si>
  <si>
    <t>COR-Lotemovil- Terminos y Condiciones</t>
  </si>
  <si>
    <t>Solicitamos que este disponible desde el perfil Agencia una opción en donde puedan leer, consultar y/o descargar en cualquier momento las políticas de privacidad que aceptaron.</t>
  </si>
  <si>
    <t>00009747  Gamma - 000051
ID719</t>
  </si>
  <si>
    <t>COR-Gamma- Campo Agencia en Listado de Movimientos Manuales</t>
  </si>
  <si>
    <t>En el modulo de movimientos manuales necesitamos que tanto en el FE de gamma como en el archivo exportado se visualice la agencia asignada al movimiento incorporado.
Adjunto imagen representativa de ambas necesidades</t>
  </si>
  <si>
    <t>00009748</t>
  </si>
  <si>
    <t>COR-Gamma- Movimientos en Descuento y Bonificaciones.</t>
  </si>
  <si>
    <t>Solicitamos que en panel de auditoria de los archivos incorporados, los ordene por numero de lote mas reciente primero y que se incorpore una columna con la Imputación.</t>
  </si>
  <si>
    <t>Estaría Hecho ver con SAC</t>
  </si>
  <si>
    <t>00008122</t>
  </si>
  <si>
    <t>Gamma-T.L.P.-Errores durante pre-liquidación - Bloqueante a la liquidacion</t>
  </si>
  <si>
    <t>En algunas cancelaciones de preliquidaciones, el proceso no se completa de forma correcta.</t>
  </si>
  <si>
    <t>resuelto con procedimiento</t>
  </si>
  <si>
    <t>00008243</t>
  </si>
  <si>
    <t>16/9/2025</t>
  </si>
  <si>
    <t>Liquidación diaria de los cobros a las agencias</t>
  </si>
  <si>
    <t>Lotería requiere la liquidación diaria de los cobros a las agencias por las ventas en cada sorteo diario.
Esto se genera a mano diariamente de lunes a domingo, porque GAMMA no cuenta con un módulo de cobros programados y de montos específicos.
Se deben generar los archivos para DISCOUNT y aplicarlos para su correcta liquidación</t>
  </si>
  <si>
    <t>en qa en prueba</t>
  </si>
  <si>
    <t>00008393</t>
  </si>
  <si>
    <t>22/9/2025</t>
  </si>
  <si>
    <t>Gamma- COR- Problemas en Preliquidación</t>
  </si>
  <si>
    <t>Ver con Infra. Se solicito un reinicio automatico de servicios</t>
  </si>
  <si>
    <t>00006924</t>
  </si>
  <si>
    <t>26/8/2025</t>
  </si>
  <si>
    <t>SLA-Lotemovil - Control de Caja</t>
  </si>
  <si>
    <t>Descripción:
Actualmente, en el Panel de Agentes, al realizar la consulta de CONTROL DE CAJA, no se está aplicando la deducción de impuestos correspondiente en los juegos de terceros (Telekino, Quini 6, Loto, etc.).
Para los premios mayores a $1.333, corresponde un descuento impositivo.
En la sección Cuenta Corriente, este descuento se refleja correctamente.
Sin embargo, en Control de Caja no aparece la deducción, lo que genera una inconsistencia en la visualización.
Requerimiento:
Que el Control de Caja muestre los importes netos de premios (es decir, ya descontando los impuestos) en línea con lo que se refleja en Cuenta Corriente.
Impacto:
Inconsistencia entre secciones (Control de Caja vs Cuenta Corriente).
Confusión para agentes al momento de controlar su cierre.</t>
  </si>
  <si>
    <t>MAN-000100</t>
  </si>
  <si>
    <t>No se puede crear remitos de entrada con un número ya existente. (Prioridad baja)
Caso SF 00010301</t>
  </si>
  <si>
    <t>Es deseable que no se repita el mismo número de remito para el mismo juego, sin embargo, tampoco lo permite para juegos distintos. Es práctica común utilizar el número de sorteo como número de remito y luego de un tiempo estos empiezan a repetirse.</t>
  </si>
  <si>
    <t xml:space="preserve">MAN - 000095
</t>
  </si>
  <si>
    <t>No permite repetir nombre de juegos en diferentes organizaciones (Prioridad baja) 
Caso SF 00010303</t>
  </si>
  <si>
    <t xml:space="preserve">Al querer crear un juego común a varias provincias, como el TELEKINO, NOA muestra un error. Esto se soluciona agregando las iniciales de la provincia, pero no es lo correcto. </t>
  </si>
  <si>
    <t xml:space="preserve">00010318                      MAN - 000074
</t>
  </si>
  <si>
    <t xml:space="preserve">Se presentan de forma semanal (2 a 4 veces, aproximadamente), por lo general GAME, GAMMABFF, CHECKINGACCOUNT eventualmente, USERS, AGENCYS.
</t>
  </si>
  <si>
    <t>Resuelto</t>
  </si>
  <si>
    <t>00009894</t>
  </si>
  <si>
    <t>SC-Gamma- LU Loteria Unificada con retencion de impuesto al premio</t>
  </si>
  <si>
    <t>La loteria se hace cargo de la retención  de impuesto al juego al premio que sea del mismo valor al cupon. Para que el apostador no cobre menos que el cupon apostado. Esto lo viene haciendo bien el SIGA, pero en el GAMMA no lo hace.</t>
  </si>
  <si>
    <t>JM pasó esto a Mantenimiento de Gamma</t>
  </si>
  <si>
    <t>00009950</t>
  </si>
  <si>
    <t>SC GAMMA - Balanceo cta cte archivo resumen vencido.
Mismo caso que en COR 00010257</t>
  </si>
  <si>
    <t>Cuando se incorpora un archivo bancario cancelando un resumen vencido el sistema no refleja correctamente el balanceo en cta cte. Si cambia correctamente  el estado del mismo.</t>
  </si>
  <si>
    <t>764</t>
  </si>
  <si>
    <t>liquidaciones a 11:30 aproximadamente, tienen mucha demora y generan doble calculo hasta las 13hs aproximadamente</t>
  </si>
  <si>
    <t>LR: está asociado a la cantidad de datos en PRD y hay que evaluar depuraciones. Planificar actividad para octubre</t>
  </si>
  <si>
    <t>00011038</t>
  </si>
  <si>
    <t>Abaco - Error en módulo de Medios Digitales</t>
  </si>
  <si>
    <t>Lista de resultados con demora: Al listar los movimientos de “Modo”, el endpoint que busca los detalles de los movimientos no filtra por fecha, devolviendo todos los registros disponibles para el PDV seleccionado.</t>
  </si>
  <si>
    <t>00011039</t>
  </si>
  <si>
    <t>Abaco - Módulo Medios Digitales</t>
  </si>
  <si>
    <t>En el menú “Medios Digitales”, la vista de FE no pagina los resultados de las búsquedas realizadas, generando una lista interminable cuando existen muchos movimientos.</t>
  </si>
  <si>
    <t>00010775</t>
  </si>
  <si>
    <t>NOA-Falta El valor Neto para calculo de la comision Escalonada</t>
  </si>
  <si>
    <t>El problema es que no está el dato del NETO (diferencia entre las ventas y las devoluciones) de las imputaciones que llevan comision escalonada. Actualmente el sistema hace el calculo por separado lo que genera inconsistencia en el resultado final.
Ejemplo si se vende 1100 cartones (escalon mas alto) y se devuelven 200.( escalon mas bajo). El calculo final deberia aplicarse a 800 cartones por el escalon del medio.
La sgte comision escalonada es por cantidad de venta de cartones. A mayor cantidad de cartones mayor es el porcentaje
Del 1 al 400 cartones es el 18 %
Del 401 al 1000 el 20%
Y de 1001 cartones vendidos en adelante es el 22% de todos los juegos como Telebingo, rebingo minibingo.
La comisión deberían respetar la del NETO final al momento de calcula la comision escalonada del los cartones vendidos.</t>
  </si>
  <si>
    <t>MAN-00011121</t>
  </si>
  <si>
    <t>Resumen Cta Cte. Código 586 – Cancelación Débito del Unificado</t>
  </si>
  <si>
    <t>Actualmente se coloca el importe del resumen procesado, que suma al código 10 del unificado (Saldo del sorteo anterior), generando un efecto neutro.
Se sugiere eliminar este mecanismo y que el código 10 del unificado quede solo compuesto por el saldo del resumen anterior.</t>
  </si>
  <si>
    <t>MAN-00011272</t>
  </si>
  <si>
    <t xml:space="preserve">COR-Gamma -Modificacion fecha de registro </t>
  </si>
  <si>
    <t>Se solicita que, al procesar la cancelación de uno o varios resúmenes desde el módulo de
Tesorería o Caja, tanto el saldo como la cancelación se liquiden utilizando la fecha en
la que el usuario realizó el proceso.
El objetivo es ajustar el comportamiento del sistema para que refleje la operación contable
real y coincida con la operatoria diaria de Tesorería.
Se adjunta un pdf con la explicacion completa.</t>
  </si>
  <si>
    <t>https://tecnoaccionsa.sharepoint.com/:w:/s/GAMMA.2024/IQAJ_y_lBO7mSqcbWTvZPjBRAe5ZiQZiUAM7gLQf4kP6nZk?e=52UqbY</t>
  </si>
  <si>
    <t>? Buscar</t>
  </si>
  <si>
    <t>MAN-00011379</t>
  </si>
  <si>
    <t>Juj-Gamma - Reporte Cuenta Corriente - GAMMA</t>
  </si>
  <si>
    <t>Lotería solicita tener la opción de exportar la información que devuelve el módulo, que está funcionando.</t>
  </si>
  <si>
    <t>MAN-00011431</t>
  </si>
  <si>
    <t>Juj- Gamma- Permitir cobros en caja durante la preliquidacion</t>
  </si>
  <si>
    <t>Se requiere permitir cobros de días anteriores con lanzador abierto (preliquidación en curso) de liquidaciones cerradas. A causa de la implementaron desde Noviembre de multas a las agencias por pagos fuera de término.</t>
  </si>
  <si>
    <t>Reingeniería de procesos</t>
  </si>
  <si>
    <t>MAN-00011430</t>
  </si>
  <si>
    <t>Juj-Gamma - Impuestos</t>
  </si>
  <si>
    <t>En los Excel exportados de retenciones de impuestos IIBB y Ganancias carecen de totales por columnas y orden numérico de aparición de agencias, requiriendo manipulación manual.</t>
  </si>
  <si>
    <t>MAN-00011423</t>
  </si>
  <si>
    <t>Juj-Gamma - Nuevo Reporte en Gamma Listado 107. Consulta de cuenta corriente. Resumen</t>
  </si>
  <si>
    <t>Crear nuevo reporte que permita generar información consolidada, filtrada por rango de fechas, juegos y números de sorteos. Fundamental para el área de fiscalización que rinde a la provincia.</t>
  </si>
  <si>
    <t>MAN-00011424</t>
  </si>
  <si>
    <t>Juj-Gamma - Nuevo Reporte   Pedido de reporte codigo 32 deudores retenciones de servicios</t>
  </si>
  <si>
    <t>Crear reporte de movimientos liquidados conteniendo columnas de (agencia, código, imputación e importe) ordenados por número de agencia, fundamental para el seguimiento contable por conceptos (comisiones, premios, estímulos, etc.).</t>
  </si>
  <si>
    <t>MAN-00012627</t>
  </si>
  <si>
    <t>Panel Agentes- Buzon</t>
  </si>
  <si>
    <t>Lotería Solicita de que los agencieros dispongan en la APP LOTE MOVIL (Nuevo) de la posibilidad de descargar los certificados de retención de ingresos brutos sufrida por parte del ILCC de modo de hacer un control cruzado al momento de realizar su presentación de declaración jurada determinativa del mencionado impuesto</t>
  </si>
  <si>
    <t>Qué impacta en Gamma?</t>
  </si>
  <si>
    <t>13227</t>
  </si>
  <si>
    <t>CORR GAMA Boleta de deposito Mejoras</t>
  </si>
  <si>
    <t>Importe y vencimiento:
Agregar la fecha de vencimiento al lado del importe a pagar.
Código 586 – Cancelación Débito del Unificado:Actualmente se coloca el importe del resumen procesado, que suma al código 10 del unificado (Saldo del sorteo anterior), generando un efecto neutro.
Eliminar este mecanismo y que el código 10 del unificado quede solo compuesto por el saldo del resumen anterior.</t>
  </si>
  <si>
    <t>mantenimiento</t>
  </si>
  <si>
    <t>Analizar como impacta en otras provincias.</t>
  </si>
  <si>
    <t>Caso 13227 - Resumen de Ag – Correc vencimy saldo cta cte - 1.0.docx</t>
  </si>
  <si>
    <t>?</t>
  </si>
  <si>
    <t>10541</t>
  </si>
  <si>
    <t>No se genera Reporte 103</t>
  </si>
  <si>
    <t>No se puede generar reporte 103, provocado por el proceso de cambio de titularidad de agentes. Así mismo genera error en el módulo Alerta (no visualiza las mismas).</t>
  </si>
  <si>
    <t>Replicar en UAT</t>
  </si>
  <si>
    <t>MAN-00014096</t>
  </si>
  <si>
    <t>Gamma COR- Error en liquidacion</t>
  </si>
  <si>
    <t>Inician la preliquidación da error de cálculo. Se realizo BP y volvió a dar el mismo error. (error de memoria)</t>
  </si>
  <si>
    <t>MAN-00014170</t>
  </si>
  <si>
    <t>Gamma- User - Caída del servicio</t>
  </si>
  <si>
    <t>A primeras horas del día (00:05) se verificó un reinicio automático por parte del servicio USER, misma situación durante la mañana. Jujuy y Corrientes comunicaron no poder acceder. El servicio USER tenia un uso casi del total de la capacidad</t>
  </si>
  <si>
    <t>MAN-658 SF15876</t>
  </si>
  <si>
    <t>TLP - GAMMA - Reporte de resumen de obligaciones SIN CBU</t>
  </si>
  <si>
    <t>Luego de la implementación de GAMMA, el reporte de resumen de obligaciones sale sin CBU, se relaciona con las modificaciones de los MAN 893 MAN 894</t>
  </si>
  <si>
    <t>Si bien es a todas las provincias, está afectando particularmente a Salta, el reporte de resumen de obligaciones sale sin CBU y se agrega que los importes no están en formato numero.</t>
  </si>
  <si>
    <t>MAN-662 SF15902</t>
  </si>
  <si>
    <t>SLA - GAMMA - Error al generar archivo txt pago banco en la Liquidación</t>
  </si>
  <si>
    <t>Después de la implementación en GAMMA del día 6/4/26, el archivo txt pago banco que se genera durante la liquidación lo hace por el lote completo incluido los pdv que no poseen cbu.</t>
  </si>
  <si>
    <t>MAN-666 SF15955</t>
  </si>
  <si>
    <t>SLA - Gamma - Errores en el proceso de liquidación</t>
  </si>
  <si>
    <t>Cuando a un PDV se le genera un crédito, Lotería transfiere el saldo resultante entre débitos y créditos con el objetivo de que el punto de venta pueda afrontar el pago de premios. Una vez realizada la transferencia de fondos, procedemos a marcar dicha operación como "pagada", permitiendo así que el sistema la cancele correctamente.</t>
  </si>
  <si>
    <t>00008131</t>
  </si>
  <si>
    <t>Gamma-T.L.P-Cambios de intervalos de liquidación de lotes Discount</t>
  </si>
  <si>
    <t>Ante la solicitud de la Lotería para establecer fechas específicas de liquidación de lotes, se requiere manipular manualmente las fechas en la tabla Header de BD-Discount.</t>
  </si>
  <si>
    <t>Lo piden una vez por mes en Salta. La idea es que exista la opción de fecha "inicio" a fecha "hasta".</t>
  </si>
  <si>
    <t>TOD – GAM – Cambios de intervalos de liquidación de lotes Discount - 1.0.docx</t>
  </si>
  <si>
    <t>Jimena + Alejandro</t>
  </si>
  <si>
    <t>MAN-592</t>
  </si>
  <si>
    <t>SLA-ABACO Mostrar cuando la contraseña esta vencida y ofrecer cambiarla.
Caso 6659.</t>
  </si>
  <si>
    <t>SLA-ABACO Al momento de caducar la contraseña no lo indica, solo muestra error " credenciales invalidas". Debería ofrecer cambiarla para evitar confusión e indicar los caracteres aceptados. </t>
  </si>
  <si>
    <t>Sabrina indicó en el correo del 14/11/2025 que este sigue abierto. Que es un REQUERIMIENTO de Alta y el responsable interno es Napoleon</t>
  </si>
  <si>
    <t>Cuando el PDV solo tiene movimientos de CSA en su cuenta corriente para la fecha a liquidar, no se genera un resumen para el PDV,
Ejemplo prod salta:
·Fecha a liquidar 16/01/25
·PDV 451
·Movimientos a liquidar CSA $1200 - IVA CSA $252
Finaliza la liquidación sin resumen para el PDV 451, los movimientos se marcan como liquidados.</t>
  </si>
  <si>
    <t>SLA ABACO MAN-9570 Menú “Premios” el listado Resumen no esta mostrando los premios mayores.
Caso 6647.</t>
  </si>
  <si>
    <t>Desestimado pr sabrina Amarilla en correo del 14/11/2025</t>
  </si>
  <si>
    <t>MAN-386</t>
  </si>
  <si>
    <t>JUY-GAMMA Error en Reporte 103</t>
  </si>
  <si>
    <t>El área de contabilidad está reportando que no puede sacar el informe en Excel y, que en PDF no permite filtrar agencias, solo muestra todas en desorden sin agrupar o que el informe se saca de a una por una las agencias.
Para la labor que realizan es un impedimento operativo. Se corre SCRIPT "Reporte103-Jujuy-Ctes-Gamma.sql"</t>
  </si>
  <si>
    <t>Se ejecuta un script. Se le da formato y se les pasa listados a Corrientes y a Jujuy. Ver listado "Reporte103-Jujuy-Ctes-Gamma.sql"Para desplegar en UAT según Luis R</t>
  </si>
  <si>
    <t>comento que el listado esta ordenado por numero de liquidación, por lo que para reducir la cantidad de PDV en el reporte se recomienda que:
Para la emisión mensual:
se emita el reporte por sucursal, permitiendo con esto reducir la cantidad de PDV listados
Para los reportes emitidos diariamente, no sería necesario ningún filtro ya que el reporte no es extenso.</t>
  </si>
  <si>
    <t>00010425</t>
  </si>
  <si>
    <t>COR-Abaco No se visualizan premios de Quini6, Loto ni Telekino MAN-814</t>
  </si>
  <si>
    <t>Se observa que el nuevo lotemovil en el modulo premios para cualquier fecha no esta figurando los premios de Quini6, Telekino, Loto Plus</t>
  </si>
  <si>
    <t>Se pasó a UAT. Pendiente de Pruebas de testing y luego, si todo ok se pasa a Fabian Figueroa Hay novedades? Fabian Figueroa. 13/11/2025: Probando con FF, LR,GD,CB</t>
  </si>
  <si>
    <t>MAN-00011111</t>
  </si>
  <si>
    <t>Lotemovil- Visualizacion de PDV</t>
  </si>
  <si>
    <t>Lotería solicita eliminar del panel de Agentes los puntos de ventas que NO Se encuentran activos. En pantalla principal se visualizan activos e inactivos.
Se adjunta dos imágenes descriptivas.</t>
  </si>
  <si>
    <t>jm: esto fue implementado en diciembre durante el soporte a ctes. validar con FF / RA</t>
  </si>
  <si>
    <t>Bk process bancario (pagos) - cancela a medias.
Caso 6642.</t>
  </si>
  <si>
    <t>Bk process bancario (pagos) - cancela a medias</t>
  </si>
  <si>
    <t>Funcionó bien según FR en el último Back process</t>
  </si>
  <si>
    <t>Preliquidación los tiempos de respuesta cada vez se incrementan.
Caso 6645.</t>
  </si>
  <si>
    <t>Preliquidación los tiempos de respuesta cada vez se incrementan</t>
  </si>
  <si>
    <t>SLA ABACO MAN-9573 Depósitos y retiros Lotline.
Caso 6653.</t>
  </si>
  <si>
    <t>MAN-418</t>
  </si>
  <si>
    <t>SAL-Gamma Leyenda Mov no homologados(falso positivo). 
Caso 6618,</t>
  </si>
  <si>
    <r>
      <rPr>
        <b/>
        <sz val="11"/>
        <color rgb="FF000000"/>
        <rFont val="Calibri"/>
      </rPr>
      <t xml:space="preserve">Salta - Gamma - Preliquidacion                                                                                                              Muestra un mensaje de error indicando que hay movimientos sin homologar y no es real( no lo hace siempre, aunque ultimamente se esta repitiendo mas)                                                                                                                       Asegurar que cuando da el error sea real               </t>
    </r>
    <r>
      <rPr>
        <sz val="11"/>
        <color rgb="FF000000"/>
        <rFont val="Calibri"/>
      </rPr>
      <t xml:space="preserve">                                           Gamma muestra que hay mov no homologados y al consultar con SAP nos dice que no hay mov no homologados esto dificulta la operación diaria ya que tenemos que consultar permanentemente perdiendo tiempo tanto el nuestro como el de ellos.</t>
    </r>
  </si>
  <si>
    <t>Se requiere un botón de omitir hoy y que esta acción solo ignore el movimiento de la fecha. Omitir para siempre y que esta acción ignore siempre estos movimientos. Requiere que se analice y nos reunamos con Luis Rodriguez. Hoy se hace un update en tabla conversion de la bae de datos ETL. Previamente debe crear el código contable.</t>
  </si>
  <si>
    <t>MAN-429</t>
  </si>
  <si>
    <t>Juy-Abaco Listado de CC dificil de interpretar</t>
  </si>
  <si>
    <t>Jujuy - Abaco - Listado de CC                                                                                  Desde las agencias reclaman que el formato del listado de CC salen en 2 archivos y es dificil de interpretar                                                                   Necesitan que sea igual al que genera Gamma</t>
  </si>
  <si>
    <t>MAN-447</t>
  </si>
  <si>
    <t>JUY-Gamma Luego de preliquidar no aparecen el resto de los codigos. (Caso 6671) / (Caso 1740)</t>
  </si>
  <si>
    <t>Tuvimos problemas para liquidar los juegos poceados (Quini, Brinco y Telekino TJ) en GAMMA.
Luego de preliquidar solo se muestran los cód. 35 de estos juegos, faltando los demás códigos como recaudación, premios, impuestos, etc</t>
  </si>
  <si>
    <t>Pedir a Horacio que se cierre!!! (Fabian Romero)</t>
  </si>
  <si>
    <t>Hay que validar que se desplegó bien el Saaservice. Ultima versión. Horacio.</t>
  </si>
  <si>
    <t>MAN-448</t>
  </si>
  <si>
    <t>JUY-Abaco Falta de datos de PDV Caso 6673</t>
  </si>
  <si>
    <t>Tenemos el reclamo de agencias por falta de datos cuando se visualiza información de premios de algunos PDV en el nuevo Lotemovil Panel.
No se visualizan como concentradora, pero cuando se elige el PDV en cuestión si se ven los datos.
Esto generó desconfianza y optaron por consultar los datos en el viejo lotemovil.</t>
  </si>
  <si>
    <t>MAN-451</t>
  </si>
  <si>
    <t>Juy-Abaco  Juego BetWarrior no se despliega el detalle de movimientos.
Caso 6622.</t>
  </si>
  <si>
    <t>La Ag 156 en la que señala que para el Juego BetWarrior no se despliega el detalle de movimientos que llega al saldo de -$55.200,00. Las agencias no saben que se les esta cobrando, o que deben cobrarles a sus subagentes, ya que no distingue recaudacion de premios,</t>
  </si>
  <si>
    <t>MAN-484</t>
  </si>
  <si>
    <t>JUY-Gamma Reporte de asientos que se exporta en Excel (Caso 6676)</t>
  </si>
  <si>
    <t>Jujuy - Gamma El reporte de asientos que se exporta en Excel, en las columnas con los importes debe o haber, el formato del mismo es de cadena de caracteres combinados con números y símbolos, que impiden ser operados.                                        Dificulta operar auditorías o controles. Lotería solicita cambiarlos a números.</t>
  </si>
  <si>
    <t>Rodrigo validó que funciona en producción.</t>
  </si>
  <si>
    <t>MAN-488</t>
  </si>
  <si>
    <t>Jujuy - Gamma Diferencia de caja.
Caso 6678.</t>
  </si>
  <si>
    <t>Jujuy - Gamma desde tesorería reportan que en caja, el día de ayer a la agencia 187 se le hizo un cobro por un monto contemplando un importe por debajo del redondeo a $100, por lo que al darse cuenta el cajero, solicitó a la tesorera su anulación para volver a cobrarlo.
El día de hoy GAMMA arrastró ese saldo mínimo como crédito para la agencia cuando "no debería haberlo hecho" porque se deshizo el primer cobro.</t>
  </si>
  <si>
    <t>Rodrigo debe validar que funciona en producción.</t>
  </si>
  <si>
    <t>MAN-524</t>
  </si>
  <si>
    <t>JUY-NOA No permite confirmar la carga del premio. Caso 6494.</t>
  </si>
  <si>
    <t>JUY - NOA Lotería reportó que en la carga de premios de los cartones de juegos instantáneos de Las Vegas en NOA, http://10.10.23.151:4003/
el sistema da error cuando se intenta confirmar, dado que en la carga del cupón muestra el monto del premio, pero no se puede confirmar la carga del mismo.</t>
  </si>
  <si>
    <t>MAN-543   Duplicado con MAN-11424</t>
  </si>
  <si>
    <t>JUY-GAMMA Pedido de reporte codigo 32 deudores retenciones de servicios</t>
  </si>
  <si>
    <t>JUY-GAMMA tenemos el pedido de un reporte que GAMMA no provee.
Es el detalle de cobros por código, agencias, fecha de imputación y monto.
Adjunto una planilla de referencia como muestra.</t>
  </si>
  <si>
    <t>MAN-557</t>
  </si>
  <si>
    <t>SAL-ABACO Agregar buzón de comunicación</t>
  </si>
  <si>
    <t>SAL-ABACO La solución debe contemplar un buzón de salida (para enviar información desde Lotería a los PDV) y un buzón de entrada (para recibir información desde los PDV), con funcionalidades de segmentación, gestión documental, trazabilidad y control de accesos por rol. Se adjunta el correo con todos los detalles solicitados.</t>
  </si>
  <si>
    <t>Notificaciones</t>
  </si>
  <si>
    <t>MAN-575                  Duplicado con 11424</t>
  </si>
  <si>
    <t>JUY-GAMMA Reporte de Cobranzas Modo</t>
  </si>
  <si>
    <t>JUY-GAMMA solicitan poder conocer en los reportes los movimientos discriminados por agencia, que por sentido común debería disponer el sistema.</t>
  </si>
  <si>
    <t>MAN-593</t>
  </si>
  <si>
    <t>SLA-ABACO Agregar filtro ranking de PDV a sub agencias.
Caso 6660.</t>
  </si>
  <si>
    <t>SLA-ABACO Para ranking por PDV no hay filtro de sub-agencia</t>
  </si>
  <si>
    <t>MAN-594</t>
  </si>
  <si>
    <t>SLA-ABACO Mostrar premios al ingresar con sub agencia.
Caso 6661.</t>
  </si>
  <si>
    <t>SLA-ABACO Al ingresar como sub agencia ejemplo 134-1 no muestra premios</t>
  </si>
  <si>
    <t>MAN-599</t>
  </si>
  <si>
    <t>SAL-ABACO Reemplazo de nomenclaturas en el Panel.
Caso 6662.</t>
  </si>
  <si>
    <t>SAL-ABACO                                                        1. Comisión
Dentro de las pestañas de cada juego, unificar los campos “comisión” y “comisión adicional” en un único valor.
En el desplegable correspondiente, reflejar el porcentaje total de comisión que aplica para cada PDV.
3. Cuenta Corriente
Reemplazar la leyenda “cancelación de débito” por “pago ingresado fuera de término”.
Reemplazar “cancelación de crédito” por “Saldo a favor anterior”.(entendemos es una transferencia que no se realizo)
En el campo CSA, incluir el porcentaje de IVA aplicado.
En el ítem TISSH inscripto, reflejar el porcentaje correspondiente.
Cambiar la denominación “contribución solidaria” por “aporte a cámara/ Caltosa” y sumar el porcentaje aplicado.
En el caso de retención de ingresos brutos, mostrar el porcentaje retenido.</t>
  </si>
  <si>
    <t>MAN-650  Duplicado con 11379</t>
  </si>
  <si>
    <t>JUY-GAMMA Mejorar el reporte "Estado de cuenta corriente"</t>
  </si>
  <si>
    <t xml:space="preserve">JUY-GAMMA Se solicita que el listado "Estado de cuenta corriente" el cual muestra la información global del asunto, permita tambien exportar la informacion en PDF y Excel. </t>
  </si>
  <si>
    <t>Caso-6850</t>
  </si>
  <si>
    <t>SAL-GAMMA reporte de Agencieros a fecha de cierre de cada mes, que arroje el saldo deudor/acreedor</t>
  </si>
  <si>
    <t>Se precisa contar con un reporte de Agencieros a fecha de cierre de cada mes, que arroje el saldo deudor/acreedor según corresponda, por lo cual, debería contemplar la ultima refinanciación, su estado (si esta cobrado/o pendiente) y los saldos pendientes según cada caso, para llegar de esa manera a conformar el saldo correcto.</t>
  </si>
  <si>
    <t xml:space="preserve">Se hará un ticket vinculado para que no se tenga que mandar reporte todos los meses desde SAC. ¿O SERÄ que re resuelve con el 104??) </t>
  </si>
  <si>
    <t>Caso-6924 vinculado a ...??</t>
  </si>
  <si>
    <t>SAL-ABACO Aplicar deducciones en Control de Caja</t>
  </si>
  <si>
    <t>SAL-ABACO aplicar la deducción de impuestos correspondiente en los juegos de terceros (Telekino, Quini 6, Loto, etc.).</t>
  </si>
  <si>
    <t>Duplicado en ila 78 de este backlog</t>
  </si>
  <si>
    <t>00007754</t>
  </si>
  <si>
    <t>Liquidación de juegos poceados (Quini, Brinco y Telekino)</t>
  </si>
  <si>
    <t>Lotería realiza recaudación de estos hasta el sábado, los sorteos al ser el domingo impiden que GAMMA los pueda procesar, por lo que se requiere la intervención manual en el sistema cada domingo para adecuar el funcionamiento del mismo y poder así liquidar un día lunes. Esto se hace todas las semanas.</t>
  </si>
  <si>
    <t>00009775</t>
  </si>
  <si>
    <t>COR-Proceso Cancelar Preliquidacion.</t>
  </si>
  <si>
    <t>Al cancelar la preliquidacion no vuelve atrás los saldos vencidos.</t>
  </si>
  <si>
    <t xml:space="preserve">Resuelto en QA y listo para desplegar en UAT. Pruebas pendientes de UAT.Debe correrse un script para que la Lotería de Corrientes lo vea solucionado desmarcando impuestos </t>
  </si>
  <si>
    <t>00009745</t>
  </si>
  <si>
    <t>Modificacion Certificado IIBB</t>
  </si>
  <si>
    <t xml:space="preserve">Solicito que los certificados emitidos en GAMMA se corrijan con los datos correspondientes a Lotería Corrientes.
</t>
  </si>
  <si>
    <t>Se está probando en QA y es posible que salga esta semana. Ya lo está viendo desarrollo. Implicaba probar el modulo de impuestos.
HB 04/11 Loteria confirmo que con el despliegue realizado el 31/10 quedo funcionando OK. Se adjunto la confirmacion en la carpeta del ticket.</t>
  </si>
  <si>
    <t>00006643</t>
  </si>
  <si>
    <t>21/8/2025</t>
  </si>
  <si>
    <t>9578 SAL-Abaco Agregar detalle de pdv que deposita</t>
  </si>
  <si>
    <t>00008431</t>
  </si>
  <si>
    <t>NOA/Gamma- LR -NOA -Problemas con la Liquidación Telekino sorteo 2392</t>
  </si>
  <si>
    <t>Se detectó un error en la predistribución de NOA. Si bien la plataforma indicó que el archivo fue aceptado, el proceso no se reflejó en las tablas correspondientes. Para dar continuidad, se procedió a ingresar manualmente todas las entregas del sorteo N.º 2392.</t>
  </si>
  <si>
    <t>00008787</t>
  </si>
  <si>
    <t>24/9/2025</t>
  </si>
  <si>
    <t>Reporte de Agencieros mensual</t>
  </si>
  <si>
    <t>00008938</t>
  </si>
  <si>
    <t>GAMMA-JUJ-Error al dar de alta un PDV</t>
  </si>
  <si>
    <t>Cuando se completan los datos para el alta de una agencia, al momento de grabar los datos el sistema da error. 
Análisis
Se comprobó que el titular que se intenta dar de alta ya existe en la base de datos de Gamma, aunque se encuentra en estado DISCHARGED. Esta situación no debería impedir la creación de un nuevo registro para el mismo titular con estado ACTIVO, considerando que el anterior ya no está vigente.
Se sugiere que, ante la baja de un titular, se almacene la fecha de baja en el campo deleted de la tabla Holder en la base de datos Agencies. Esta medida permitiría resolver los inconvenientes en el proceso de altas de PDV en escenarios de este tipo.
Adicionalmente, se observó que al finalizar el proceso de altas la validación de datos bancarios arroja el siguiente error:
"accountHolder": "el tamaño debe estar entre 1 y 100"
Dicho error resulta inconsistente, ya que se trata de un campo no requerido y el valor informado no supera los 100 caracteres.
Acción requerida
Solicitar al área de Desarrollo la revisión y corrección de ambos puntos, a fin de garantizar la correcta gestión de altas de titulares y evitar validaciones erróneas en datos bancarios.</t>
  </si>
  <si>
    <t xml:space="preserve">00010089
</t>
  </si>
  <si>
    <t>Abaco -  Error en módulo de Medios Digitales</t>
  </si>
  <si>
    <t>Al ingresar en la pestaña “Medios Digitales” y realizar la búsqueda por Agencia Concentradora, el sistema arroja el error que se muestra en la imagen que se adjunta.
Como consecuencia, no se cargan los movimientos de las subagencias en dicha pantalla.
Actualmente, solo es posible visualizar los movimientos individuales accediendo a cada subagencia desde el menú “Selección de Punto de Venta”.
Se solicita revisión y corrección del error para restablecer el funcionamiento habitual del módulo.</t>
  </si>
  <si>
    <t>00010313</t>
  </si>
  <si>
    <t>COR-Lotemovil- Medios digitales</t>
  </si>
  <si>
    <t>Loteria Solicita  que en el modulo Medios Digitales de Lotemovil (nuevo) traiga la información de los cobros por modo. Por ejemplo la agencia 499 para el dia 18/10 en Lotemovil (el viejo) figura los cobros</t>
  </si>
  <si>
    <t>0009916</t>
  </si>
  <si>
    <t>ERROR en Archivo de Pagos generados en GAMMA</t>
  </si>
  <si>
    <t>El archivo de pagos generado por gamma en el proceso diario de preliquidacion tiene un CBU que no corresponde con la entidad Lotería Correntina.
Paso información del CBU correspondiente de Lotería Correntina:
Corrientes - CC - $ - 07099000132192008
CUIT 33999004909
CBU 0940099324001321920084
INSTIT DE LOTERIA Y CAS CTES
Se solicita con urgencia corregirlo porque Interbanking lo rechaza. Se adjunta:
1. Imagen de la diferencia de lo que genera SIGA y lo que genera GAMMA
2. Archivo txt de siga
3. Archivo txt de gamma
4. Error que emite Interbanking</t>
  </si>
  <si>
    <t>Esta parametría no puede editarse desde la BD, aparentemente las mismas se encuentran en properties</t>
  </si>
  <si>
    <t>00010498</t>
  </si>
  <si>
    <t>Módulo Tesorería - Error en Panel de Auditoría</t>
  </si>
  <si>
    <t>En dicho módulo se controla los archivos de cobros incorporados en gamma que cancela los resúmenes. Al intentar acceder a la opción "Panel de Auditoría" arroja un error: Información null.</t>
  </si>
  <si>
    <t>Aun en analisis por parte de FR.  Solución transitoria la ejecuta SAC. Pero la solución definitiva se debe pedir mediante una solicitud a Mantenimiento Gamma.
HB 04/11 Loteria confirmo que con el despliegue realizado el 31/10 quedo funcionando OK. Se adjunto la confirmacion en la carpeta del ticket.</t>
  </si>
  <si>
    <t>0010399</t>
  </si>
  <si>
    <r>
      <rPr>
        <sz val="11"/>
        <color rgb="FF000000"/>
        <rFont val="Calibri"/>
      </rPr>
      <t xml:space="preserve">Modificación de Vencimientos en resúmenes.
</t>
    </r>
    <r>
      <rPr>
        <b/>
        <sz val="11"/>
        <color rgb="FF000000"/>
        <rFont val="Calibri"/>
      </rPr>
      <t>Caso abierto por lo mismo 10196,</t>
    </r>
  </si>
  <si>
    <t>Se solicita que se modifique los vencimientos de los resúmenes que figuran en el archivo adjunto Excel, esto se debe a que el modulo en donde se configura el vencimiento especial GAMMA no esta tomando tal configuración (Caso 10196, abierto hasta el momento). Mientras dicho requerimiento no se resuelva se pedirá nuevamente próximos días nuevas moficiaciones de vencimientos</t>
  </si>
  <si>
    <t>En manos de SAC ver con Horacio. Solo corrección de Datos</t>
  </si>
  <si>
    <t>MAN-487</t>
  </si>
  <si>
    <t>Todas las prov - Gamma revision de microservicios.
Caso 10318.(Juan Manuel lo pasó como ID 589)</t>
  </si>
  <si>
    <t>Se solicita revisión de los microservicios de ecosistema GAMMA (checkingaccount, agencies, gammabff, etc) sobre los recusos utilizados. Por ejemplo, pudimos detectar que checkingaccount todas las noches 00hs, tiene picos en uso de cpu del 200% durante 3minutos, luego de esto el uso de red y lectura/escritura incrementa (nunca vuelven a bajar). Queremos saber si existen otros microservicios en la misma condición.</t>
  </si>
  <si>
    <t xml:space="preserve">Análisis del problema:
Se detecta una caída recurrente de los microservicios, generalmente con frecuencia semanal. Los servicios más afectados son:
GAME, GAMMABFF, CHECKINGACCOUNT
De forma eventual:
USERS, AGENCYS, LOGSERVER
Recientemente:
DISCOUNT
Causa identificada (inmediata): Falta de memoria en los procesos.
Posible solución:
Incrementar la asignación de memoria a los microservicios. Esta medida sería temporal mientras se identifica la causa mediata.
Alternativa planteada:
Eliminar la limitación actual en el consumo de memoria (configurada inicialmente para garantizar estabilidad). Aunque se realizaron aumentos previos, no resultaron definitivos ante las recientes caídas. De considerarse, sería necesario ejecutar un Garbage Collector por microservicio para controlar el consumo de recursos.
Incidencias registradas (Caso en Salesforce 10318). Se implementó el 20/11. Al 25/11 no se reportaron caidas de microservicios.
</t>
  </si>
  <si>
    <t xml:space="preserve">Gustavo Duarte: Se hicieron correcciones en los siguientes microservicios:                                                         - gamma-bff
- game
- discount
- checkingaccount
- agency
- logserver
- user 
Se modificó limite de memoria de los servicios en el archivo docker-compose.yaml. Y se reconfiguró el Dockerfile para que ejecute el jar de otra manera.
 Por favor verifiquen que gamma-uat funciona normalmente.
 Si está todo bien, tienen que subir los cambios al repo correspondiente desde el server para que guarde los cambios en el docker-compose.yaml y Dockerfile de los servicios en cuestión.Yo puedo modificar lo que hice en UAT. Pero despues los que puedan pushear los cambios al repo tiene que ser alguno que sepa.
 </t>
  </si>
  <si>
    <t>MAN-000072</t>
  </si>
  <si>
    <t>Modificación de Vencimientos en resúmenes.
Caso abierto por lo mismo 10196(se esta correigiendo con envios de listados manuales).
Caso SF 10399</t>
  </si>
  <si>
    <t>00010312         MAN-065</t>
  </si>
  <si>
    <t>COR-Lotemovil-Depositos y retiros</t>
  </si>
  <si>
    <t>Se solicita que en Lotemovil (https://panelcorrientes.lotemovil.com.ar/) el modulo Online se despliegue un submenu con la opción “Depositos y Retiros” y que en esta opción se visualice toda la información referente a los depósitos y retiros diarios, tal cual lo trae en el Lotemovil anterior ([https://cnq.lotemovil.com.ar](https://cnq.lotemovil.com.ar/)) se adjunta imagen de ejemplo de la agencia 499 en el cual tiene un deposito para el subagente 12 el monto de $5.000 en el dia 18/10 .</t>
  </si>
  <si>
    <t>CASO 10312 - Lotline - consulta de depósitos y retiros diarios - 1.0.docx</t>
  </si>
  <si>
    <t>15% diseño - 25% soporte - 15% QA - 10%UAT 5% PROD</t>
  </si>
  <si>
    <t>MAN-00011271</t>
  </si>
  <si>
    <t>COR-Gamma- Modificacion listado 103</t>
  </si>
  <si>
    <t>Se solicita incorporar un nuevo tipo de estado dentro de las opciones de filtrado del
Reporte 103, denominado: “Cobrado Fuera de Término”
El objetivo es permitir que el reporte identifique y liste todos los resúmenes cuyo
pago/cobro se produjo después de la fecha de vencimiento, dentro del rango “desde” y
“hasta” seleccionado por el usuario.
Se adjunta pdf con informacion completa del caso.</t>
  </si>
  <si>
    <t>MAN-00012346</t>
  </si>
  <si>
    <t>Panel Agentes- No se visualiza monto en forma correcta</t>
  </si>
  <si>
    <t xml:space="preserve">Lotería solicita corrección en resumen de cuenta para el agenciero, No aparecen números enteros..
Se adjunta imagen descripriva </t>
  </si>
  <si>
    <t>MAN-12346 - GAMMA - Resumen de cuenta agen correc de numeros enter - 1.0.docx</t>
  </si>
  <si>
    <t>MAN-00011426</t>
  </si>
  <si>
    <t>JUJ- Gamma - Listado 103 - Modificacion</t>
  </si>
  <si>
    <t>El Reporte 103, carece de total general al pie del reporte.</t>
  </si>
  <si>
    <t>Reporte 103 – Cambios funcionales y operativos - 1.1.docx</t>
  </si>
  <si>
    <t>Man-0011126</t>
  </si>
  <si>
    <t>COR-Gamma- Modificacion listado 103- Filtro para procesos. Reporte de Cobros</t>
  </si>
  <si>
    <t>Se solicita un reporte en excel a ser enviado por mail a partir de mañana con los siguientes campos:
F. Creacion
F. Emisión
F. Imputación
F. Cobro
PDV (ag)
Resumen
Importe
User
El mismo debe ser emitido una vez que el Area de Tesorería procese el/los archivos bancarios de cobros
El area de sistema avisa a los técnicos de gamma en que momento emitir dicho reporte.
En asunto colocar "Resumen de Cobros procesados dia XXXXXXXX y enviarse a las siguientes cuentas:
tesoreria@loteriacorrentina.gov.ar
celeste.barreiro@loteriacorrentina.gov.ar
andres.escalante@loteriacorrentina.gov.ar
cesar.gimenez@loteriacorrentina.gov.ar</t>
  </si>
  <si>
    <t>9066</t>
  </si>
  <si>
    <t>Listado de Numeros de Resumenes - 103 acumulado por rango de fechas</t>
  </si>
  <si>
    <t xml:space="preserve">Loteria, solicita un listado en Excel a todos los numeros de resumenes de todas las agencias desde el 1/09 al 29/09. Que contenga Fecha de Emision, Resumen, Punto de Venta, Saldo, Concepto (debito/credito), loteria solicita este informe diariamente a las 11hs. </t>
  </si>
  <si>
    <t>Reporte 103 – Cambios funcionales y operativos - 1.0.docx</t>
  </si>
  <si>
    <t>11229</t>
  </si>
  <si>
    <t>COR-GAMMA - Reporte 103 Resumenes Actualizados con fecha de cobro</t>
  </si>
  <si>
    <t>Se solicita un reporte en excel a ser enviado por mail con los siguientes campos:
PDV (ag)
Resumen
Fecha emision
Vencimiento
Pago
Importe (saldo)
partida
El area de sistema avisa a los técnicos de gamma en que momento emitir dicho reporte. ya que el mismo debe ser emitido una vez que el Area de Tesorería procese el/los archivos bancarios de cobros
Enviarse a las siguientes cuentas, asunto del mail Reporte 103 - Actualizado:
tesoreria@loteriacorrentina.gov.ar
celeste.barreiro@loteriacorrentina.gov.ar
andres.escalante@loteriacorrentina.gov.ar
cesar.gimenez@loteriacorrentina.gov.ar</t>
  </si>
  <si>
    <t>MAN-13069</t>
  </si>
  <si>
    <t>JUJ-Gamma No esta el filtro por cajero en reporte 103</t>
  </si>
  <si>
    <t>Luego del despliegue de Gamma para Corrientes del 29/12 desaparecio la opcion de filtrar por cajero en el reporte 103</t>
  </si>
  <si>
    <t>Lo verá José candia con el cliente Jujuy. Podría ser desestimado si les conforma otra solución.</t>
  </si>
  <si>
    <t>HAbria que armar un nuevo listado para arqueo de caja</t>
  </si>
  <si>
    <t>MAN-00013192</t>
  </si>
  <si>
    <t>Cor- Gamma - Preliquidación - Servicios caidos, no volvio atras la preliquidacion (Caso original 13181-Cerrado)</t>
  </si>
  <si>
    <t>Hoy estaban realizando la pre liquidación del día sábado cuan do visualizo que estaban caídos dos servicios del panel de gama. ( LOGSERVER y GAMMA BFF).
se reinician los servicios y continúan con la preliquidacion. Pero gamma no vuelve atrás y duplica las recaudaciones de LOTO PLUS , LOTO 5 y QUINIELA.</t>
  </si>
  <si>
    <t>MAN-00011876</t>
  </si>
  <si>
    <t>Caso 00011876 COR- Panel Agentes</t>
  </si>
  <si>
    <t>Lotería Solicita ampliar los tiempos de renovación de usuario y contraseña en el panel de agentes, , o bien que aparezca la leyenda Olvide Mi Contraseña. Para poder restáuralas</t>
  </si>
  <si>
    <t>MAN-00011427</t>
  </si>
  <si>
    <t>Juj-Gamma - Listado 104</t>
  </si>
  <si>
    <t>Reporte 104 no permite seleccionar agencias por tramos. Ej: (01–214) ni seleccionar todas para desmarcar algunas y además limita a 10 agencias simultáneas la selección particular.</t>
  </si>
  <si>
    <t>Requiere reingeniería</t>
  </si>
  <si>
    <t>SLA GAMMA MAN-9561 Comisiones Betwarrior.
Caso 6638.</t>
  </si>
  <si>
    <t>Calculaba comisión pero no calculaba el impuesto. Debe probarlos FFigueroa con Ralbitre.</t>
  </si>
  <si>
    <t>En proceso de prueba UAT. SAC tendrá que cargar las reglas en prod. Probará Fabián Figueroa. Cuando carguen la configuración comenzaría a Calcular. Esto debe ser hecho antes del 30/11/2025. Compromiso de probarlo antes del 12/11/2025. JM no lo está siguiendo. No esté en el proyecto. En el correo del 14/11/2025 Sabrina lo puso como pendiente de Prioridad media y el responsable interno es Franco.</t>
  </si>
  <si>
    <t>MAN-682 SF16038</t>
  </si>
  <si>
    <t xml:space="preserve">Fecha de vencimiento en resumen de GAMMA Corrientes
</t>
  </si>
  <si>
    <t>Se detecto que el nuevo campo agrado en el resumen que refleja la fecha de vencimiento del resumen no toma la fecha de vencimiento del resumen sino que toma la fecha de vencimiento del evento del calendario, provoca que los resúmenes con vencimientos especiales cuya fecha difiere de la indicada en el evento, haga que se visualice mal las fechas en el nuevo campo incorporado.</t>
  </si>
  <si>
    <t>MAN-694 16050</t>
  </si>
  <si>
    <t>Gamma - Error Cobro CSA domingos</t>
  </si>
  <si>
    <t xml:space="preserve">Se encontró un nuevo error en GAMMA donde se esta cobrando CSA a los pdv el domingo a pesar que en la configuración general establece otra cosa que es exceptuar los feriados y domingos. Se adjunta imagen configuración.
</t>
  </si>
  <si>
    <t>MAN-719 16366</t>
  </si>
  <si>
    <t>Gamma- DyB</t>
  </si>
  <si>
    <t>En SIGA hoy en día cargan un archivo de D&amp;B que contiene diferentes códigos de descuentos, en Gamma se deben generar un archivo por código a realizar descuento</t>
  </si>
  <si>
    <t>Verdad: 12</t>
  </si>
  <si>
    <t>MAN-722 16367</t>
  </si>
  <si>
    <t>verdad: 12</t>
  </si>
  <si>
    <t>MAN-00012646</t>
  </si>
  <si>
    <t>Corr - Gamma Cobros en tesorería resúmenes pendientes</t>
  </si>
  <si>
    <r>
      <rPr>
        <sz val="11"/>
        <color rgb="FF000000"/>
        <rFont val="Calibri"/>
      </rPr>
      <t xml:space="preserve">Error en registración de cobros por tesorería para resúmenes pendientes,, registra el saldo con fecha de proceso y la cancelación de debito con fecha de vencimiento del resumen.
Los cobros por archivo bancario para resúmenes PENDIENTES, registran saldos con fecha de PROCESO, y la cancelación con fecha del VENCIMIENTO.
Solución: el saldo debe registrarse con fecha de PROCESO.
solución saldo y cancelación con fecha de proceso
</t>
    </r>
    <r>
      <rPr>
        <b/>
        <sz val="11"/>
        <color rgb="FF000000"/>
        <rFont val="Calibri"/>
      </rPr>
      <t>Aclaracion de Luis</t>
    </r>
    <r>
      <rPr>
        <sz val="11"/>
        <color rgb="FF000000"/>
        <rFont val="Calibri"/>
      </rPr>
      <t>: error en registración de cobros por tesoreria para resumenes pendientes,, registra el saldo con fecha de proceso y la cancelacion de debito con fecha de vencimiento del resumen
solucion saldo y cancelacion con fecha de proceso</t>
    </r>
  </si>
  <si>
    <t>verificar si está desplegado bajo sf 12146 el 29-12. HB 12/02 esta mal el #caso           Ver si esta en los casos de febrero</t>
  </si>
  <si>
    <t>MAN-550 15069</t>
  </si>
  <si>
    <t>TDF GAMMA Modificacion de archivos contables</t>
  </si>
  <si>
    <t>Los archivos que genera el GAMMA en el modulo contabilidad no les sirve al uso que tienen en TDF. Lo que necesitan es que los archivos del gamma sean como los tenian anteriormente el SIGA. Adjunto los archivos</t>
  </si>
  <si>
    <t>16914</t>
  </si>
  <si>
    <t xml:space="preserve">Acceso al NOA por VPN
</t>
  </si>
  <si>
    <t>Estimados buenas tardes por favor le pordran dar acceso a Diego Ruggero y a Marcelo Miranda al Sistema NOA ellos son lo operadores que trabajan con los juegos instantaneos de la Loteria de Tierra del Fuego. Los mail son:
dcruggero@ipra.gov.ar Diego
ammiranda@ipra.gov.ar Marcelo</t>
  </si>
  <si>
    <t>Esto es de INFRA</t>
  </si>
  <si>
    <t>ñ+</t>
  </si>
  <si>
    <t> </t>
  </si>
  <si>
    <t>Casos de Mantenimiento de Gamma</t>
  </si>
  <si>
    <t>Correctivos totales</t>
  </si>
  <si>
    <t>Correctivos cerrados</t>
  </si>
  <si>
    <t>Correctivos abiertos</t>
  </si>
  <si>
    <t>Correctivos por hacer</t>
  </si>
  <si>
    <t>Errores En curso</t>
  </si>
  <si>
    <t>Evolutivos totales</t>
  </si>
  <si>
    <t>Evolutivos cerrados</t>
  </si>
  <si>
    <t>Evolutivos abiertos</t>
  </si>
  <si>
    <t>Evolutivos por hacer</t>
  </si>
  <si>
    <t>Requerimientos En curso</t>
  </si>
  <si>
    <t>Preventivos totales</t>
  </si>
  <si>
    <t>Preventivos cerrados</t>
  </si>
  <si>
    <t>Preventivos abiertos</t>
  </si>
  <si>
    <t>Preventivos por hacer</t>
  </si>
  <si>
    <t>Mantenimiento En curso</t>
  </si>
  <si>
    <t>Consultas }totales</t>
  </si>
  <si>
    <t>Consultas cerradas</t>
  </si>
  <si>
    <t>Consultas abiertos</t>
  </si>
  <si>
    <t>Consultas por hacer</t>
  </si>
  <si>
    <t>Casos totales</t>
  </si>
  <si>
    <t>Casos cerrados totales</t>
  </si>
  <si>
    <t>Casos abiertos totales</t>
  </si>
  <si>
    <t>Totales Por hacer</t>
  </si>
  <si>
    <t>Totales En curso</t>
  </si>
  <si>
    <t>Estado de situación de los casos de Mantenimiento de Gamma por hacer</t>
  </si>
  <si>
    <t>Correctivos a Estimar</t>
  </si>
  <si>
    <t>Correctivos a priorizar</t>
  </si>
  <si>
    <t>Correctivos a planificar</t>
  </si>
  <si>
    <t>Correctivos planificados</t>
  </si>
  <si>
    <t>Evolutivos a Estimar</t>
  </si>
  <si>
    <t>Evolutivos a priorizar</t>
  </si>
  <si>
    <t>Evolutivos a planificar</t>
  </si>
  <si>
    <t>Evolutivos planificados</t>
  </si>
  <si>
    <t>Preventivos s Estimar</t>
  </si>
  <si>
    <t>Preventivos a priorizar</t>
  </si>
  <si>
    <t>Preventivos a planificar</t>
  </si>
  <si>
    <t>Preventivos planificados</t>
  </si>
  <si>
    <t>Consultas a Estimar</t>
  </si>
  <si>
    <t>Consultas a priorizar</t>
  </si>
  <si>
    <t>Consultas a planificar</t>
  </si>
  <si>
    <t>Consultas planificados</t>
  </si>
  <si>
    <t>Totales a Estimar</t>
  </si>
  <si>
    <t>Totales a priorizar</t>
  </si>
  <si>
    <t>Totales a planificar</t>
  </si>
  <si>
    <t>Totales planificados</t>
  </si>
  <si>
    <t>Estado de situación de los casos de Mantenimiento de Gamma en Curso</t>
  </si>
  <si>
    <t>Errores en análisis Técnico</t>
  </si>
  <si>
    <t>Errores en análisis func.</t>
  </si>
  <si>
    <t>Errores en desarrollo</t>
  </si>
  <si>
    <t>Errores en Testing</t>
  </si>
  <si>
    <t>Req. en análisis Técnico</t>
  </si>
  <si>
    <t>Req. en análisis func.</t>
  </si>
  <si>
    <t>Req. en desarrollo</t>
  </si>
  <si>
    <t>Req.  en Testing</t>
  </si>
  <si>
    <t>Req. script en análisis Téc.</t>
  </si>
  <si>
    <t>Req. script en análisis func.</t>
  </si>
  <si>
    <t>Req. script en desarrollo</t>
  </si>
  <si>
    <t>Req. script en Testing</t>
  </si>
  <si>
    <t>Man en análisis Técnico</t>
  </si>
  <si>
    <t>Man en análisis func.</t>
  </si>
  <si>
    <t>Man en desarrollo</t>
  </si>
  <si>
    <t>Man en Testing</t>
  </si>
  <si>
    <t>DevOps en análisis Técnico</t>
  </si>
  <si>
    <t>DevOps en análisis func.</t>
  </si>
  <si>
    <t>DevOps en desarrollo</t>
  </si>
  <si>
    <t>DevOps Testing</t>
  </si>
  <si>
    <t xml:space="preserve">Totales en análisis Técnico </t>
  </si>
  <si>
    <t xml:space="preserve">Totales en análisis func. </t>
  </si>
  <si>
    <t xml:space="preserve">Totales en desarrollo </t>
  </si>
  <si>
    <t>Totales en Testing</t>
  </si>
  <si>
    <t>Errores a validar</t>
  </si>
  <si>
    <t>Errores en UAT</t>
  </si>
  <si>
    <t>Errores P/ Implementar</t>
  </si>
  <si>
    <t>Errores implementados</t>
  </si>
  <si>
    <t>Req. a validar</t>
  </si>
  <si>
    <t>Req. en UAT</t>
  </si>
  <si>
    <t>Req. P/ Implementar</t>
  </si>
  <si>
    <t>Req. implementados</t>
  </si>
  <si>
    <t>Req. script a validar</t>
  </si>
  <si>
    <t>Req. script UAT</t>
  </si>
  <si>
    <t>Req. script p/Implem</t>
  </si>
  <si>
    <t>Req. script implementados</t>
  </si>
  <si>
    <t>Man a validar</t>
  </si>
  <si>
    <t>Man. en UAT</t>
  </si>
  <si>
    <t>Man P/ Implementar</t>
  </si>
  <si>
    <t>Man implementados</t>
  </si>
  <si>
    <t>DevOps a validar</t>
  </si>
  <si>
    <t>DevOps en UAT</t>
  </si>
  <si>
    <t>DevOps P/ Implementar</t>
  </si>
  <si>
    <t>DevOps implementados</t>
  </si>
  <si>
    <t>Totales a validar</t>
  </si>
  <si>
    <t>Totales en UAT</t>
  </si>
  <si>
    <t>Totales P/ Implementar</t>
  </si>
  <si>
    <t>Totales implementados</t>
  </si>
  <si>
    <t>Cantidad de casos abiertos</t>
  </si>
  <si>
    <t>Estimación de horas</t>
  </si>
  <si>
    <t>Capacity mensual</t>
  </si>
  <si>
    <t>Tiempos estimados en meses</t>
  </si>
  <si>
    <t>Casos correctivos</t>
  </si>
  <si>
    <t>Horas correctivos</t>
  </si>
  <si>
    <t>Casos evolutivos</t>
  </si>
  <si>
    <t>Horas evolutivos</t>
  </si>
  <si>
    <t>Casos preventivos</t>
  </si>
  <si>
    <t>Horas preventivos</t>
  </si>
  <si>
    <t>Otro</t>
  </si>
  <si>
    <t>Casos Consultas</t>
  </si>
  <si>
    <t>Horas Consultas</t>
  </si>
  <si>
    <t>Horas abiertos totales</t>
  </si>
  <si>
    <t>Indicadores de Mantenimiento Gamma</t>
  </si>
  <si>
    <t>Casos cerrados</t>
  </si>
  <si>
    <t>Casos abiertos</t>
  </si>
  <si>
    <t>En plazo</t>
  </si>
  <si>
    <t>Fuera de plazo</t>
  </si>
  <si>
    <t>% Cumplimiento SLA</t>
  </si>
  <si>
    <t>SLA_dias</t>
  </si>
  <si>
    <t>Agrupación</t>
  </si>
  <si>
    <t>Responsables</t>
  </si>
  <si>
    <t>Áreas</t>
  </si>
  <si>
    <t>Componentes</t>
  </si>
  <si>
    <t>Parametro</t>
  </si>
  <si>
    <t>valor</t>
  </si>
  <si>
    <t>Critica</t>
  </si>
  <si>
    <t>Rodrigo Albitre</t>
  </si>
  <si>
    <t>Fecha_corte_inicio</t>
  </si>
  <si>
    <t>Muy Alta</t>
  </si>
  <si>
    <t>Requerimiento</t>
  </si>
  <si>
    <t>Funcional</t>
  </si>
  <si>
    <t>Lotemovil Panel</t>
  </si>
  <si>
    <t>Fecha_corte_fin</t>
  </si>
  <si>
    <t>Técnico</t>
  </si>
  <si>
    <t>Ricardo Tejerina</t>
  </si>
  <si>
    <t>DevOps</t>
  </si>
  <si>
    <t>Kafka</t>
  </si>
  <si>
    <t>Keycloak</t>
  </si>
  <si>
    <t>Gestión</t>
  </si>
  <si>
    <t>Eureka</t>
  </si>
  <si>
    <t>En Testing</t>
  </si>
  <si>
    <t>Implementado</t>
  </si>
  <si>
    <t>Domingo</t>
  </si>
  <si>
    <t>Lunes</t>
  </si>
  <si>
    <t>Martes</t>
  </si>
  <si>
    <t>Miércoles</t>
  </si>
  <si>
    <t>Jueves</t>
  </si>
  <si>
    <t>Viernes</t>
  </si>
  <si>
    <t>Sábado</t>
  </si>
  <si>
    <t>Incremento</t>
  </si>
  <si>
    <t>Fecha Mandatoria</t>
  </si>
  <si>
    <t>Fecha desde</t>
  </si>
  <si>
    <t>Desarrollador</t>
  </si>
  <si>
    <t>Coordinador</t>
  </si>
  <si>
    <t>Orden de Magnitud</t>
  </si>
  <si>
    <t>Estimacion</t>
  </si>
  <si>
    <t>Análisis y Diseño Técnico</t>
  </si>
  <si>
    <t>Desarrollo y Prueba Unitaria</t>
  </si>
  <si>
    <t>Testing Integral</t>
  </si>
  <si>
    <t>Instalacion</t>
  </si>
  <si>
    <t>Seguimiento</t>
  </si>
  <si>
    <t>Fecha para instalar</t>
  </si>
  <si>
    <t>Skill Transfer</t>
  </si>
  <si>
    <t>Tipo de caso</t>
  </si>
  <si>
    <t>Evaluación de criticidad real</t>
  </si>
  <si>
    <t>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</si>
</sst>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m\-yy;@"/>
  </numFmts>
  <fonts count="48">
    <font>
      <sz val="11"/>
      <color rgb="FF000000"/>
      <name val="Calibri"/>
      <family val="2"/>
      <charset val="1"/>
    </font>
    <font>
      <u/>
      <sz val="11"/>
      <color rgb="FF0563C1"/>
      <name val="Calibri"/>
      <family val="2"/>
      <charset val="1"/>
    </font>
    <font>
      <sz val="9"/>
      <color rgb="FF000000"/>
      <name val="Arial Narrow"/>
      <family val="2"/>
      <charset val="1"/>
    </font>
    <font>
      <sz val="9"/>
      <name val="Arial Narrow"/>
      <family val="2"/>
      <charset val="1"/>
    </font>
    <font>
      <sz val="11"/>
      <color rgb="FF000000"/>
      <name val="Calibri"/>
      <charset val="1"/>
    </font>
    <font>
      <b/>
      <sz val="11"/>
      <color rgb="FFFFFFFF"/>
      <name val="Calibri"/>
      <family val="2"/>
      <charset val="1"/>
    </font>
    <font>
      <b/>
      <sz val="11"/>
      <color rgb="FF000000"/>
      <name val="Calibri"/>
      <family val="2"/>
      <charset val="1"/>
    </font>
    <font>
      <sz val="11"/>
      <name val="Calibri"/>
      <family val="2"/>
      <charset val="1"/>
    </font>
    <font>
      <sz val="11"/>
      <color rgb="FFFF0000"/>
      <name val="Calibri"/>
      <family val="2"/>
      <charset val="1"/>
    </font>
    <font>
      <b/>
      <sz val="11"/>
      <color rgb="FF000000"/>
      <name val="Calibri"/>
      <charset val="1"/>
    </font>
    <font>
      <b/>
      <sz val="11"/>
      <color rgb="FFFFFFFF"/>
      <name val="Calibri"/>
      <charset val="1"/>
    </font>
    <font>
      <u/>
      <sz val="11"/>
      <color rgb="FF000000"/>
      <name val="Calibri"/>
      <family val="2"/>
      <charset val="1"/>
    </font>
    <font>
      <sz val="10"/>
      <name val="Arial"/>
      <charset val="1"/>
    </font>
    <font>
      <sz val="15"/>
      <color rgb="FF244062"/>
      <name val="Arial"/>
      <charset val="1"/>
    </font>
    <font>
      <sz val="10"/>
      <color rgb="FF244062"/>
      <name val="Arial"/>
      <charset val="1"/>
    </font>
    <font>
      <sz val="11"/>
      <color rgb="FF244062"/>
      <name val="Arial"/>
      <charset val="1"/>
    </font>
    <font>
      <b/>
      <sz val="14"/>
      <color rgb="FFFFFFFF"/>
      <name val="Arial"/>
      <charset val="1"/>
    </font>
    <font>
      <b/>
      <sz val="28"/>
      <color rgb="FFFFFFFF"/>
      <name val="Arial"/>
      <charset val="1"/>
    </font>
    <font>
      <b/>
      <sz val="12"/>
      <color rgb="FFFFFFFF"/>
      <name val="Arial"/>
      <charset val="1"/>
    </font>
    <font>
      <sz val="9"/>
      <color rgb="FF000000"/>
      <name val="Arial Narrow"/>
      <charset val="1"/>
    </font>
    <font>
      <b/>
      <sz val="11"/>
      <color rgb="FF000000"/>
      <name val="Arial"/>
      <charset val="1"/>
    </font>
    <font>
      <sz val="8"/>
      <color rgb="FF000000"/>
      <name val="Arial Narrow"/>
      <charset val="1"/>
    </font>
    <font>
      <sz val="8"/>
      <name val="Arial Narrow"/>
      <charset val="1"/>
    </font>
    <font>
      <sz val="11"/>
      <color rgb="FF000000"/>
      <name val="Aptos Narrow"/>
      <charset val="1"/>
    </font>
    <font>
      <u/>
      <sz val="11"/>
      <color theme="10"/>
      <name val="Calibri"/>
      <family val="2"/>
      <charset val="1"/>
    </font>
    <font>
      <sz val="11"/>
      <color rgb="FF000000"/>
      <name val="Calibri"/>
      <family val="2"/>
    </font>
    <font>
      <u/>
      <sz val="11"/>
      <color rgb="FF000000"/>
      <name val="Aptos Narrow"/>
      <family val="2"/>
      <scheme val="minor"/>
    </font>
    <font>
      <u/>
      <sz val="11"/>
      <color theme="1"/>
      <name val="Calibri"/>
      <family val="2"/>
    </font>
    <font>
      <b/>
      <sz val="11"/>
      <color rgb="FF000000"/>
      <name val="Calibri"/>
    </font>
    <font>
      <sz val="11"/>
      <color rgb="FF000000"/>
      <name val="Calibri"/>
    </font>
    <font>
      <sz val="11"/>
      <color rgb="FF000000"/>
      <name val="Calibri"/>
      <family val="2"/>
      <scheme val="minor"/>
    </font>
    <font>
      <u/>
      <sz val="11"/>
      <color rgb="FF0563C1"/>
      <name val="Calibri"/>
      <family val="2"/>
    </font>
    <font>
      <u/>
      <sz val="11"/>
      <color rgb="FF000000"/>
      <name val="Calibri"/>
      <family val="2"/>
    </font>
    <font>
      <b/>
      <sz val="12"/>
      <color rgb="FF000000"/>
      <name val="Calibri"/>
      <family val="2"/>
      <charset val="1"/>
    </font>
    <font>
      <sz val="11"/>
      <color theme="1"/>
      <name val="Calibri"/>
      <family val="2"/>
      <charset val="1"/>
    </font>
    <font>
      <b/>
      <sz val="14"/>
      <color rgb="FF000000"/>
      <name val="Calibri"/>
      <family val="2"/>
      <charset val="1"/>
    </font>
    <font>
      <b/>
      <sz val="14"/>
      <name val="Calibri"/>
      <family val="2"/>
      <charset val="1"/>
    </font>
    <font>
      <sz val="11"/>
      <color theme="1"/>
      <name val="Calibri"/>
      <family val="2"/>
    </font>
    <font>
      <b/>
      <sz val="11"/>
      <color theme="1"/>
      <name val="Calibri"/>
      <family val="2"/>
    </font>
    <font>
      <sz val="11"/>
      <color rgb="FF000000"/>
      <name val="Calibri"/>
      <scheme val="minor"/>
    </font>
    <font>
      <b/>
      <sz val="11"/>
      <color rgb="FF7030A0"/>
      <name val="Calibri"/>
      <family val="2"/>
    </font>
    <font>
      <b/>
      <sz val="11"/>
      <color rgb="FF7030A0"/>
      <name val="Calibri"/>
      <family val="2"/>
      <charset val="1"/>
    </font>
    <font>
      <sz val="11"/>
      <color rgb="FF7030A0"/>
      <name val="Calibri"/>
      <family val="2"/>
      <charset val="1"/>
    </font>
    <font>
      <sz val="10"/>
      <color rgb="FF181818"/>
      <name val="System-Ui"/>
      <charset val="1"/>
    </font>
    <font>
      <sz val="10"/>
      <color rgb="FF181818"/>
      <name val="System-Ui"/>
    </font>
    <font>
      <b/>
      <sz val="10"/>
      <color rgb="FF03234D"/>
      <name val="System-Ui"/>
      <charset val="1"/>
    </font>
    <font>
      <sz val="11"/>
      <color theme="1"/>
      <name val="Calibri"/>
      <charset val="1"/>
    </font>
    <font>
      <sz val="12"/>
      <color theme="1"/>
      <name val="Times New Roman"/>
      <family val="1"/>
    </font>
  </fonts>
  <fills count="45">
    <fill>
      <patternFill patternType="none"/>
    </fill>
    <fill>
      <patternFill patternType="gray125"/>
    </fill>
    <fill>
      <patternFill patternType="solid">
        <fgColor rgb="FFD9D9D9"/>
        <bgColor rgb="FFDBDBDB"/>
      </patternFill>
    </fill>
    <fill>
      <patternFill patternType="solid">
        <fgColor rgb="FF5B9BD5"/>
        <bgColor rgb="FF8FAADC"/>
      </patternFill>
    </fill>
    <fill>
      <patternFill patternType="solid">
        <fgColor rgb="FFDEEBF7"/>
        <bgColor rgb="FFDAE3F3"/>
      </patternFill>
    </fill>
    <fill>
      <patternFill patternType="solid">
        <fgColor rgb="FF8FAADC"/>
        <bgColor rgb="FF9DC3E6"/>
      </patternFill>
    </fill>
    <fill>
      <patternFill patternType="solid">
        <fgColor rgb="FFA9D18E"/>
        <bgColor rgb="FF9DC3E6"/>
      </patternFill>
    </fill>
    <fill>
      <patternFill patternType="solid">
        <fgColor rgb="FFF4B183"/>
        <bgColor rgb="FFF1C6F5"/>
      </patternFill>
    </fill>
    <fill>
      <patternFill patternType="solid">
        <fgColor rgb="FFFFFFFF"/>
        <bgColor rgb="FFF2F2F2"/>
      </patternFill>
    </fill>
    <fill>
      <patternFill patternType="solid">
        <fgColor rgb="FFFFFF00"/>
        <bgColor rgb="FFFFC000"/>
      </patternFill>
    </fill>
    <fill>
      <patternFill patternType="solid">
        <fgColor rgb="FFBDD7EE"/>
        <bgColor rgb="FFD9D9D9"/>
      </patternFill>
    </fill>
    <fill>
      <patternFill patternType="solid">
        <fgColor rgb="FF9DC3E6"/>
        <bgColor rgb="FF8FAADC"/>
      </patternFill>
    </fill>
    <fill>
      <patternFill patternType="solid">
        <fgColor rgb="FFFFC000"/>
        <bgColor rgb="FFFF9900"/>
      </patternFill>
    </fill>
    <fill>
      <patternFill patternType="solid">
        <fgColor rgb="FFF2F2F2"/>
        <bgColor rgb="FFE2F0D9"/>
      </patternFill>
    </fill>
    <fill>
      <patternFill patternType="solid">
        <fgColor theme="0"/>
        <bgColor indexed="64"/>
      </patternFill>
    </fill>
    <fill>
      <patternFill patternType="solid">
        <fgColor theme="7" tint="0.59999389629810485"/>
        <bgColor indexed="64"/>
      </patternFill>
    </fill>
    <fill>
      <patternFill patternType="solid">
        <fgColor theme="5"/>
        <bgColor indexed="64"/>
      </patternFill>
    </fill>
    <fill>
      <patternFill patternType="solid">
        <fgColor rgb="FFFF0000"/>
        <bgColor indexed="64"/>
      </patternFill>
    </fill>
    <fill>
      <patternFill patternType="solid">
        <fgColor rgb="FF7030A0"/>
        <bgColor indexed="64"/>
      </patternFill>
    </fill>
    <fill>
      <patternFill patternType="solid">
        <fgColor theme="6"/>
        <bgColor indexed="64"/>
      </patternFill>
    </fill>
    <fill>
      <patternFill patternType="solid">
        <fgColor theme="8" tint="0.39997558519241921"/>
        <bgColor indexed="64"/>
      </patternFill>
    </fill>
    <fill>
      <patternFill patternType="solid">
        <fgColor theme="7"/>
        <bgColor indexed="64"/>
      </patternFill>
    </fill>
    <fill>
      <patternFill patternType="solid">
        <fgColor theme="9"/>
        <bgColor indexed="64"/>
      </patternFill>
    </fill>
    <fill>
      <patternFill patternType="solid">
        <fgColor theme="1"/>
        <bgColor indexed="64"/>
      </patternFill>
    </fill>
    <fill>
      <patternFill patternType="solid">
        <fgColor rgb="FFDE9999"/>
        <bgColor indexed="64"/>
      </patternFill>
    </fill>
    <fill>
      <patternFill patternType="solid">
        <fgColor rgb="FFFA667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00B050"/>
        <bgColor indexed="64"/>
      </patternFill>
    </fill>
    <fill>
      <patternFill patternType="solid">
        <fgColor theme="8"/>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rgb="FFFF6666"/>
        <bgColor indexed="64"/>
      </patternFill>
    </fill>
    <fill>
      <patternFill patternType="solid">
        <fgColor rgb="FF92D050"/>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medium">
        <color rgb="FF000080"/>
      </left>
      <right/>
      <top style="medium">
        <color rgb="FF000080"/>
      </top>
      <bottom/>
      <diagonal/>
    </border>
    <border>
      <left/>
      <right/>
      <top style="medium">
        <color rgb="FF000080"/>
      </top>
      <bottom/>
      <diagonal/>
    </border>
    <border>
      <left/>
      <right/>
      <top style="medium">
        <color rgb="FF000080"/>
      </top>
      <bottom style="thin">
        <color rgb="FFFFFFFF"/>
      </bottom>
      <diagonal/>
    </border>
    <border>
      <left/>
      <right style="medium">
        <color auto="1"/>
      </right>
      <top style="medium">
        <color rgb="FF000080"/>
      </top>
      <bottom/>
      <diagonal/>
    </border>
    <border>
      <left style="medium">
        <color rgb="FF00008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rgb="FF000080"/>
      </left>
      <right/>
      <top/>
      <bottom/>
      <diagonal/>
    </border>
    <border>
      <left style="thin">
        <color rgb="FF000080"/>
      </left>
      <right/>
      <top/>
      <bottom/>
      <diagonal/>
    </border>
    <border>
      <left style="thin">
        <color auto="1"/>
      </left>
      <right/>
      <top/>
      <bottom style="thin">
        <color auto="1"/>
      </bottom>
      <diagonal/>
    </border>
    <border>
      <left/>
      <right style="medium">
        <color auto="1"/>
      </right>
      <top/>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8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80"/>
      </left>
      <right style="medium">
        <color rgb="FF000000"/>
      </right>
      <top/>
      <bottom/>
      <diagonal/>
    </border>
    <border>
      <left style="medium">
        <color rgb="FF000000"/>
      </left>
      <right/>
      <top/>
      <bottom style="medium">
        <color rgb="FF000000"/>
      </bottom>
      <diagonal/>
    </border>
    <border>
      <left style="thin">
        <color rgb="FF000080"/>
      </left>
      <right style="medium">
        <color rgb="FF000000"/>
      </right>
      <top/>
      <bottom style="medium">
        <color rgb="FF000000"/>
      </bottom>
      <diagonal/>
    </border>
    <border>
      <left/>
      <right style="medium">
        <color rgb="FF000000"/>
      </right>
      <top/>
      <bottom/>
      <diagonal/>
    </border>
    <border>
      <left style="thin">
        <color auto="1"/>
      </left>
      <right style="medium">
        <color rgb="FF000000"/>
      </right>
      <top/>
      <bottom/>
      <diagonal/>
    </border>
    <border>
      <left style="thin">
        <color auto="1"/>
      </left>
      <right style="medium">
        <color rgb="FF000000"/>
      </right>
      <top/>
      <bottom style="medium">
        <color rgb="FF000000"/>
      </bottom>
      <diagonal/>
    </border>
    <border>
      <left/>
      <right/>
      <top style="medium">
        <color rgb="FF000000"/>
      </top>
      <bottom/>
      <diagonal/>
    </border>
    <border>
      <left/>
      <right style="medium">
        <color auto="1"/>
      </right>
      <top/>
      <bottom style="medium">
        <color rgb="FF000000"/>
      </bottom>
      <diagonal/>
    </border>
    <border>
      <left style="medium">
        <color rgb="FF000000"/>
      </left>
      <right style="thin">
        <color rgb="FF000080"/>
      </right>
      <top/>
      <bottom/>
      <diagonal/>
    </border>
    <border>
      <left/>
      <right style="thin">
        <color auto="1"/>
      </right>
      <top/>
      <bottom/>
      <diagonal/>
    </border>
    <border>
      <left/>
      <right style="thin">
        <color auto="1"/>
      </right>
      <top/>
      <bottom style="medium">
        <color rgb="FF000000"/>
      </bottom>
      <diagonal/>
    </border>
    <border>
      <left style="medium">
        <color rgb="FF000000"/>
      </left>
      <right style="thin">
        <color rgb="FF000080"/>
      </right>
      <top/>
      <bottom style="medium">
        <color rgb="FF000000"/>
      </bottom>
      <diagonal/>
    </border>
    <border>
      <left style="medium">
        <color rgb="FF000080"/>
      </left>
      <right/>
      <top/>
      <bottom style="medium">
        <color rgb="FF000000"/>
      </bottom>
      <diagonal/>
    </border>
    <border>
      <left style="thin">
        <color rgb="FF00008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6">
    <xf numFmtId="0" fontId="0" fillId="0" borderId="0">
      <alignment vertical="center"/>
    </xf>
    <xf numFmtId="0" fontId="1" fillId="0" borderId="0" applyBorder="0" applyProtection="0">
      <alignment vertical="center"/>
    </xf>
    <xf numFmtId="0" fontId="1" fillId="0" borderId="0" applyBorder="0" applyProtection="0">
      <alignment vertical="center"/>
    </xf>
    <xf numFmtId="49" fontId="2" fillId="2" borderId="0" applyBorder="0" applyProtection="0">
      <alignment horizontal="left" vertical="top" wrapText="1"/>
    </xf>
    <xf numFmtId="49" fontId="3" fillId="0" borderId="0" applyBorder="0" applyProtection="0">
      <alignment horizontal="left" vertical="top" wrapText="1"/>
    </xf>
    <xf numFmtId="0" fontId="24" fillId="0" borderId="0" applyNumberFormat="0" applyFill="0" applyBorder="0" applyAlignment="0" applyProtection="0">
      <alignment vertical="center"/>
    </xf>
  </cellStyleXfs>
  <cellXfs count="853">
    <xf numFmtId="0" fontId="0" fillId="0" borderId="0" xfId="0">
      <alignment vertical="center"/>
    </xf>
    <xf numFmtId="0" fontId="0" fillId="0" borderId="0" xfId="0" applyAlignment="1">
      <alignment vertical="center" wrapText="1"/>
    </xf>
    <xf numFmtId="0" fontId="4" fillId="0" borderId="0" xfId="0" applyFont="1">
      <alignment vertical="center"/>
    </xf>
    <xf numFmtId="0" fontId="4" fillId="0" borderId="0" xfId="0" applyFont="1" applyAlignment="1">
      <alignment vertical="center" wrapText="1"/>
    </xf>
    <xf numFmtId="14" fontId="0" fillId="0" borderId="0" xfId="0" applyNumberFormat="1">
      <alignment vertical="center"/>
    </xf>
    <xf numFmtId="0" fontId="5" fillId="3" borderId="1" xfId="0" applyFont="1" applyFill="1" applyBorder="1">
      <alignment vertical="center"/>
    </xf>
    <xf numFmtId="0" fontId="0" fillId="3" borderId="1" xfId="0" applyFill="1" applyBorder="1">
      <alignment vertical="center"/>
    </xf>
    <xf numFmtId="0" fontId="6" fillId="4" borderId="1" xfId="0" applyFont="1" applyFill="1" applyBorder="1">
      <alignment vertical="center"/>
    </xf>
    <xf numFmtId="0" fontId="0" fillId="5" borderId="1" xfId="0" applyFill="1" applyBorder="1">
      <alignment vertical="center"/>
    </xf>
    <xf numFmtId="14" fontId="0" fillId="5" borderId="1" xfId="0" applyNumberFormat="1" applyFill="1" applyBorder="1">
      <alignment vertical="center"/>
    </xf>
    <xf numFmtId="0" fontId="0" fillId="5" borderId="1" xfId="0" applyFill="1" applyBorder="1" applyAlignment="1">
      <alignment vertical="center" wrapText="1"/>
    </xf>
    <xf numFmtId="0" fontId="7" fillId="0" borderId="0" xfId="0" applyFont="1">
      <alignment vertical="center"/>
    </xf>
    <xf numFmtId="0" fontId="8" fillId="5" borderId="1" xfId="0" applyFont="1" applyFill="1" applyBorder="1" applyAlignment="1">
      <alignment vertical="center" wrapText="1"/>
    </xf>
    <xf numFmtId="0" fontId="0" fillId="5" borderId="1" xfId="0" applyFill="1" applyBorder="1" applyAlignment="1">
      <alignment horizontal="justify" vertical="center"/>
    </xf>
    <xf numFmtId="0" fontId="0" fillId="0" borderId="1" xfId="0" applyBorder="1">
      <alignment vertical="center"/>
    </xf>
    <xf numFmtId="14" fontId="0" fillId="0" borderId="1" xfId="0" applyNumberFormat="1" applyBorder="1">
      <alignment vertical="center"/>
    </xf>
    <xf numFmtId="0" fontId="0" fillId="0" borderId="1" xfId="0" applyBorder="1" applyAlignment="1">
      <alignment vertical="center" wrapText="1"/>
    </xf>
    <xf numFmtId="0" fontId="0" fillId="6" borderId="1" xfId="0" applyFill="1" applyBorder="1">
      <alignment vertical="center"/>
    </xf>
    <xf numFmtId="14" fontId="0" fillId="6" borderId="1" xfId="0" applyNumberFormat="1" applyFill="1" applyBorder="1">
      <alignment vertical="center"/>
    </xf>
    <xf numFmtId="0" fontId="0" fillId="6" borderId="1" xfId="0" applyFill="1" applyBorder="1" applyAlignment="1">
      <alignment vertical="center" wrapText="1"/>
    </xf>
    <xf numFmtId="0" fontId="0" fillId="7" borderId="1" xfId="0" applyFill="1" applyBorder="1" applyAlignment="1">
      <alignment vertical="center" wrapText="1"/>
    </xf>
    <xf numFmtId="0" fontId="0" fillId="7" borderId="1" xfId="0" applyFill="1" applyBorder="1">
      <alignment vertical="center"/>
    </xf>
    <xf numFmtId="14" fontId="0" fillId="7" borderId="1" xfId="0" applyNumberFormat="1" applyFill="1" applyBorder="1">
      <alignment vertical="center"/>
    </xf>
    <xf numFmtId="14" fontId="0" fillId="8" borderId="1" xfId="0" applyNumberFormat="1" applyFill="1" applyBorder="1">
      <alignment vertical="center"/>
    </xf>
    <xf numFmtId="0" fontId="0" fillId="9" borderId="1" xfId="0" applyFill="1" applyBorder="1" applyAlignment="1">
      <alignment vertical="center" wrapText="1"/>
    </xf>
    <xf numFmtId="0" fontId="6" fillId="5" borderId="1" xfId="0" applyFont="1" applyFill="1" applyBorder="1">
      <alignment vertical="center"/>
    </xf>
    <xf numFmtId="0" fontId="0" fillId="5" borderId="0" xfId="0" applyFill="1">
      <alignment vertical="center"/>
    </xf>
    <xf numFmtId="0" fontId="0" fillId="9" borderId="1" xfId="0" applyFill="1" applyBorder="1">
      <alignment vertical="center"/>
    </xf>
    <xf numFmtId="16" fontId="0" fillId="9" borderId="1" xfId="0" applyNumberFormat="1" applyFill="1" applyBorder="1">
      <alignment vertical="center"/>
    </xf>
    <xf numFmtId="16" fontId="0" fillId="6" borderId="1" xfId="0" applyNumberFormat="1" applyFill="1" applyBorder="1">
      <alignment vertical="center"/>
    </xf>
    <xf numFmtId="0" fontId="1" fillId="6" borderId="1" xfId="1" applyFill="1" applyBorder="1" applyProtection="1">
      <alignment vertical="center"/>
    </xf>
    <xf numFmtId="0" fontId="0" fillId="6" borderId="1" xfId="1" applyFont="1" applyFill="1" applyBorder="1" applyProtection="1">
      <alignment vertical="center"/>
    </xf>
    <xf numFmtId="14" fontId="1" fillId="6" borderId="1" xfId="1" applyNumberFormat="1" applyFill="1" applyBorder="1" applyProtection="1">
      <alignment vertical="center"/>
    </xf>
    <xf numFmtId="0" fontId="0" fillId="6" borderId="1" xfId="0" applyFill="1" applyBorder="1" applyAlignment="1">
      <alignment horizontal="left" vertical="center" wrapText="1"/>
    </xf>
    <xf numFmtId="0" fontId="0" fillId="3" borderId="1" xfId="0" applyFill="1" applyBorder="1" applyAlignment="1">
      <alignment vertical="center" wrapText="1"/>
    </xf>
    <xf numFmtId="14" fontId="0" fillId="5" borderId="1" xfId="0" applyNumberFormat="1" applyFill="1" applyBorder="1" applyAlignment="1">
      <alignment vertical="center" wrapText="1"/>
    </xf>
    <xf numFmtId="14" fontId="0" fillId="7" borderId="1" xfId="0" applyNumberFormat="1" applyFill="1" applyBorder="1" applyAlignment="1">
      <alignment vertical="center" wrapText="1"/>
    </xf>
    <xf numFmtId="14" fontId="0" fillId="5" borderId="2" xfId="0" applyNumberFormat="1" applyFill="1" applyBorder="1">
      <alignment vertical="center"/>
    </xf>
    <xf numFmtId="0" fontId="0" fillId="5" borderId="2" xfId="0" applyFill="1" applyBorder="1" applyAlignment="1">
      <alignment vertical="center" wrapText="1"/>
    </xf>
    <xf numFmtId="0" fontId="0" fillId="5" borderId="2" xfId="0" applyFill="1" applyBorder="1">
      <alignment vertical="center"/>
    </xf>
    <xf numFmtId="0" fontId="6" fillId="4" borderId="2" xfId="0" applyFont="1" applyFill="1" applyBorder="1">
      <alignment vertical="center"/>
    </xf>
    <xf numFmtId="0" fontId="1" fillId="5" borderId="2" xfId="1" applyFill="1" applyBorder="1" applyProtection="1">
      <alignment vertical="center"/>
    </xf>
    <xf numFmtId="0" fontId="0" fillId="5" borderId="3" xfId="1" applyFont="1" applyFill="1" applyBorder="1" applyProtection="1">
      <alignment vertical="center"/>
    </xf>
    <xf numFmtId="0" fontId="0" fillId="5" borderId="1" xfId="0" applyFill="1" applyBorder="1" applyAlignment="1">
      <alignment horizontal="left" vertical="center"/>
    </xf>
    <xf numFmtId="0" fontId="6" fillId="4" borderId="0" xfId="0" applyFont="1" applyFill="1">
      <alignment vertical="center"/>
    </xf>
    <xf numFmtId="0" fontId="1" fillId="5" borderId="0" xfId="1" applyFill="1" applyBorder="1" applyAlignment="1" applyProtection="1">
      <alignment vertical="center" wrapText="1"/>
    </xf>
    <xf numFmtId="0" fontId="0" fillId="5" borderId="0" xfId="1" applyFont="1" applyFill="1" applyBorder="1" applyProtection="1">
      <alignment vertical="center"/>
    </xf>
    <xf numFmtId="0" fontId="0" fillId="5" borderId="4" xfId="0" applyFill="1" applyBorder="1">
      <alignment vertical="center"/>
    </xf>
    <xf numFmtId="14" fontId="0" fillId="0" borderId="5" xfId="0" applyNumberFormat="1" applyBorder="1">
      <alignment vertical="center"/>
    </xf>
    <xf numFmtId="0" fontId="0" fillId="0" borderId="5" xfId="0" applyBorder="1" applyAlignment="1">
      <alignment vertical="center" wrapText="1"/>
    </xf>
    <xf numFmtId="0" fontId="0" fillId="0" borderId="5" xfId="0" applyBorder="1">
      <alignment vertical="center"/>
    </xf>
    <xf numFmtId="0" fontId="1" fillId="0" borderId="2" xfId="1" applyBorder="1" applyProtection="1">
      <alignment vertical="center"/>
    </xf>
    <xf numFmtId="0" fontId="0" fillId="0" borderId="2" xfId="1" applyFont="1" applyBorder="1" applyProtection="1">
      <alignment vertical="center"/>
    </xf>
    <xf numFmtId="14" fontId="1" fillId="0" borderId="2" xfId="1" applyNumberFormat="1" applyBorder="1" applyProtection="1">
      <alignment vertical="center"/>
    </xf>
    <xf numFmtId="0" fontId="0" fillId="0" borderId="2" xfId="0" applyBorder="1" applyAlignment="1">
      <alignment vertical="center" wrapText="1"/>
    </xf>
    <xf numFmtId="0" fontId="0" fillId="0" borderId="2" xfId="0" applyBorder="1">
      <alignment vertical="center"/>
    </xf>
    <xf numFmtId="0" fontId="1" fillId="0" borderId="1" xfId="1" applyBorder="1" applyProtection="1">
      <alignment vertical="center"/>
    </xf>
    <xf numFmtId="0" fontId="0" fillId="0" borderId="1" xfId="1" applyFont="1" applyBorder="1" applyProtection="1">
      <alignment vertical="center"/>
    </xf>
    <xf numFmtId="14" fontId="1" fillId="0" borderId="1" xfId="1" applyNumberFormat="1" applyBorder="1" applyProtection="1">
      <alignment vertical="center"/>
    </xf>
    <xf numFmtId="0" fontId="1" fillId="5" borderId="1" xfId="1" applyFill="1" applyBorder="1" applyProtection="1">
      <alignment vertical="center"/>
    </xf>
    <xf numFmtId="0" fontId="0" fillId="5" borderId="1" xfId="1" applyFont="1" applyFill="1" applyBorder="1" applyProtection="1">
      <alignment vertical="center"/>
    </xf>
    <xf numFmtId="0" fontId="0" fillId="5" borderId="2" xfId="1" applyFont="1" applyFill="1" applyBorder="1" applyProtection="1">
      <alignment vertical="center"/>
    </xf>
    <xf numFmtId="14" fontId="0" fillId="5" borderId="2" xfId="1" applyNumberFormat="1" applyFont="1" applyFill="1" applyBorder="1" applyProtection="1">
      <alignment vertical="center"/>
    </xf>
    <xf numFmtId="14" fontId="0" fillId="5" borderId="1" xfId="1" applyNumberFormat="1" applyFont="1" applyFill="1" applyBorder="1" applyProtection="1">
      <alignment vertical="center"/>
    </xf>
    <xf numFmtId="0" fontId="0" fillId="5" borderId="6" xfId="1" applyFont="1" applyFill="1" applyBorder="1" applyProtection="1">
      <alignment vertical="center"/>
    </xf>
    <xf numFmtId="14" fontId="0" fillId="5" borderId="6" xfId="1" applyNumberFormat="1" applyFont="1" applyFill="1" applyBorder="1" applyProtection="1">
      <alignment vertical="center"/>
    </xf>
    <xf numFmtId="0" fontId="0" fillId="5" borderId="7" xfId="1" applyFont="1" applyFill="1" applyBorder="1" applyProtection="1">
      <alignment vertical="center"/>
    </xf>
    <xf numFmtId="0" fontId="0" fillId="0" borderId="7" xfId="1" applyFont="1" applyBorder="1" applyProtection="1">
      <alignment vertical="center"/>
    </xf>
    <xf numFmtId="14" fontId="0" fillId="0" borderId="7" xfId="1" applyNumberFormat="1" applyFont="1" applyBorder="1" applyProtection="1">
      <alignment vertical="center"/>
    </xf>
    <xf numFmtId="14" fontId="1" fillId="0" borderId="7" xfId="1" applyNumberFormat="1" applyBorder="1" applyProtection="1">
      <alignment vertical="center"/>
    </xf>
    <xf numFmtId="14" fontId="0" fillId="5" borderId="7" xfId="1" applyNumberFormat="1" applyFont="1" applyFill="1" applyBorder="1" applyProtection="1">
      <alignment vertical="center"/>
    </xf>
    <xf numFmtId="0" fontId="1" fillId="5" borderId="7" xfId="1" applyFill="1" applyBorder="1" applyProtection="1">
      <alignment vertical="center"/>
    </xf>
    <xf numFmtId="0" fontId="0" fillId="7" borderId="7" xfId="1" applyFont="1" applyFill="1" applyBorder="1" applyProtection="1">
      <alignment vertical="center"/>
    </xf>
    <xf numFmtId="0" fontId="1" fillId="6" borderId="7" xfId="1" applyFill="1" applyBorder="1" applyProtection="1">
      <alignment vertical="center"/>
    </xf>
    <xf numFmtId="0" fontId="0" fillId="6" borderId="7" xfId="1" applyFont="1" applyFill="1" applyBorder="1" applyProtection="1">
      <alignment vertical="center"/>
    </xf>
    <xf numFmtId="14" fontId="0" fillId="6" borderId="7" xfId="1" applyNumberFormat="1" applyFont="1" applyFill="1" applyBorder="1" applyProtection="1">
      <alignment vertical="center"/>
    </xf>
    <xf numFmtId="14" fontId="1" fillId="6" borderId="7" xfId="1" applyNumberFormat="1" applyFill="1" applyBorder="1" applyProtection="1">
      <alignment vertical="center"/>
    </xf>
    <xf numFmtId="0" fontId="0" fillId="6" borderId="4" xfId="0" applyFill="1" applyBorder="1">
      <alignment vertical="center"/>
    </xf>
    <xf numFmtId="0" fontId="0" fillId="6" borderId="7" xfId="0" applyFill="1" applyBorder="1" applyAlignment="1">
      <alignment vertical="center" wrapText="1"/>
    </xf>
    <xf numFmtId="0" fontId="1" fillId="3" borderId="7" xfId="1" applyFill="1" applyBorder="1" applyProtection="1">
      <alignment vertical="center"/>
    </xf>
    <xf numFmtId="0" fontId="0" fillId="3" borderId="7" xfId="1" applyFont="1" applyFill="1" applyBorder="1" applyProtection="1">
      <alignment vertical="center"/>
    </xf>
    <xf numFmtId="14" fontId="0" fillId="3" borderId="7" xfId="1" applyNumberFormat="1" applyFont="1" applyFill="1" applyBorder="1" applyProtection="1">
      <alignment vertical="center"/>
    </xf>
    <xf numFmtId="14" fontId="1" fillId="3" borderId="7" xfId="1" applyNumberFormat="1" applyFill="1" applyBorder="1" applyProtection="1">
      <alignment vertical="center"/>
    </xf>
    <xf numFmtId="14" fontId="1" fillId="5" borderId="7" xfId="1" applyNumberFormat="1" applyFill="1" applyBorder="1" applyProtection="1">
      <alignment vertical="center"/>
    </xf>
    <xf numFmtId="0" fontId="0" fillId="8" borderId="1" xfId="0" applyFill="1" applyBorder="1">
      <alignment vertical="center"/>
    </xf>
    <xf numFmtId="0" fontId="0" fillId="0" borderId="4" xfId="0" applyBorder="1">
      <alignment vertical="center"/>
    </xf>
    <xf numFmtId="0" fontId="0" fillId="0" borderId="7" xfId="0" applyBorder="1" applyAlignment="1">
      <alignment vertical="center" wrapText="1"/>
    </xf>
    <xf numFmtId="0" fontId="0" fillId="5" borderId="7" xfId="0" applyFill="1" applyBorder="1" applyAlignment="1">
      <alignment vertical="center" wrapText="1"/>
    </xf>
    <xf numFmtId="0" fontId="0" fillId="10" borderId="1" xfId="0" applyFill="1" applyBorder="1" applyAlignment="1">
      <alignment vertical="center" wrapText="1"/>
    </xf>
    <xf numFmtId="0" fontId="1" fillId="0" borderId="7" xfId="1" applyBorder="1" applyProtection="1">
      <alignment vertical="center"/>
    </xf>
    <xf numFmtId="16" fontId="0" fillId="0" borderId="4" xfId="0" applyNumberFormat="1" applyBorder="1">
      <alignment vertical="center"/>
    </xf>
    <xf numFmtId="0" fontId="4" fillId="0" borderId="1" xfId="0" applyFont="1" applyBorder="1" applyAlignment="1">
      <alignment vertical="center" wrapText="1"/>
    </xf>
    <xf numFmtId="16" fontId="0" fillId="5" borderId="4" xfId="0" applyNumberFormat="1" applyFill="1" applyBorder="1">
      <alignment vertical="center"/>
    </xf>
    <xf numFmtId="0" fontId="0" fillId="11" borderId="7" xfId="1" applyFont="1" applyFill="1" applyBorder="1" applyProtection="1">
      <alignment vertical="center"/>
    </xf>
    <xf numFmtId="16" fontId="0" fillId="5" borderId="1" xfId="0" applyNumberFormat="1" applyFill="1" applyBorder="1">
      <alignment vertical="center"/>
    </xf>
    <xf numFmtId="0" fontId="1" fillId="8" borderId="7" xfId="1" applyFill="1" applyBorder="1" applyProtection="1">
      <alignment vertical="center"/>
    </xf>
    <xf numFmtId="0" fontId="0" fillId="8" borderId="7" xfId="1" applyFont="1" applyFill="1" applyBorder="1" applyProtection="1">
      <alignment vertical="center"/>
    </xf>
    <xf numFmtId="14" fontId="0" fillId="8" borderId="7" xfId="1" applyNumberFormat="1" applyFont="1" applyFill="1" applyBorder="1" applyProtection="1">
      <alignment vertical="center"/>
    </xf>
    <xf numFmtId="14" fontId="1" fillId="8" borderId="7" xfId="1" applyNumberFormat="1" applyFill="1" applyBorder="1" applyProtection="1">
      <alignment vertical="center"/>
    </xf>
    <xf numFmtId="0" fontId="0" fillId="8" borderId="1" xfId="0" applyFill="1" applyBorder="1" applyAlignment="1">
      <alignment vertical="center" wrapText="1"/>
    </xf>
    <xf numFmtId="0" fontId="4" fillId="5" borderId="1" xfId="0" applyFont="1" applyFill="1" applyBorder="1" applyAlignment="1">
      <alignment vertical="center" wrapText="1"/>
    </xf>
    <xf numFmtId="16" fontId="0" fillId="8" borderId="1" xfId="0" applyNumberFormat="1" applyFill="1" applyBorder="1">
      <alignment vertical="center"/>
    </xf>
    <xf numFmtId="0" fontId="0" fillId="8" borderId="1" xfId="0" applyFill="1" applyBorder="1" applyAlignment="1">
      <alignment vertical="top" wrapText="1"/>
    </xf>
    <xf numFmtId="0" fontId="0" fillId="5" borderId="0" xfId="0" applyFill="1" applyAlignment="1">
      <alignment vertical="center" wrapText="1"/>
    </xf>
    <xf numFmtId="0" fontId="0" fillId="0" borderId="0" xfId="0" applyAlignment="1">
      <alignment horizontal="center" vertical="center"/>
    </xf>
    <xf numFmtId="0" fontId="5" fillId="3" borderId="1" xfId="0" applyFont="1" applyFill="1" applyBorder="1" applyAlignment="1">
      <alignment horizontal="center" vertical="center"/>
    </xf>
    <xf numFmtId="49" fontId="5" fillId="3" borderId="1"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indent="1"/>
    </xf>
    <xf numFmtId="0" fontId="5" fillId="3" borderId="1" xfId="0" applyFont="1" applyFill="1" applyBorder="1" applyAlignment="1">
      <alignment vertical="top"/>
    </xf>
    <xf numFmtId="0" fontId="10" fillId="12" borderId="2" xfId="0" applyFont="1" applyFill="1" applyBorder="1" applyAlignment="1">
      <alignment horizontal="center" vertical="center"/>
    </xf>
    <xf numFmtId="1" fontId="10" fillId="12" borderId="2" xfId="0" applyNumberFormat="1" applyFont="1" applyFill="1" applyBorder="1" applyAlignment="1">
      <alignment horizontal="center" vertical="center"/>
    </xf>
    <xf numFmtId="1" fontId="10" fillId="12" borderId="8" xfId="0" applyNumberFormat="1" applyFont="1" applyFill="1" applyBorder="1" applyAlignment="1">
      <alignment horizontal="center" vertical="center"/>
    </xf>
    <xf numFmtId="1" fontId="10" fillId="12" borderId="9" xfId="0" applyNumberFormat="1" applyFont="1" applyFill="1" applyBorder="1" applyAlignment="1">
      <alignment horizontal="center" vertical="center"/>
    </xf>
    <xf numFmtId="1" fontId="10" fillId="12" borderId="9" xfId="0" applyNumberFormat="1" applyFont="1" applyFill="1" applyBorder="1" applyAlignment="1">
      <alignment horizontal="center" vertical="center" wrapText="1"/>
    </xf>
    <xf numFmtId="0" fontId="10" fillId="12" borderId="3"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6"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indent="1"/>
    </xf>
    <xf numFmtId="14" fontId="0" fillId="0" borderId="7" xfId="0" applyNumberFormat="1"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center" wrapText="1"/>
    </xf>
    <xf numFmtId="0" fontId="0" fillId="0" borderId="0" xfId="0" applyAlignment="1"/>
    <xf numFmtId="0" fontId="12" fillId="0" borderId="0" xfId="0" applyFont="1" applyAlignment="1"/>
    <xf numFmtId="0" fontId="13" fillId="0" borderId="0" xfId="0" applyFont="1" applyAlignment="1"/>
    <xf numFmtId="0" fontId="14" fillId="0" borderId="0" xfId="1" applyFont="1" applyBorder="1" applyAlignment="1" applyProtection="1">
      <alignment horizontal="right"/>
    </xf>
    <xf numFmtId="0" fontId="15" fillId="0" borderId="0" xfId="0" applyFont="1" applyAlignment="1"/>
    <xf numFmtId="0" fontId="12" fillId="8" borderId="0" xfId="0" applyFont="1" applyFill="1" applyAlignment="1"/>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1" xfId="0" applyFont="1" applyFill="1" applyBorder="1" applyAlignment="1">
      <alignment horizontal="left" vertical="center"/>
    </xf>
    <xf numFmtId="0" fontId="16" fillId="3" borderId="13" xfId="0" applyFont="1" applyFill="1" applyBorder="1" applyAlignment="1">
      <alignment horizontal="center" vertical="center"/>
    </xf>
    <xf numFmtId="0" fontId="12" fillId="0" borderId="1" xfId="0" applyFont="1" applyBorder="1" applyAlignment="1"/>
    <xf numFmtId="0" fontId="22" fillId="8" borderId="0" xfId="0" applyFont="1" applyFill="1" applyAlignment="1">
      <alignment wrapText="1"/>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16" fontId="5" fillId="3" borderId="1" xfId="0" applyNumberFormat="1" applyFont="1" applyFill="1" applyBorder="1" applyAlignment="1">
      <alignment horizontal="center" vertical="center" wrapText="1"/>
    </xf>
    <xf numFmtId="14" fontId="0" fillId="0" borderId="4" xfId="0" applyNumberFormat="1" applyBorder="1" applyAlignment="1">
      <alignment horizontal="center" vertical="center"/>
    </xf>
    <xf numFmtId="0" fontId="0" fillId="0" borderId="4" xfId="0" applyBorder="1" applyAlignment="1">
      <alignment horizontal="left" vertical="center"/>
    </xf>
    <xf numFmtId="0" fontId="0" fillId="0" borderId="4" xfId="0" applyBorder="1" applyAlignment="1">
      <alignment vertical="top" wrapText="1"/>
    </xf>
    <xf numFmtId="0" fontId="23" fillId="0" borderId="5" xfId="0" applyFont="1"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center" vertical="center" indent="1"/>
    </xf>
    <xf numFmtId="16" fontId="0" fillId="0" borderId="4" xfId="0" applyNumberFormat="1" applyBorder="1" applyAlignment="1">
      <alignment horizontal="center" vertical="center"/>
    </xf>
    <xf numFmtId="16" fontId="0" fillId="0" borderId="4" xfId="0" applyNumberFormat="1" applyBorder="1" applyAlignment="1">
      <alignment horizontal="center" vertical="center" wrapText="1"/>
    </xf>
    <xf numFmtId="0" fontId="0" fillId="0" borderId="21" xfId="0" applyBorder="1">
      <alignment vertical="center"/>
    </xf>
    <xf numFmtId="0" fontId="0" fillId="8" borderId="4" xfId="0" applyFill="1" applyBorder="1">
      <alignment vertical="center"/>
    </xf>
    <xf numFmtId="0" fontId="1" fillId="0" borderId="4" xfId="1" applyBorder="1" applyAlignment="1" applyProtection="1">
      <alignment horizontal="center" vertical="center"/>
    </xf>
    <xf numFmtId="0" fontId="0" fillId="0" borderId="4" xfId="0" applyBorder="1" applyAlignment="1">
      <alignment horizontal="left" vertical="center" wrapText="1"/>
    </xf>
    <xf numFmtId="0" fontId="0" fillId="0" borderId="4" xfId="0" applyBorder="1" applyAlignment="1">
      <alignment vertical="center" wrapText="1"/>
    </xf>
    <xf numFmtId="0" fontId="6" fillId="0" borderId="1" xfId="0" applyFont="1"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vertical="top"/>
    </xf>
    <xf numFmtId="16" fontId="0" fillId="0" borderId="1" xfId="0" applyNumberFormat="1" applyBorder="1" applyAlignment="1">
      <alignment horizontal="center" vertical="center"/>
    </xf>
    <xf numFmtId="0" fontId="0" fillId="0" borderId="1" xfId="0" applyBorder="1" applyAlignment="1">
      <alignment vertical="top"/>
    </xf>
    <xf numFmtId="49" fontId="1" fillId="0" borderId="1" xfId="1" applyNumberFormat="1" applyBorder="1" applyAlignment="1" applyProtection="1">
      <alignment horizontal="center" vertical="center"/>
    </xf>
    <xf numFmtId="1" fontId="0" fillId="0" borderId="1" xfId="0" applyNumberFormat="1" applyBorder="1">
      <alignment vertical="center"/>
    </xf>
    <xf numFmtId="0" fontId="0" fillId="0" borderId="1" xfId="0" applyBorder="1" applyAlignment="1">
      <alignment horizontal="left" vertical="center" wrapText="1"/>
    </xf>
    <xf numFmtId="0" fontId="0" fillId="0" borderId="22" xfId="0" applyBorder="1" applyAlignment="1">
      <alignment horizontal="center" vertical="center"/>
    </xf>
    <xf numFmtId="0" fontId="0" fillId="0" borderId="5" xfId="0" applyBorder="1" applyAlignment="1">
      <alignment horizontal="center" vertical="center"/>
    </xf>
    <xf numFmtId="16" fontId="0" fillId="0" borderId="19" xfId="0" applyNumberFormat="1" applyBorder="1" applyAlignment="1">
      <alignment horizontal="center" vertical="center"/>
    </xf>
    <xf numFmtId="0" fontId="0" fillId="0" borderId="22" xfId="0" applyBorder="1" applyAlignment="1">
      <alignment vertical="center" wrapText="1"/>
    </xf>
    <xf numFmtId="1" fontId="0" fillId="0" borderId="5" xfId="0" applyNumberFormat="1" applyBorder="1">
      <alignment vertical="center"/>
    </xf>
    <xf numFmtId="0" fontId="6" fillId="0" borderId="4" xfId="0" applyFont="1" applyBorder="1" applyAlignment="1">
      <alignment horizontal="center" vertical="center"/>
    </xf>
    <xf numFmtId="0" fontId="0" fillId="0" borderId="5" xfId="0" applyBorder="1" applyAlignment="1">
      <alignment horizontal="left" vertical="center" wrapText="1"/>
    </xf>
    <xf numFmtId="0" fontId="0" fillId="0" borderId="23" xfId="0" applyBorder="1" applyAlignment="1">
      <alignment horizontal="left" vertical="center" wrapText="1"/>
    </xf>
    <xf numFmtId="0" fontId="0" fillId="0" borderId="23" xfId="0" applyBorder="1" applyAlignment="1">
      <alignment horizontal="center" vertical="center"/>
    </xf>
    <xf numFmtId="0" fontId="0" fillId="0" borderId="22" xfId="0" applyBorder="1" applyAlignment="1">
      <alignment horizontal="center" vertical="center" indent="1"/>
    </xf>
    <xf numFmtId="0" fontId="6"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11" fillId="0" borderId="4" xfId="0" applyFont="1" applyBorder="1" applyAlignment="1">
      <alignment horizontal="center" vertical="center"/>
    </xf>
    <xf numFmtId="16" fontId="0" fillId="0" borderId="7" xfId="0" applyNumberFormat="1" applyBorder="1" applyAlignment="1">
      <alignment horizontal="center" vertical="center"/>
    </xf>
    <xf numFmtId="0" fontId="4" fillId="0" borderId="7" xfId="0" applyFont="1" applyBorder="1" applyAlignment="1">
      <alignment horizontal="center" vertical="center"/>
    </xf>
    <xf numFmtId="0" fontId="6" fillId="0" borderId="2" xfId="0" applyFont="1" applyBorder="1" applyAlignment="1">
      <alignment horizontal="center" vertical="center" wrapText="1"/>
    </xf>
    <xf numFmtId="49" fontId="1" fillId="0" borderId="2" xfId="1" applyNumberFormat="1" applyBorder="1" applyAlignment="1" applyProtection="1">
      <alignment horizontal="center" vertical="center"/>
    </xf>
    <xf numFmtId="14" fontId="0" fillId="0" borderId="2" xfId="0" applyNumberFormat="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indent="1"/>
    </xf>
    <xf numFmtId="16" fontId="0" fillId="0" borderId="6" xfId="0" applyNumberFormat="1" applyBorder="1" applyAlignment="1">
      <alignment horizontal="center" vertical="center"/>
    </xf>
    <xf numFmtId="0" fontId="0" fillId="0" borderId="6" xfId="0" applyBorder="1" applyAlignment="1">
      <alignment horizontal="center" vertical="center"/>
    </xf>
    <xf numFmtId="1" fontId="0" fillId="0" borderId="2" xfId="0" applyNumberFormat="1" applyBorder="1">
      <alignment vertical="center"/>
    </xf>
    <xf numFmtId="0" fontId="0" fillId="0" borderId="3" xfId="0" applyBorder="1">
      <alignment vertical="center"/>
    </xf>
    <xf numFmtId="14" fontId="0" fillId="0" borderId="5" xfId="0" applyNumberFormat="1" applyBorder="1" applyAlignment="1">
      <alignment horizontal="center" vertical="center"/>
    </xf>
    <xf numFmtId="0" fontId="25" fillId="14" borderId="24" xfId="0" applyFont="1" applyFill="1" applyBorder="1" applyAlignment="1"/>
    <xf numFmtId="0" fontId="25" fillId="14" borderId="24" xfId="0" applyFont="1" applyFill="1" applyBorder="1" applyAlignment="1">
      <alignment wrapText="1"/>
    </xf>
    <xf numFmtId="14" fontId="0" fillId="14" borderId="24" xfId="0" applyNumberFormat="1" applyFill="1" applyBorder="1" applyAlignment="1">
      <alignment horizontal="center" vertical="center"/>
    </xf>
    <xf numFmtId="0" fontId="0" fillId="14" borderId="24" xfId="0" applyFill="1" applyBorder="1" applyAlignment="1">
      <alignment horizontal="left" vertical="center" wrapText="1"/>
    </xf>
    <xf numFmtId="0" fontId="0" fillId="14" borderId="24" xfId="0" applyFill="1" applyBorder="1" applyAlignment="1">
      <alignment horizontal="center" vertical="center"/>
    </xf>
    <xf numFmtId="0" fontId="0" fillId="14" borderId="24" xfId="0" applyFill="1" applyBorder="1" applyAlignment="1">
      <alignment vertical="center" wrapText="1"/>
    </xf>
    <xf numFmtId="0" fontId="0" fillId="14" borderId="24" xfId="0" applyFill="1" applyBorder="1">
      <alignment vertical="center"/>
    </xf>
    <xf numFmtId="0" fontId="0" fillId="14" borderId="24" xfId="0" applyFill="1" applyBorder="1" applyAlignment="1">
      <alignment horizontal="left" vertical="top" wrapText="1"/>
    </xf>
    <xf numFmtId="0" fontId="0" fillId="14" borderId="24" xfId="0" applyFill="1" applyBorder="1" applyAlignment="1">
      <alignment horizontal="left" vertical="center"/>
    </xf>
    <xf numFmtId="0" fontId="0" fillId="14" borderId="24" xfId="0" applyFill="1" applyBorder="1" applyAlignment="1">
      <alignment vertical="top"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0" borderId="24" xfId="0" applyBorder="1">
      <alignment vertical="center"/>
    </xf>
    <xf numFmtId="0" fontId="7" fillId="0" borderId="24" xfId="0" applyFont="1" applyBorder="1">
      <alignment vertical="center"/>
    </xf>
    <xf numFmtId="0" fontId="0" fillId="0" borderId="24" xfId="0" applyBorder="1" applyAlignment="1">
      <alignment horizontal="left" vertical="top" wrapText="1"/>
    </xf>
    <xf numFmtId="0" fontId="0" fillId="0" borderId="24" xfId="0" applyBorder="1" applyAlignment="1">
      <alignment horizontal="center" vertical="center" indent="1"/>
    </xf>
    <xf numFmtId="14" fontId="0" fillId="0" borderId="24" xfId="0" applyNumberFormat="1" applyBorder="1" applyAlignment="1">
      <alignment horizontal="center" vertical="center"/>
    </xf>
    <xf numFmtId="0" fontId="0" fillId="0" borderId="24" xfId="0" applyBorder="1" applyAlignment="1">
      <alignment vertical="top" wrapText="1"/>
    </xf>
    <xf numFmtId="0" fontId="0" fillId="5" borderId="24" xfId="0" applyFill="1" applyBorder="1">
      <alignment vertical="center"/>
    </xf>
    <xf numFmtId="0" fontId="0" fillId="8" borderId="24" xfId="0" applyFill="1" applyBorder="1">
      <alignment vertical="center"/>
    </xf>
    <xf numFmtId="0" fontId="6" fillId="0" borderId="24" xfId="0" applyFont="1" applyBorder="1" applyAlignment="1">
      <alignment horizontal="center" vertical="center"/>
    </xf>
    <xf numFmtId="49" fontId="0" fillId="0" borderId="24" xfId="0" applyNumberFormat="1" applyBorder="1" applyAlignment="1">
      <alignment horizontal="center" vertical="center"/>
    </xf>
    <xf numFmtId="0" fontId="0" fillId="0" borderId="24" xfId="0" applyBorder="1" applyAlignment="1">
      <alignment vertical="top"/>
    </xf>
    <xf numFmtId="0" fontId="0" fillId="0" borderId="24" xfId="0" applyBorder="1" applyAlignment="1">
      <alignment horizontal="left" vertical="center"/>
    </xf>
    <xf numFmtId="0" fontId="0" fillId="0" borderId="24" xfId="0" applyBorder="1" applyAlignment="1"/>
    <xf numFmtId="0" fontId="0" fillId="0" borderId="24" xfId="0" applyBorder="1" applyAlignment="1">
      <alignment horizontal="left" vertical="center" wrapText="1"/>
    </xf>
    <xf numFmtId="14" fontId="25" fillId="14" borderId="24" xfId="0" applyNumberFormat="1" applyFont="1" applyFill="1" applyBorder="1" applyAlignment="1">
      <alignment horizontal="center" vertical="center"/>
    </xf>
    <xf numFmtId="0" fontId="20" fillId="8" borderId="27" xfId="0" applyFont="1" applyFill="1" applyBorder="1" applyAlignment="1">
      <alignment horizontal="center" vertical="top" shrinkToFit="1"/>
    </xf>
    <xf numFmtId="0" fontId="21" fillId="8" borderId="28" xfId="0" applyFont="1" applyFill="1" applyBorder="1" applyAlignment="1">
      <alignment horizontal="left" vertical="top"/>
    </xf>
    <xf numFmtId="0" fontId="20" fillId="13" borderId="27" xfId="0" applyFont="1" applyFill="1" applyBorder="1" applyAlignment="1">
      <alignment horizontal="center" vertical="top" shrinkToFit="1"/>
    </xf>
    <xf numFmtId="0" fontId="21" fillId="13" borderId="36" xfId="0" applyFont="1" applyFill="1" applyBorder="1" applyAlignment="1">
      <alignment horizontal="left" vertical="top"/>
    </xf>
    <xf numFmtId="0" fontId="21" fillId="8" borderId="36" xfId="0" applyFont="1" applyFill="1" applyBorder="1" applyAlignment="1">
      <alignment horizontal="left" vertical="top"/>
    </xf>
    <xf numFmtId="0" fontId="20" fillId="13" borderId="29" xfId="0" applyFont="1" applyFill="1" applyBorder="1" applyAlignment="1">
      <alignment horizontal="center" vertical="top" shrinkToFit="1"/>
    </xf>
    <xf numFmtId="0" fontId="21" fillId="13" borderId="0" xfId="0" applyFont="1" applyFill="1" applyAlignment="1">
      <alignment horizontal="left" vertical="top"/>
    </xf>
    <xf numFmtId="0" fontId="20" fillId="8" borderId="29" xfId="0" applyFont="1" applyFill="1" applyBorder="1" applyAlignment="1">
      <alignment horizontal="center" vertical="top" shrinkToFit="1"/>
    </xf>
    <xf numFmtId="0" fontId="21" fillId="8" borderId="0" xfId="0" applyFont="1" applyFill="1" applyAlignment="1">
      <alignment horizontal="left" vertical="top"/>
    </xf>
    <xf numFmtId="0" fontId="21" fillId="8" borderId="33" xfId="0" applyFont="1" applyFill="1" applyBorder="1" applyAlignment="1">
      <alignment horizontal="left" vertical="top"/>
    </xf>
    <xf numFmtId="0" fontId="20" fillId="8" borderId="0" xfId="0" applyFont="1" applyFill="1" applyAlignment="1">
      <alignment horizontal="center" vertical="top" shrinkToFit="1"/>
    </xf>
    <xf numFmtId="14" fontId="25" fillId="19" borderId="24" xfId="0" applyNumberFormat="1" applyFont="1" applyFill="1" applyBorder="1" applyAlignment="1">
      <alignment horizontal="center" vertical="center"/>
    </xf>
    <xf numFmtId="0" fontId="25" fillId="19" borderId="24" xfId="0" applyFont="1" applyFill="1" applyBorder="1" applyAlignment="1">
      <alignment horizontal="left" vertical="center" wrapText="1"/>
    </xf>
    <xf numFmtId="0" fontId="0" fillId="19" borderId="24" xfId="0" applyFill="1" applyBorder="1" applyAlignment="1">
      <alignment horizontal="left" vertical="center" wrapText="1"/>
    </xf>
    <xf numFmtId="14" fontId="0" fillId="19" borderId="24" xfId="0" applyNumberFormat="1" applyFill="1" applyBorder="1" applyAlignment="1">
      <alignment horizontal="center" vertical="center"/>
    </xf>
    <xf numFmtId="14" fontId="0" fillId="19" borderId="24" xfId="0" applyNumberFormat="1" applyFill="1" applyBorder="1" applyAlignment="1">
      <alignment horizontal="center" vertical="center" wrapText="1"/>
    </xf>
    <xf numFmtId="0" fontId="25" fillId="14" borderId="24" xfId="0" applyFont="1" applyFill="1" applyBorder="1" applyAlignment="1">
      <alignment horizontal="center" vertical="center"/>
    </xf>
    <xf numFmtId="0" fontId="25" fillId="14" borderId="24" xfId="0" applyFont="1" applyFill="1" applyBorder="1" applyAlignment="1">
      <alignment horizontal="center" vertical="center" wrapText="1"/>
    </xf>
    <xf numFmtId="0" fontId="0" fillId="14" borderId="24" xfId="0" applyFill="1" applyBorder="1" applyAlignment="1">
      <alignment horizontal="center" vertical="center" wrapText="1"/>
    </xf>
    <xf numFmtId="0" fontId="0" fillId="19" borderId="1" xfId="0" applyFill="1" applyBorder="1" applyAlignment="1"/>
    <xf numFmtId="0" fontId="0" fillId="20" borderId="1" xfId="0" applyFill="1" applyBorder="1" applyAlignment="1"/>
    <xf numFmtId="0" fontId="0" fillId="21" borderId="1" xfId="0" applyFill="1" applyBorder="1" applyAlignment="1"/>
    <xf numFmtId="0" fontId="0" fillId="22" borderId="1" xfId="0" applyFill="1" applyBorder="1" applyAlignment="1"/>
    <xf numFmtId="0" fontId="0" fillId="17" borderId="1" xfId="0" applyFill="1" applyBorder="1" applyAlignment="1"/>
    <xf numFmtId="0" fontId="31" fillId="19" borderId="24" xfId="0" applyFont="1" applyFill="1" applyBorder="1" applyAlignment="1">
      <alignment horizontal="center" vertical="center"/>
    </xf>
    <xf numFmtId="0" fontId="25" fillId="19" borderId="24" xfId="0" applyFont="1" applyFill="1" applyBorder="1" applyAlignment="1">
      <alignment horizontal="center" vertical="center"/>
    </xf>
    <xf numFmtId="0" fontId="0" fillId="19" borderId="24" xfId="0" applyFill="1" applyBorder="1" applyAlignment="1">
      <alignment horizontal="center" vertical="center" wrapText="1"/>
    </xf>
    <xf numFmtId="0" fontId="0" fillId="19" borderId="24" xfId="0" applyFill="1" applyBorder="1" applyAlignment="1">
      <alignment horizontal="center" vertical="center"/>
    </xf>
    <xf numFmtId="0" fontId="26" fillId="19" borderId="24" xfId="5" applyFont="1" applyFill="1" applyBorder="1" applyAlignment="1">
      <alignment horizontal="center" vertical="center"/>
    </xf>
    <xf numFmtId="0" fontId="25" fillId="19" borderId="24" xfId="0" applyFont="1" applyFill="1" applyBorder="1" applyAlignment="1">
      <alignment wrapText="1"/>
    </xf>
    <xf numFmtId="0" fontId="0" fillId="23" borderId="24" xfId="0" applyFill="1" applyBorder="1">
      <alignment vertical="center"/>
    </xf>
    <xf numFmtId="0" fontId="7" fillId="23" borderId="24" xfId="0" applyFont="1" applyFill="1" applyBorder="1">
      <alignment vertical="center"/>
    </xf>
    <xf numFmtId="0" fontId="0" fillId="23" borderId="24" xfId="0" applyFill="1" applyBorder="1" applyAlignment="1">
      <alignment vertical="top"/>
    </xf>
    <xf numFmtId="0" fontId="0" fillId="23" borderId="24" xfId="0" applyFill="1" applyBorder="1" applyAlignment="1">
      <alignment horizontal="left" vertical="center"/>
    </xf>
    <xf numFmtId="0" fontId="0" fillId="23" borderId="24" xfId="0" applyFill="1" applyBorder="1" applyAlignment="1"/>
    <xf numFmtId="0" fontId="6" fillId="23" borderId="24" xfId="0" applyFont="1" applyFill="1" applyBorder="1" applyAlignment="1">
      <alignment horizontal="center" vertical="center"/>
    </xf>
    <xf numFmtId="0" fontId="0" fillId="24" borderId="24" xfId="0" applyFill="1" applyBorder="1" applyAlignment="1">
      <alignment horizontal="center" vertical="center" wrapText="1"/>
    </xf>
    <xf numFmtId="0" fontId="0" fillId="24" borderId="24" xfId="0" applyFill="1" applyBorder="1">
      <alignment vertical="center"/>
    </xf>
    <xf numFmtId="0" fontId="25" fillId="19" borderId="24" xfId="0" applyFont="1" applyFill="1" applyBorder="1" applyAlignment="1"/>
    <xf numFmtId="14" fontId="25" fillId="14" borderId="24" xfId="0" applyNumberFormat="1" applyFont="1" applyFill="1" applyBorder="1" applyAlignment="1">
      <alignment horizontal="center" vertical="center" wrapText="1"/>
    </xf>
    <xf numFmtId="0" fontId="25" fillId="14" borderId="24" xfId="0" applyFont="1" applyFill="1" applyBorder="1" applyAlignment="1">
      <alignment horizontal="center" vertical="top" wrapText="1"/>
    </xf>
    <xf numFmtId="0" fontId="26" fillId="14" borderId="24" xfId="5" applyFont="1" applyFill="1" applyBorder="1" applyAlignment="1">
      <alignment horizontal="center" vertical="center" wrapText="1"/>
    </xf>
    <xf numFmtId="0" fontId="31" fillId="14" borderId="24" xfId="0" applyFont="1" applyFill="1" applyBorder="1" applyAlignment="1">
      <alignment horizontal="center" vertical="center" wrapText="1"/>
    </xf>
    <xf numFmtId="0" fontId="24" fillId="14" borderId="24" xfId="5" applyFill="1" applyBorder="1" applyAlignment="1">
      <alignment horizontal="center" vertical="center" wrapText="1"/>
    </xf>
    <xf numFmtId="14" fontId="0" fillId="14" borderId="24" xfId="0" applyNumberFormat="1" applyFill="1" applyBorder="1" applyAlignment="1">
      <alignment horizontal="center" vertical="center" wrapText="1"/>
    </xf>
    <xf numFmtId="0" fontId="0" fillId="19" borderId="24" xfId="0" applyFill="1" applyBorder="1">
      <alignment vertical="center"/>
    </xf>
    <xf numFmtId="0" fontId="0" fillId="15" borderId="24" xfId="0" applyFill="1" applyBorder="1">
      <alignment vertical="center"/>
    </xf>
    <xf numFmtId="0" fontId="0" fillId="16" borderId="24" xfId="0" applyFill="1" applyBorder="1">
      <alignment vertical="center"/>
    </xf>
    <xf numFmtId="0" fontId="0" fillId="22" borderId="24" xfId="0" applyFill="1" applyBorder="1">
      <alignment vertical="center"/>
    </xf>
    <xf numFmtId="0" fontId="0" fillId="25" borderId="24" xfId="0" applyFill="1" applyBorder="1">
      <alignment vertical="center"/>
    </xf>
    <xf numFmtId="0" fontId="0" fillId="26" borderId="24" xfId="0" applyFill="1" applyBorder="1">
      <alignment vertical="center"/>
    </xf>
    <xf numFmtId="0" fontId="0" fillId="27" borderId="24" xfId="0" applyFill="1" applyBorder="1">
      <alignment vertical="center"/>
    </xf>
    <xf numFmtId="0" fontId="0" fillId="29" borderId="24" xfId="0" applyFill="1" applyBorder="1">
      <alignment vertical="center"/>
    </xf>
    <xf numFmtId="0" fontId="0" fillId="14" borderId="24" xfId="0" applyFill="1" applyBorder="1" applyAlignment="1">
      <alignment vertical="top"/>
    </xf>
    <xf numFmtId="0" fontId="0" fillId="14" borderId="24" xfId="0" applyFill="1" applyBorder="1" applyAlignment="1"/>
    <xf numFmtId="0" fontId="6" fillId="14" borderId="24" xfId="0" applyFont="1" applyFill="1" applyBorder="1" applyAlignment="1">
      <alignment horizontal="center" vertical="center"/>
    </xf>
    <xf numFmtId="0" fontId="6" fillId="0" borderId="48" xfId="0" applyFont="1" applyBorder="1" applyAlignment="1">
      <alignment horizontal="center" vertical="center"/>
    </xf>
    <xf numFmtId="0" fontId="0" fillId="14" borderId="46" xfId="0" applyFill="1" applyBorder="1">
      <alignment vertical="center"/>
    </xf>
    <xf numFmtId="49" fontId="5" fillId="3" borderId="49" xfId="0" applyNumberFormat="1" applyFont="1" applyFill="1" applyBorder="1" applyAlignment="1">
      <alignment vertical="center" wrapText="1"/>
    </xf>
    <xf numFmtId="0" fontId="5" fillId="3" borderId="49" xfId="0" applyFont="1" applyFill="1" applyBorder="1">
      <alignment vertical="center"/>
    </xf>
    <xf numFmtId="1" fontId="10" fillId="12" borderId="49" xfId="0" applyNumberFormat="1" applyFont="1" applyFill="1" applyBorder="1" applyAlignment="1">
      <alignment vertical="center" wrapText="1"/>
    </xf>
    <xf numFmtId="0" fontId="10" fillId="12" borderId="49" xfId="0" applyFont="1" applyFill="1" applyBorder="1" applyAlignment="1">
      <alignment vertical="center" wrapText="1"/>
    </xf>
    <xf numFmtId="0" fontId="10" fillId="22" borderId="49" xfId="0" applyFont="1" applyFill="1" applyBorder="1" applyAlignment="1">
      <alignment vertical="center" wrapText="1"/>
    </xf>
    <xf numFmtId="0" fontId="10" fillId="22" borderId="47" xfId="0" applyFont="1" applyFill="1" applyBorder="1" applyAlignment="1">
      <alignment vertical="center" wrapText="1"/>
    </xf>
    <xf numFmtId="0" fontId="6" fillId="0" borderId="50" xfId="0" applyFont="1" applyBorder="1" applyAlignment="1">
      <alignment horizontal="center" vertical="center"/>
    </xf>
    <xf numFmtId="49" fontId="0" fillId="0" borderId="51" xfId="0" applyNumberFormat="1" applyBorder="1" applyAlignment="1">
      <alignment horizontal="center" vertical="center"/>
    </xf>
    <xf numFmtId="14" fontId="0" fillId="0" borderId="51" xfId="0" applyNumberFormat="1" applyBorder="1" applyAlignment="1">
      <alignment horizontal="center" vertical="center"/>
    </xf>
    <xf numFmtId="0" fontId="0" fillId="0" borderId="51" xfId="0" applyBorder="1" applyAlignment="1">
      <alignment horizontal="center" vertical="center"/>
    </xf>
    <xf numFmtId="0" fontId="0" fillId="0" borderId="51" xfId="0" applyBorder="1" applyAlignment="1">
      <alignment horizontal="left" vertical="center"/>
    </xf>
    <xf numFmtId="0" fontId="0" fillId="14" borderId="51" xfId="0" applyFill="1" applyBorder="1">
      <alignment vertical="center"/>
    </xf>
    <xf numFmtId="0" fontId="0" fillId="14" borderId="52" xfId="0" applyFill="1" applyBorder="1">
      <alignment vertical="center"/>
    </xf>
    <xf numFmtId="0" fontId="0" fillId="19" borderId="24" xfId="0" applyFill="1" applyBorder="1" applyAlignment="1">
      <alignment vertical="center" wrapText="1"/>
    </xf>
    <xf numFmtId="10" fontId="0" fillId="0" borderId="24" xfId="0" applyNumberFormat="1" applyBorder="1">
      <alignment vertical="center"/>
    </xf>
    <xf numFmtId="0" fontId="0" fillId="31" borderId="24" xfId="0" applyFill="1" applyBorder="1">
      <alignment vertical="center"/>
    </xf>
    <xf numFmtId="14" fontId="5" fillId="18" borderId="49" xfId="0" applyNumberFormat="1" applyFont="1" applyFill="1" applyBorder="1">
      <alignment vertical="center"/>
    </xf>
    <xf numFmtId="14" fontId="5" fillId="18" borderId="49" xfId="0" applyNumberFormat="1" applyFont="1" applyFill="1" applyBorder="1" applyAlignment="1">
      <alignment vertical="center" wrapText="1"/>
    </xf>
    <xf numFmtId="49" fontId="5" fillId="18" borderId="49" xfId="0" applyNumberFormat="1" applyFont="1" applyFill="1" applyBorder="1" applyAlignment="1">
      <alignment vertical="center" wrapText="1"/>
    </xf>
    <xf numFmtId="0" fontId="5" fillId="32" borderId="49" xfId="0" applyFont="1" applyFill="1" applyBorder="1">
      <alignment vertical="center"/>
    </xf>
    <xf numFmtId="0" fontId="5" fillId="32" borderId="49" xfId="0" applyFont="1" applyFill="1" applyBorder="1" applyAlignment="1">
      <alignment vertical="center" indent="1"/>
    </xf>
    <xf numFmtId="0" fontId="5" fillId="32" borderId="25" xfId="0" applyFont="1" applyFill="1" applyBorder="1">
      <alignment vertical="center"/>
    </xf>
    <xf numFmtId="49" fontId="0" fillId="19" borderId="24" xfId="0" applyNumberFormat="1" applyFill="1" applyBorder="1" applyAlignment="1">
      <alignment horizontal="center" vertical="center" wrapText="1"/>
    </xf>
    <xf numFmtId="0" fontId="0" fillId="19" borderId="24" xfId="0" applyFill="1" applyBorder="1" applyAlignment="1">
      <alignment horizontal="left" vertical="top" wrapText="1"/>
    </xf>
    <xf numFmtId="0" fontId="0" fillId="19" borderId="24" xfId="0" applyFill="1" applyBorder="1" applyAlignment="1">
      <alignment vertical="top" wrapText="1"/>
    </xf>
    <xf numFmtId="0" fontId="25" fillId="19" borderId="24" xfId="0" applyFont="1" applyFill="1" applyBorder="1" applyAlignment="1">
      <alignment horizontal="center" vertical="top" wrapText="1"/>
    </xf>
    <xf numFmtId="14" fontId="25" fillId="19" borderId="24" xfId="0" applyNumberFormat="1" applyFont="1" applyFill="1" applyBorder="1" applyAlignment="1">
      <alignment horizontal="center" vertical="center" wrapText="1"/>
    </xf>
    <xf numFmtId="0" fontId="25" fillId="19" borderId="24" xfId="0" applyFont="1" applyFill="1" applyBorder="1" applyAlignment="1">
      <alignment horizontal="center" vertical="center" wrapText="1"/>
    </xf>
    <xf numFmtId="0" fontId="26" fillId="19" borderId="24" xfId="5" applyFont="1" applyFill="1" applyBorder="1" applyAlignment="1">
      <alignment horizontal="center" vertical="center" wrapText="1"/>
    </xf>
    <xf numFmtId="0" fontId="31" fillId="19" borderId="24" xfId="0" applyFont="1" applyFill="1" applyBorder="1" applyAlignment="1">
      <alignment horizontal="center" vertical="center" wrapText="1"/>
    </xf>
    <xf numFmtId="0" fontId="27" fillId="19" borderId="24" xfId="0" applyFont="1" applyFill="1" applyBorder="1" applyAlignment="1">
      <alignment horizontal="center" vertical="center" wrapText="1"/>
    </xf>
    <xf numFmtId="0" fontId="38" fillId="19" borderId="48" xfId="0" applyFont="1" applyFill="1" applyBorder="1" applyAlignment="1">
      <alignment horizontal="center" vertical="center"/>
    </xf>
    <xf numFmtId="0" fontId="8" fillId="19" borderId="24" xfId="0" applyFont="1" applyFill="1" applyBorder="1" applyAlignment="1">
      <alignment horizontal="left" vertical="center" wrapText="1"/>
    </xf>
    <xf numFmtId="0" fontId="38" fillId="14" borderId="48" xfId="0" applyFont="1" applyFill="1" applyBorder="1" applyAlignment="1">
      <alignment horizontal="center" vertical="center"/>
    </xf>
    <xf numFmtId="0" fontId="1" fillId="19" borderId="24" xfId="1" applyFill="1" applyBorder="1" applyAlignment="1">
      <alignment horizontal="center" vertical="center"/>
    </xf>
    <xf numFmtId="0" fontId="24" fillId="14" borderId="24" xfId="5" applyNumberFormat="1" applyFill="1" applyBorder="1" applyAlignment="1">
      <alignment horizontal="center" vertical="center" wrapText="1"/>
    </xf>
    <xf numFmtId="0" fontId="26" fillId="14" borderId="24" xfId="1" applyFont="1" applyFill="1" applyBorder="1" applyAlignment="1">
      <alignment horizontal="center" vertical="center" wrapText="1"/>
    </xf>
    <xf numFmtId="0" fontId="1" fillId="14" borderId="24" xfId="1" applyFill="1" applyBorder="1" applyAlignment="1">
      <alignment horizontal="center" vertical="center" wrapText="1"/>
    </xf>
    <xf numFmtId="0" fontId="24" fillId="19" borderId="24" xfId="5" applyNumberFormat="1" applyFill="1" applyBorder="1" applyAlignment="1">
      <alignment horizontal="center" vertical="center" wrapText="1"/>
    </xf>
    <xf numFmtId="0" fontId="24" fillId="19" borderId="24" xfId="1" applyFont="1" applyFill="1" applyBorder="1" applyAlignment="1">
      <alignment horizontal="center" vertical="center" wrapText="1"/>
    </xf>
    <xf numFmtId="14" fontId="25" fillId="14" borderId="24" xfId="0" applyNumberFormat="1" applyFont="1" applyFill="1" applyBorder="1" applyAlignment="1"/>
    <xf numFmtId="14" fontId="25" fillId="19" borderId="24" xfId="0" applyNumberFormat="1" applyFont="1" applyFill="1" applyBorder="1" applyAlignment="1"/>
    <xf numFmtId="0" fontId="7" fillId="33" borderId="24" xfId="0" applyFont="1" applyFill="1" applyBorder="1">
      <alignment vertical="center"/>
    </xf>
    <xf numFmtId="0" fontId="7" fillId="33" borderId="46" xfId="0" applyFont="1" applyFill="1" applyBorder="1">
      <alignment vertical="center"/>
    </xf>
    <xf numFmtId="0" fontId="0" fillId="33" borderId="24" xfId="0" applyFill="1" applyBorder="1">
      <alignment vertical="center"/>
    </xf>
    <xf numFmtId="0" fontId="0" fillId="33" borderId="46" xfId="0" applyFill="1" applyBorder="1">
      <alignment vertical="center"/>
    </xf>
    <xf numFmtId="0" fontId="0" fillId="15" borderId="51" xfId="0" applyFill="1" applyBorder="1">
      <alignment vertical="center"/>
    </xf>
    <xf numFmtId="0" fontId="0" fillId="15" borderId="52" xfId="0" applyFill="1" applyBorder="1">
      <alignment vertical="center"/>
    </xf>
    <xf numFmtId="0" fontId="0" fillId="15" borderId="46" xfId="0" applyFill="1" applyBorder="1">
      <alignment vertical="center"/>
    </xf>
    <xf numFmtId="0" fontId="25" fillId="14" borderId="24" xfId="0" applyFont="1" applyFill="1" applyBorder="1" applyAlignment="1">
      <alignment horizontal="left" vertical="center" wrapText="1"/>
    </xf>
    <xf numFmtId="0" fontId="26" fillId="14" borderId="24" xfId="1" applyFont="1" applyFill="1" applyBorder="1" applyAlignment="1">
      <alignment horizontal="center" vertical="center"/>
    </xf>
    <xf numFmtId="0" fontId="24" fillId="14" borderId="24" xfId="1" applyFont="1" applyFill="1" applyBorder="1" applyAlignment="1">
      <alignment horizontal="center" vertical="center" wrapText="1"/>
    </xf>
    <xf numFmtId="49" fontId="0" fillId="14" borderId="24" xfId="0" applyNumberFormat="1" applyFill="1" applyBorder="1" applyAlignment="1">
      <alignment vertical="center" wrapText="1"/>
    </xf>
    <xf numFmtId="49" fontId="0" fillId="14" borderId="24" xfId="0" applyNumberFormat="1" applyFill="1" applyBorder="1" applyAlignment="1">
      <alignment wrapText="1"/>
    </xf>
    <xf numFmtId="0" fontId="0" fillId="14" borderId="24" xfId="0" applyFill="1" applyBorder="1" applyAlignment="1">
      <alignment wrapText="1"/>
    </xf>
    <xf numFmtId="49" fontId="0" fillId="14" borderId="24" xfId="0" applyNumberFormat="1" applyFill="1" applyBorder="1" applyAlignment="1">
      <alignment horizontal="center" vertical="center" wrapText="1"/>
    </xf>
    <xf numFmtId="0" fontId="0" fillId="14" borderId="51" xfId="0" applyFill="1" applyBorder="1" applyAlignment="1">
      <alignment horizontal="center" vertical="center" wrapText="1"/>
    </xf>
    <xf numFmtId="0" fontId="40" fillId="14" borderId="24" xfId="0" applyFont="1" applyFill="1" applyBorder="1" applyAlignment="1">
      <alignment horizontal="center" vertical="center" wrapText="1"/>
    </xf>
    <xf numFmtId="0" fontId="40" fillId="19" borderId="24" xfId="0" applyFont="1" applyFill="1" applyBorder="1" applyAlignment="1">
      <alignment horizontal="center" vertical="center" wrapText="1"/>
    </xf>
    <xf numFmtId="49" fontId="0" fillId="24" borderId="24" xfId="0" applyNumberFormat="1" applyFill="1" applyBorder="1" applyAlignment="1">
      <alignment horizontal="center" vertical="center" wrapText="1"/>
    </xf>
    <xf numFmtId="0" fontId="40" fillId="24" borderId="24" xfId="0" applyFont="1" applyFill="1" applyBorder="1" applyAlignment="1">
      <alignment horizontal="center" vertical="center" wrapText="1"/>
    </xf>
    <xf numFmtId="14" fontId="0" fillId="24" borderId="24" xfId="0" applyNumberFormat="1" applyFill="1" applyBorder="1" applyAlignment="1">
      <alignment horizontal="center" vertical="center" wrapText="1"/>
    </xf>
    <xf numFmtId="0" fontId="0" fillId="24" borderId="24" xfId="0" applyFill="1" applyBorder="1" applyAlignment="1">
      <alignment horizontal="left" vertical="top" wrapText="1"/>
    </xf>
    <xf numFmtId="0" fontId="0" fillId="24" borderId="24" xfId="0" applyFill="1" applyBorder="1" applyAlignment="1">
      <alignment vertical="top" wrapText="1"/>
    </xf>
    <xf numFmtId="0" fontId="40" fillId="26" borderId="24" xfId="0" applyFont="1" applyFill="1" applyBorder="1" applyAlignment="1">
      <alignment horizontal="center" vertical="center" wrapText="1"/>
    </xf>
    <xf numFmtId="14" fontId="0" fillId="26" borderId="24" xfId="0" applyNumberFormat="1" applyFill="1" applyBorder="1" applyAlignment="1">
      <alignment horizontal="center" vertical="center" wrapText="1"/>
    </xf>
    <xf numFmtId="49" fontId="0" fillId="26" borderId="24" xfId="0" applyNumberFormat="1" applyFill="1" applyBorder="1" applyAlignment="1">
      <alignment wrapText="1"/>
    </xf>
    <xf numFmtId="0" fontId="0" fillId="26" borderId="24" xfId="0" applyFill="1" applyBorder="1" applyAlignment="1">
      <alignment horizontal="left" vertical="top" wrapText="1"/>
    </xf>
    <xf numFmtId="0" fontId="0" fillId="26" borderId="24" xfId="0" applyFill="1" applyBorder="1" applyAlignment="1">
      <alignment horizontal="center" vertical="center" wrapText="1"/>
    </xf>
    <xf numFmtId="0" fontId="40" fillId="27" borderId="24" xfId="0" applyFont="1" applyFill="1" applyBorder="1" applyAlignment="1">
      <alignment horizontal="center" vertical="center" wrapText="1"/>
    </xf>
    <xf numFmtId="0" fontId="0" fillId="34" borderId="24" xfId="0" applyFill="1" applyBorder="1" applyAlignment="1">
      <alignment horizontal="center" vertical="center" wrapText="1"/>
    </xf>
    <xf numFmtId="0" fontId="40" fillId="0" borderId="24" xfId="0" applyFont="1" applyBorder="1" applyAlignment="1">
      <alignment horizontal="center" vertical="center" wrapText="1"/>
    </xf>
    <xf numFmtId="14" fontId="0" fillId="0" borderId="24" xfId="0" applyNumberFormat="1" applyBorder="1" applyAlignment="1">
      <alignment horizontal="center" vertical="center" wrapText="1"/>
    </xf>
    <xf numFmtId="14" fontId="0" fillId="14" borderId="51" xfId="0" applyNumberFormat="1" applyFill="1" applyBorder="1" applyAlignment="1">
      <alignment horizontal="center" vertical="center" wrapText="1"/>
    </xf>
    <xf numFmtId="0" fontId="26" fillId="14" borderId="24" xfId="5" applyFont="1" applyFill="1" applyBorder="1" applyAlignment="1">
      <alignment horizontal="center" vertical="top" wrapText="1"/>
    </xf>
    <xf numFmtId="0" fontId="1" fillId="19" borderId="24" xfId="1" applyFill="1" applyBorder="1" applyAlignment="1">
      <alignment horizontal="center" vertical="center" wrapText="1"/>
    </xf>
    <xf numFmtId="0" fontId="5" fillId="12" borderId="24" xfId="0" applyFont="1" applyFill="1" applyBorder="1">
      <alignment vertical="center"/>
    </xf>
    <xf numFmtId="0" fontId="37" fillId="14" borderId="24" xfId="0" applyFont="1" applyFill="1" applyBorder="1" applyAlignment="1">
      <alignment horizontal="center" vertical="center"/>
    </xf>
    <xf numFmtId="0" fontId="25" fillId="28" borderId="24" xfId="0" applyFont="1" applyFill="1" applyBorder="1" applyAlignment="1">
      <alignment horizontal="center" vertical="center"/>
    </xf>
    <xf numFmtId="0" fontId="38" fillId="28" borderId="48" xfId="0" applyFont="1" applyFill="1" applyBorder="1" applyAlignment="1">
      <alignment horizontal="center" vertical="center"/>
    </xf>
    <xf numFmtId="0" fontId="25" fillId="28" borderId="24" xfId="0" applyFont="1" applyFill="1" applyBorder="1" applyAlignment="1">
      <alignment horizontal="center" vertical="top" wrapText="1"/>
    </xf>
    <xf numFmtId="0" fontId="25" fillId="28" borderId="24" xfId="0" applyFont="1" applyFill="1" applyBorder="1" applyAlignment="1"/>
    <xf numFmtId="14" fontId="25" fillId="28" borderId="24" xfId="0" applyNumberFormat="1" applyFont="1" applyFill="1" applyBorder="1" applyAlignment="1"/>
    <xf numFmtId="14" fontId="25" fillId="28" borderId="24" xfId="0" applyNumberFormat="1" applyFont="1" applyFill="1" applyBorder="1" applyAlignment="1">
      <alignment horizontal="center" vertical="center"/>
    </xf>
    <xf numFmtId="0" fontId="37" fillId="28" borderId="24" xfId="0" applyFont="1" applyFill="1" applyBorder="1" applyAlignment="1">
      <alignment horizontal="center" vertical="center"/>
    </xf>
    <xf numFmtId="0" fontId="24" fillId="28" borderId="24" xfId="5" applyFill="1" applyBorder="1" applyAlignment="1">
      <alignment horizontal="center" vertical="center" wrapText="1"/>
    </xf>
    <xf numFmtId="0" fontId="32" fillId="28" borderId="24" xfId="0" applyFont="1" applyFill="1" applyBorder="1" applyAlignment="1">
      <alignment horizontal="center" vertical="center" wrapText="1"/>
    </xf>
    <xf numFmtId="0" fontId="26" fillId="28" borderId="24" xfId="5" applyFont="1" applyFill="1" applyBorder="1" applyAlignment="1">
      <alignment horizontal="center" vertical="center" wrapText="1"/>
    </xf>
    <xf numFmtId="0" fontId="1" fillId="28" borderId="24" xfId="1" applyFill="1" applyBorder="1" applyAlignment="1">
      <alignment horizontal="center" vertical="center" wrapText="1"/>
    </xf>
    <xf numFmtId="0" fontId="24" fillId="28" borderId="24" xfId="5" applyNumberFormat="1" applyFill="1" applyBorder="1" applyAlignment="1">
      <alignment horizontal="center" vertical="center" wrapText="1"/>
    </xf>
    <xf numFmtId="49" fontId="24" fillId="19" borderId="51" xfId="1" applyNumberFormat="1" applyFont="1" applyFill="1" applyBorder="1" applyAlignment="1">
      <alignment horizontal="center" vertical="center" wrapText="1"/>
    </xf>
    <xf numFmtId="14" fontId="0" fillId="19" borderId="51" xfId="0" applyNumberFormat="1" applyFill="1" applyBorder="1" applyAlignment="1">
      <alignment horizontal="center" vertical="center" wrapText="1"/>
    </xf>
    <xf numFmtId="0" fontId="0" fillId="19" borderId="51" xfId="0" applyFill="1" applyBorder="1" applyAlignment="1">
      <alignment horizontal="left" vertical="top" wrapText="1"/>
    </xf>
    <xf numFmtId="0" fontId="0" fillId="27" borderId="24" xfId="0" applyFill="1" applyBorder="1" applyAlignment="1">
      <alignment horizontal="left" vertical="top" wrapText="1"/>
    </xf>
    <xf numFmtId="0" fontId="0" fillId="14" borderId="51" xfId="0" applyFill="1" applyBorder="1" applyAlignment="1">
      <alignment vertical="center" wrapText="1"/>
    </xf>
    <xf numFmtId="0" fontId="0" fillId="19" borderId="51" xfId="0" applyFill="1" applyBorder="1" applyAlignment="1">
      <alignment horizontal="center" vertical="center" wrapText="1"/>
    </xf>
    <xf numFmtId="0" fontId="0" fillId="19" borderId="51" xfId="0" applyFill="1" applyBorder="1" applyAlignment="1">
      <alignment horizontal="left" vertical="center" wrapText="1"/>
    </xf>
    <xf numFmtId="0" fontId="0" fillId="19" borderId="51" xfId="0" applyFill="1" applyBorder="1" applyAlignment="1">
      <alignment vertical="top" wrapText="1"/>
    </xf>
    <xf numFmtId="0" fontId="0" fillId="27" borderId="24" xfId="0" applyFill="1" applyBorder="1" applyAlignment="1">
      <alignment horizontal="center" vertical="center" wrapText="1"/>
    </xf>
    <xf numFmtId="0" fontId="0" fillId="33" borderId="51" xfId="0" applyFill="1" applyBorder="1">
      <alignment vertical="center"/>
    </xf>
    <xf numFmtId="0" fontId="0" fillId="33" borderId="52" xfId="0" applyFill="1" applyBorder="1">
      <alignment vertical="center"/>
    </xf>
    <xf numFmtId="49" fontId="41" fillId="35" borderId="51" xfId="0" applyNumberFormat="1" applyFont="1" applyFill="1" applyBorder="1" applyAlignment="1">
      <alignment horizontal="center" vertical="center" wrapText="1"/>
    </xf>
    <xf numFmtId="0" fontId="0" fillId="35" borderId="51" xfId="0" applyFill="1" applyBorder="1" applyAlignment="1">
      <alignment horizontal="left" vertical="top" wrapText="1"/>
    </xf>
    <xf numFmtId="0" fontId="0" fillId="35" borderId="51" xfId="0" applyFill="1" applyBorder="1" applyAlignment="1">
      <alignment vertical="top" wrapText="1"/>
    </xf>
    <xf numFmtId="0" fontId="0" fillId="35" borderId="51" xfId="0" applyFill="1" applyBorder="1" applyAlignment="1">
      <alignment horizontal="center" vertical="center" wrapText="1"/>
    </xf>
    <xf numFmtId="0" fontId="29" fillId="14" borderId="24" xfId="0" applyFont="1" applyFill="1" applyBorder="1" applyAlignment="1">
      <alignment horizontal="left" vertical="top" wrapText="1"/>
    </xf>
    <xf numFmtId="0" fontId="0" fillId="36" borderId="24" xfId="0" applyFill="1" applyBorder="1">
      <alignment vertical="center"/>
    </xf>
    <xf numFmtId="0" fontId="0" fillId="37" borderId="24" xfId="0" applyFill="1" applyBorder="1">
      <alignment vertical="center"/>
    </xf>
    <xf numFmtId="0" fontId="25" fillId="38" borderId="24" xfId="0" applyFont="1" applyFill="1" applyBorder="1" applyAlignment="1">
      <alignment horizontal="center" vertical="center" wrapText="1"/>
    </xf>
    <xf numFmtId="49" fontId="24" fillId="38" borderId="24" xfId="5" applyNumberFormat="1" applyFill="1" applyBorder="1" applyAlignment="1">
      <alignment horizontal="center" vertical="center" wrapText="1"/>
    </xf>
    <xf numFmtId="0" fontId="24" fillId="38" borderId="24" xfId="5" applyFill="1" applyBorder="1" applyAlignment="1">
      <alignment horizontal="center" vertical="center" wrapText="1"/>
    </xf>
    <xf numFmtId="49" fontId="24" fillId="38" borderId="24" xfId="1" applyNumberFormat="1" applyFont="1" applyFill="1" applyBorder="1" applyAlignment="1">
      <alignment horizontal="center" vertical="center" wrapText="1"/>
    </xf>
    <xf numFmtId="49" fontId="24" fillId="21" borderId="24" xfId="5" applyNumberFormat="1" applyFill="1" applyBorder="1" applyAlignment="1">
      <alignment horizontal="center" vertical="center" wrapText="1"/>
    </xf>
    <xf numFmtId="0" fontId="6" fillId="39" borderId="0" xfId="0" applyFont="1" applyFill="1" applyAlignment="1">
      <alignment horizontal="center" vertical="center"/>
    </xf>
    <xf numFmtId="0" fontId="0" fillId="40" borderId="24" xfId="0" applyFill="1" applyBorder="1">
      <alignment vertical="center"/>
    </xf>
    <xf numFmtId="0" fontId="6" fillId="0" borderId="24" xfId="0" applyFont="1" applyBorder="1">
      <alignment vertical="center"/>
    </xf>
    <xf numFmtId="0" fontId="6" fillId="0" borderId="0" xfId="0" applyFont="1">
      <alignment vertical="center"/>
    </xf>
    <xf numFmtId="0" fontId="0" fillId="0" borderId="0" xfId="0" pivotButton="1">
      <alignment vertical="center"/>
    </xf>
    <xf numFmtId="49" fontId="41" fillId="19" borderId="24" xfId="0" applyNumberFormat="1" applyFont="1" applyFill="1" applyBorder="1" applyAlignment="1">
      <alignment horizontal="center" vertical="center" wrapText="1"/>
    </xf>
    <xf numFmtId="49" fontId="0" fillId="0" borderId="24" xfId="0" applyNumberFormat="1" applyBorder="1" applyAlignment="1">
      <alignment horizontal="center" vertical="center" wrapText="1"/>
    </xf>
    <xf numFmtId="49" fontId="0" fillId="30" borderId="24" xfId="0" applyNumberFormat="1" applyFill="1" applyBorder="1" applyAlignment="1">
      <alignment horizontal="center" vertical="center" wrapText="1"/>
    </xf>
    <xf numFmtId="0" fontId="40" fillId="30" borderId="24" xfId="0" applyFont="1" applyFill="1" applyBorder="1" applyAlignment="1">
      <alignment horizontal="center" vertical="center" wrapText="1"/>
    </xf>
    <xf numFmtId="0" fontId="0" fillId="30" borderId="24" xfId="0" applyFill="1" applyBorder="1" applyAlignment="1">
      <alignment horizontal="left" vertical="top" wrapText="1"/>
    </xf>
    <xf numFmtId="0" fontId="0" fillId="30" borderId="24" xfId="0" applyFill="1" applyBorder="1" applyAlignment="1">
      <alignment vertical="top" wrapText="1"/>
    </xf>
    <xf numFmtId="0" fontId="0" fillId="30" borderId="24" xfId="0" applyFill="1" applyBorder="1" applyAlignment="1">
      <alignment horizontal="center" vertical="center" wrapText="1"/>
    </xf>
    <xf numFmtId="0" fontId="0" fillId="30" borderId="24" xfId="0" applyFill="1" applyBorder="1" applyAlignment="1">
      <alignment horizontal="left" vertical="center" wrapText="1"/>
    </xf>
    <xf numFmtId="0" fontId="5" fillId="18" borderId="49" xfId="0" applyFont="1" applyFill="1" applyBorder="1" applyAlignment="1">
      <alignment vertical="center" indent="1"/>
    </xf>
    <xf numFmtId="0" fontId="5" fillId="18" borderId="49" xfId="0" applyFont="1" applyFill="1" applyBorder="1" applyAlignment="1">
      <alignment vertical="center" wrapText="1"/>
    </xf>
    <xf numFmtId="0" fontId="0" fillId="33" borderId="24" xfId="0" applyFill="1" applyBorder="1" applyAlignment="1">
      <alignment horizontal="center" vertical="center" wrapText="1"/>
    </xf>
    <xf numFmtId="49" fontId="0" fillId="38" borderId="24" xfId="0" applyNumberFormat="1" applyFill="1" applyBorder="1" applyAlignment="1">
      <alignment horizontal="center" vertical="center" wrapText="1"/>
    </xf>
    <xf numFmtId="49" fontId="24" fillId="27" borderId="24" xfId="5" applyNumberFormat="1" applyFill="1" applyBorder="1" applyAlignment="1">
      <alignment horizontal="center" vertical="center" wrapText="1"/>
    </xf>
    <xf numFmtId="49" fontId="0" fillId="35" borderId="51" xfId="0" applyNumberFormat="1" applyFill="1" applyBorder="1" applyAlignment="1">
      <alignment horizontal="center" vertical="center" wrapText="1"/>
    </xf>
    <xf numFmtId="0" fontId="5" fillId="18" borderId="49" xfId="0" applyFont="1" applyFill="1" applyBorder="1">
      <alignment vertical="center"/>
    </xf>
    <xf numFmtId="0" fontId="34" fillId="14" borderId="24" xfId="0" applyFont="1" applyFill="1" applyBorder="1" applyAlignment="1">
      <alignment horizontal="center" vertical="center" wrapText="1"/>
    </xf>
    <xf numFmtId="14" fontId="0" fillId="27" borderId="24" xfId="0" applyNumberFormat="1" applyFill="1" applyBorder="1" applyAlignment="1">
      <alignment horizontal="center" vertical="center" wrapText="1"/>
    </xf>
    <xf numFmtId="0" fontId="0" fillId="27" borderId="24" xfId="0" applyFill="1" applyBorder="1" applyAlignment="1">
      <alignment horizontal="left" vertical="center" wrapText="1"/>
    </xf>
    <xf numFmtId="14" fontId="0" fillId="35" borderId="51" xfId="0" applyNumberFormat="1" applyFill="1" applyBorder="1" applyAlignment="1">
      <alignment horizontal="center" vertical="center" wrapText="1"/>
    </xf>
    <xf numFmtId="0" fontId="0" fillId="35" borderId="51" xfId="0" applyFill="1" applyBorder="1" applyAlignment="1">
      <alignment horizontal="left" vertical="center" wrapText="1"/>
    </xf>
    <xf numFmtId="49" fontId="41" fillId="19" borderId="51" xfId="0" applyNumberFormat="1" applyFont="1" applyFill="1" applyBorder="1" applyAlignment="1">
      <alignment horizontal="center" vertical="center" wrapText="1"/>
    </xf>
    <xf numFmtId="14" fontId="0" fillId="30" borderId="24" xfId="0" applyNumberFormat="1" applyFill="1" applyBorder="1" applyAlignment="1">
      <alignment horizontal="center" vertical="center" wrapText="1"/>
    </xf>
    <xf numFmtId="0" fontId="6" fillId="0" borderId="49" xfId="0" applyFont="1" applyBorder="1" applyAlignment="1">
      <alignment horizontal="center" vertical="center" wrapText="1"/>
    </xf>
    <xf numFmtId="0" fontId="0" fillId="23" borderId="49" xfId="0" applyFill="1" applyBorder="1" applyAlignment="1">
      <alignment vertical="center" wrapText="1"/>
    </xf>
    <xf numFmtId="0" fontId="0" fillId="23" borderId="24" xfId="0" applyFill="1" applyBorder="1" applyAlignment="1">
      <alignment vertical="center" wrapText="1"/>
    </xf>
    <xf numFmtId="0" fontId="0" fillId="15" borderId="24" xfId="0" applyFill="1" applyBorder="1" applyAlignment="1">
      <alignment vertical="center" wrapText="1"/>
    </xf>
    <xf numFmtId="0" fontId="35" fillId="26" borderId="24" xfId="0" applyFont="1" applyFill="1" applyBorder="1" applyAlignment="1">
      <alignment horizontal="center" vertical="center" wrapText="1"/>
    </xf>
    <xf numFmtId="0" fontId="35" fillId="19" borderId="24" xfId="0" applyFont="1" applyFill="1" applyBorder="1" applyAlignment="1">
      <alignment horizontal="center" vertical="center" wrapText="1"/>
    </xf>
    <xf numFmtId="0" fontId="35" fillId="14" borderId="24" xfId="0" applyFont="1" applyFill="1" applyBorder="1" applyAlignment="1">
      <alignment horizontal="center" vertical="center" wrapText="1"/>
    </xf>
    <xf numFmtId="0" fontId="24" fillId="0" borderId="24" xfId="5" applyBorder="1" applyAlignment="1">
      <alignment vertical="center" wrapText="1"/>
    </xf>
    <xf numFmtId="0" fontId="0" fillId="33" borderId="24" xfId="0" applyFill="1" applyBorder="1" applyAlignment="1">
      <alignment vertical="center" wrapText="1"/>
    </xf>
    <xf numFmtId="0" fontId="35" fillId="0" borderId="24" xfId="0" applyFont="1" applyBorder="1" applyAlignment="1">
      <alignment horizontal="center" vertical="center" wrapText="1"/>
    </xf>
    <xf numFmtId="0" fontId="0" fillId="0" borderId="24" xfId="0" applyBorder="1" applyAlignment="1">
      <alignment vertical="center" wrapText="1"/>
    </xf>
    <xf numFmtId="0" fontId="35" fillId="24" borderId="24" xfId="0" applyFont="1" applyFill="1" applyBorder="1" applyAlignment="1">
      <alignment horizontal="center" vertical="center" wrapText="1"/>
    </xf>
    <xf numFmtId="0" fontId="0" fillId="27" borderId="24" xfId="0" applyFill="1" applyBorder="1" applyAlignment="1">
      <alignment vertical="center" wrapText="1"/>
    </xf>
    <xf numFmtId="0" fontId="7" fillId="33" borderId="24" xfId="0" applyFont="1" applyFill="1" applyBorder="1" applyAlignment="1">
      <alignment vertical="center" wrapText="1"/>
    </xf>
    <xf numFmtId="0" fontId="0" fillId="33" borderId="51" xfId="0" applyFill="1" applyBorder="1" applyAlignment="1">
      <alignment vertical="center" wrapText="1"/>
    </xf>
    <xf numFmtId="0" fontId="0" fillId="19" borderId="51" xfId="0" applyFill="1" applyBorder="1" applyAlignment="1">
      <alignment vertical="center" wrapText="1"/>
    </xf>
    <xf numFmtId="0" fontId="0" fillId="23" borderId="51" xfId="0" applyFill="1" applyBorder="1" applyAlignment="1">
      <alignment vertical="center" wrapText="1"/>
    </xf>
    <xf numFmtId="0" fontId="0" fillId="15" borderId="51" xfId="0" applyFill="1" applyBorder="1" applyAlignment="1">
      <alignment vertical="center" wrapText="1"/>
    </xf>
    <xf numFmtId="0" fontId="0" fillId="35" borderId="24" xfId="0" applyFill="1" applyBorder="1" applyAlignment="1">
      <alignment horizontal="center" vertical="center" wrapText="1"/>
    </xf>
    <xf numFmtId="0" fontId="0" fillId="35" borderId="51" xfId="0" applyFill="1" applyBorder="1" applyAlignment="1">
      <alignment vertical="center" wrapText="1"/>
    </xf>
    <xf numFmtId="0" fontId="0" fillId="30" borderId="24" xfId="0" applyFill="1" applyBorder="1" applyAlignment="1">
      <alignment vertical="center" wrapText="1"/>
    </xf>
    <xf numFmtId="0" fontId="0" fillId="23" borderId="24" xfId="0" applyFill="1" applyBorder="1" applyAlignment="1">
      <alignment vertical="top" wrapText="1"/>
    </xf>
    <xf numFmtId="0" fontId="0" fillId="23" borderId="24" xfId="0" applyFill="1" applyBorder="1" applyAlignment="1">
      <alignment horizontal="left" vertical="center" wrapText="1"/>
    </xf>
    <xf numFmtId="0" fontId="0" fillId="0" borderId="24" xfId="0" applyBorder="1" applyAlignment="1">
      <alignment wrapText="1"/>
    </xf>
    <xf numFmtId="0" fontId="0" fillId="23" borderId="24" xfId="0" applyFill="1" applyBorder="1" applyAlignment="1">
      <alignment wrapText="1"/>
    </xf>
    <xf numFmtId="0" fontId="11" fillId="0" borderId="24" xfId="0" applyFont="1" applyBorder="1" applyAlignment="1">
      <alignment vertical="center" wrapText="1"/>
    </xf>
    <xf numFmtId="0" fontId="6" fillId="0" borderId="24" xfId="0" applyFont="1" applyBorder="1" applyAlignment="1">
      <alignment horizontal="center" vertical="center" wrapText="1"/>
    </xf>
    <xf numFmtId="0" fontId="6" fillId="23" borderId="24" xfId="0" applyFont="1" applyFill="1" applyBorder="1" applyAlignment="1">
      <alignment horizontal="center" vertical="center" wrapText="1"/>
    </xf>
    <xf numFmtId="0" fontId="6" fillId="14" borderId="24" xfId="0" applyFont="1" applyFill="1" applyBorder="1" applyAlignment="1">
      <alignment horizontal="center" vertical="center" wrapText="1"/>
    </xf>
    <xf numFmtId="0" fontId="4" fillId="0" borderId="24" xfId="0" applyFont="1" applyBorder="1" applyAlignment="1">
      <alignment vertical="center" wrapText="1"/>
    </xf>
    <xf numFmtId="1" fontId="0" fillId="0" borderId="24" xfId="0" applyNumberFormat="1" applyBorder="1" applyAlignment="1">
      <alignment horizontal="center" vertical="center" wrapText="1"/>
    </xf>
    <xf numFmtId="0" fontId="0" fillId="26" borderId="24" xfId="0" applyFill="1" applyBorder="1" applyAlignment="1">
      <alignment vertical="top" wrapText="1"/>
    </xf>
    <xf numFmtId="0" fontId="8" fillId="26" borderId="24" xfId="0" applyFont="1" applyFill="1" applyBorder="1" applyAlignment="1">
      <alignment vertical="top" wrapText="1"/>
    </xf>
    <xf numFmtId="0" fontId="0" fillId="19" borderId="24" xfId="0" applyFill="1" applyBorder="1" applyAlignment="1">
      <alignment horizontal="center" vertical="center" wrapText="1" indent="1"/>
    </xf>
    <xf numFmtId="0" fontId="25" fillId="26" borderId="24" xfId="0" applyFont="1" applyFill="1" applyBorder="1" applyAlignment="1">
      <alignment horizontal="center" vertical="center" wrapText="1"/>
    </xf>
    <xf numFmtId="0" fontId="0" fillId="26" borderId="24" xfId="0" applyFill="1" applyBorder="1" applyAlignment="1">
      <alignment horizontal="center" vertical="center" wrapText="1" indent="1"/>
    </xf>
    <xf numFmtId="0" fontId="0" fillId="14" borderId="24" xfId="0" applyFill="1" applyBorder="1" applyAlignment="1">
      <alignment horizontal="center" vertical="center" wrapText="1" indent="1"/>
    </xf>
    <xf numFmtId="0" fontId="25" fillId="0" borderId="24" xfId="0" applyFont="1" applyBorder="1" applyAlignment="1">
      <alignment horizontal="center" vertical="center" wrapText="1"/>
    </xf>
    <xf numFmtId="0" fontId="0" fillId="0" borderId="24" xfId="0" applyBorder="1" applyAlignment="1">
      <alignment horizontal="center" vertical="center" wrapText="1" indent="1"/>
    </xf>
    <xf numFmtId="0" fontId="25" fillId="24" borderId="24" xfId="0" applyFont="1" applyFill="1" applyBorder="1" applyAlignment="1">
      <alignment horizontal="center" vertical="center" wrapText="1"/>
    </xf>
    <xf numFmtId="0" fontId="0" fillId="24" borderId="24" xfId="0" applyFill="1" applyBorder="1" applyAlignment="1">
      <alignment horizontal="center" vertical="center" wrapText="1" indent="1"/>
    </xf>
    <xf numFmtId="16" fontId="25" fillId="14" borderId="24" xfId="0" applyNumberFormat="1" applyFont="1" applyFill="1" applyBorder="1" applyAlignment="1">
      <alignment horizontal="center" vertical="center" wrapText="1"/>
    </xf>
    <xf numFmtId="0" fontId="0" fillId="27" borderId="24" xfId="0" applyFill="1" applyBorder="1" applyAlignment="1">
      <alignment horizontal="center" vertical="center" wrapText="1" indent="1"/>
    </xf>
    <xf numFmtId="0" fontId="0" fillId="27" borderId="24" xfId="0" applyFill="1" applyBorder="1" applyAlignment="1">
      <alignment vertical="top" wrapText="1"/>
    </xf>
    <xf numFmtId="14" fontId="25" fillId="19" borderId="24" xfId="0" applyNumberFormat="1" applyFont="1" applyFill="1" applyBorder="1" applyAlignment="1">
      <alignment wrapText="1"/>
    </xf>
    <xf numFmtId="16" fontId="25" fillId="14" borderId="24" xfId="0" applyNumberFormat="1" applyFont="1" applyFill="1" applyBorder="1" applyAlignment="1">
      <alignment wrapText="1"/>
    </xf>
    <xf numFmtId="16" fontId="0" fillId="14" borderId="24" xfId="0" applyNumberFormat="1" applyFill="1" applyBorder="1" applyAlignment="1">
      <alignment vertical="center" wrapText="1"/>
    </xf>
    <xf numFmtId="0" fontId="0" fillId="19" borderId="51" xfId="0" applyFill="1" applyBorder="1" applyAlignment="1">
      <alignment horizontal="center" vertical="center" wrapText="1" indent="1"/>
    </xf>
    <xf numFmtId="0" fontId="0" fillId="35" borderId="51" xfId="0" applyFill="1" applyBorder="1" applyAlignment="1">
      <alignment horizontal="center" vertical="center" wrapText="1" indent="1"/>
    </xf>
    <xf numFmtId="0" fontId="0" fillId="30" borderId="24" xfId="0" applyFill="1" applyBorder="1" applyAlignment="1">
      <alignment horizontal="center" vertical="center" wrapText="1" indent="1"/>
    </xf>
    <xf numFmtId="49" fontId="24" fillId="35" borderId="24" xfId="1" applyNumberFormat="1" applyFont="1" applyFill="1" applyBorder="1" applyAlignment="1">
      <alignment horizontal="center" vertical="center" wrapText="1"/>
    </xf>
    <xf numFmtId="14" fontId="0" fillId="35" borderId="24" xfId="0" applyNumberFormat="1" applyFill="1" applyBorder="1" applyAlignment="1">
      <alignment horizontal="center" vertical="center" wrapText="1"/>
    </xf>
    <xf numFmtId="0" fontId="0" fillId="35" borderId="24" xfId="0" applyFill="1" applyBorder="1" applyAlignment="1">
      <alignment horizontal="left" vertical="top" wrapText="1"/>
    </xf>
    <xf numFmtId="0" fontId="0" fillId="35" borderId="24" xfId="0" applyFill="1" applyBorder="1" applyAlignment="1">
      <alignment horizontal="left" vertical="center" wrapText="1"/>
    </xf>
    <xf numFmtId="0" fontId="25" fillId="35" borderId="24" xfId="0" applyFont="1" applyFill="1" applyBorder="1" applyAlignment="1">
      <alignment horizontal="center" vertical="center" wrapText="1"/>
    </xf>
    <xf numFmtId="0" fontId="0" fillId="35" borderId="24" xfId="0" applyFill="1" applyBorder="1" applyAlignment="1">
      <alignment horizontal="center" vertical="center" wrapText="1" indent="1"/>
    </xf>
    <xf numFmtId="0" fontId="0" fillId="35" borderId="24" xfId="0" applyFill="1" applyBorder="1" applyAlignment="1">
      <alignment vertical="top" wrapText="1"/>
    </xf>
    <xf numFmtId="0" fontId="35" fillId="35" borderId="24" xfId="0" applyFont="1" applyFill="1" applyBorder="1" applyAlignment="1">
      <alignment horizontal="center" vertical="center" wrapText="1"/>
    </xf>
    <xf numFmtId="0" fontId="0" fillId="35" borderId="24" xfId="0" applyFill="1" applyBorder="1" applyAlignment="1">
      <alignment vertical="center" wrapText="1"/>
    </xf>
    <xf numFmtId="0" fontId="0" fillId="35" borderId="24" xfId="0" applyFill="1" applyBorder="1">
      <alignment vertical="center"/>
    </xf>
    <xf numFmtId="0" fontId="0" fillId="35" borderId="46" xfId="0" applyFill="1" applyBorder="1">
      <alignment vertical="center"/>
    </xf>
    <xf numFmtId="49" fontId="0" fillId="35" borderId="24" xfId="0" applyNumberFormat="1" applyFill="1" applyBorder="1" applyAlignment="1">
      <alignment horizontal="center" vertical="center" wrapText="1"/>
    </xf>
    <xf numFmtId="0" fontId="40" fillId="35" borderId="24" xfId="0" applyFont="1" applyFill="1" applyBorder="1" applyAlignment="1">
      <alignment horizontal="center" vertical="center" wrapText="1"/>
    </xf>
    <xf numFmtId="14" fontId="25" fillId="35" borderId="24" xfId="0" applyNumberFormat="1" applyFont="1" applyFill="1" applyBorder="1" applyAlignment="1">
      <alignment horizontal="center" vertical="center" wrapText="1"/>
    </xf>
    <xf numFmtId="0" fontId="25" fillId="35" borderId="24" xfId="0" applyFont="1" applyFill="1" applyBorder="1" applyAlignment="1">
      <alignment horizontal="left" vertical="center" wrapText="1"/>
    </xf>
    <xf numFmtId="0" fontId="25" fillId="35" borderId="24" xfId="0" applyFont="1" applyFill="1" applyBorder="1" applyAlignment="1">
      <alignment wrapText="1"/>
    </xf>
    <xf numFmtId="0" fontId="36" fillId="35" borderId="24" xfId="0" applyFont="1" applyFill="1" applyBorder="1" applyAlignment="1">
      <alignment horizontal="center" vertical="center" wrapText="1"/>
    </xf>
    <xf numFmtId="0" fontId="0" fillId="35" borderId="46" xfId="0" applyFill="1" applyBorder="1" applyAlignment="1">
      <alignment vertical="center" wrapText="1"/>
    </xf>
    <xf numFmtId="14" fontId="25" fillId="35" borderId="24" xfId="0" applyNumberFormat="1" applyFont="1" applyFill="1" applyBorder="1" applyAlignment="1">
      <alignment wrapText="1"/>
    </xf>
    <xf numFmtId="0" fontId="27" fillId="35" borderId="24" xfId="0" applyFont="1" applyFill="1" applyBorder="1" applyAlignment="1">
      <alignment horizontal="center" vertical="center" wrapText="1"/>
    </xf>
    <xf numFmtId="0" fontId="28" fillId="35" borderId="24" xfId="0" applyFont="1" applyFill="1" applyBorder="1" applyAlignment="1">
      <alignment horizontal="left" vertical="center" wrapText="1"/>
    </xf>
    <xf numFmtId="0" fontId="26" fillId="35" borderId="24" xfId="5" applyFont="1" applyFill="1" applyBorder="1" applyAlignment="1">
      <alignment horizontal="center" vertical="center" wrapText="1"/>
    </xf>
    <xf numFmtId="0" fontId="31" fillId="35" borderId="24" xfId="0" applyFont="1" applyFill="1" applyBorder="1" applyAlignment="1">
      <alignment horizontal="center" vertical="center" wrapText="1"/>
    </xf>
    <xf numFmtId="0" fontId="25" fillId="35" borderId="24" xfId="0" applyFont="1" applyFill="1" applyBorder="1" applyAlignment="1">
      <alignment vertical="top" wrapText="1"/>
    </xf>
    <xf numFmtId="49" fontId="1" fillId="35" borderId="24" xfId="1" applyNumberFormat="1" applyFill="1" applyBorder="1" applyAlignment="1">
      <alignment horizontal="center" vertical="center" wrapText="1"/>
    </xf>
    <xf numFmtId="14" fontId="30" fillId="35" borderId="24" xfId="1" applyNumberFormat="1" applyFont="1" applyFill="1" applyBorder="1" applyAlignment="1">
      <alignment horizontal="center" vertical="center" wrapText="1"/>
    </xf>
    <xf numFmtId="49" fontId="24" fillId="35" borderId="24" xfId="5" applyNumberFormat="1" applyFill="1" applyBorder="1" applyAlignment="1">
      <alignment horizontal="center" vertical="center" wrapText="1"/>
    </xf>
    <xf numFmtId="0" fontId="40" fillId="35" borderId="24" xfId="0" applyFont="1" applyFill="1" applyBorder="1" applyAlignment="1">
      <alignment horizontal="center" vertical="top" wrapText="1"/>
    </xf>
    <xf numFmtId="14" fontId="0" fillId="35" borderId="24" xfId="0" applyNumberFormat="1" applyFill="1" applyBorder="1" applyAlignment="1">
      <alignment vertical="center" wrapText="1"/>
    </xf>
    <xf numFmtId="0" fontId="24" fillId="35" borderId="24" xfId="5" applyFill="1" applyBorder="1" applyAlignment="1">
      <alignment horizontal="center" vertical="center" wrapText="1"/>
    </xf>
    <xf numFmtId="16" fontId="0" fillId="35" borderId="24" xfId="0" applyNumberFormat="1" applyFill="1" applyBorder="1" applyAlignment="1">
      <alignment vertical="center" wrapText="1"/>
    </xf>
    <xf numFmtId="0" fontId="30" fillId="35" borderId="24" xfId="0" applyFont="1" applyFill="1" applyBorder="1" applyAlignment="1">
      <alignment vertical="center" wrapText="1"/>
    </xf>
    <xf numFmtId="16" fontId="0" fillId="35" borderId="24" xfId="0" applyNumberFormat="1" applyFill="1" applyBorder="1" applyAlignment="1">
      <alignment horizontal="center" vertical="center" wrapText="1"/>
    </xf>
    <xf numFmtId="49" fontId="0" fillId="35" borderId="24" xfId="0" applyNumberFormat="1" applyFill="1" applyBorder="1" applyAlignment="1">
      <alignment horizontal="left" vertical="center" wrapText="1"/>
    </xf>
    <xf numFmtId="0" fontId="24" fillId="35" borderId="24" xfId="1" applyFont="1" applyFill="1" applyBorder="1" applyAlignment="1">
      <alignment horizontal="center" vertical="center" wrapText="1"/>
    </xf>
    <xf numFmtId="49" fontId="0" fillId="35" borderId="24" xfId="0" applyNumberFormat="1" applyFill="1" applyBorder="1" applyAlignment="1">
      <alignment wrapText="1"/>
    </xf>
    <xf numFmtId="0" fontId="4" fillId="35" borderId="24" xfId="0" applyFont="1" applyFill="1" applyBorder="1" applyAlignment="1">
      <alignment vertical="center" wrapText="1"/>
    </xf>
    <xf numFmtId="49" fontId="24" fillId="35" borderId="51" xfId="5" applyNumberFormat="1" applyFill="1" applyBorder="1" applyAlignment="1">
      <alignment horizontal="center" vertical="center" wrapText="1"/>
    </xf>
    <xf numFmtId="0" fontId="25" fillId="35" borderId="51" xfId="0" applyFont="1" applyFill="1" applyBorder="1" applyAlignment="1">
      <alignment horizontal="center" vertical="center" wrapText="1"/>
    </xf>
    <xf numFmtId="0" fontId="0" fillId="35" borderId="51" xfId="0" applyFill="1" applyBorder="1">
      <alignment vertical="center"/>
    </xf>
    <xf numFmtId="0" fontId="0" fillId="35" borderId="52" xfId="0" applyFill="1" applyBorder="1">
      <alignment vertical="center"/>
    </xf>
    <xf numFmtId="0" fontId="25" fillId="35" borderId="24" xfId="0" applyFont="1" applyFill="1" applyBorder="1" applyAlignment="1">
      <alignment vertical="center" wrapText="1"/>
    </xf>
    <xf numFmtId="0" fontId="33" fillId="35" borderId="24" xfId="0" applyFont="1" applyFill="1" applyBorder="1" applyAlignment="1">
      <alignment vertical="center" wrapText="1"/>
    </xf>
    <xf numFmtId="49" fontId="41" fillId="35" borderId="24" xfId="0" applyNumberFormat="1" applyFont="1" applyFill="1" applyBorder="1" applyAlignment="1">
      <alignment horizontal="center" vertical="center" wrapText="1"/>
    </xf>
    <xf numFmtId="0" fontId="24" fillId="35" borderId="0" xfId="5" applyFill="1" applyAlignment="1">
      <alignment vertical="center" wrapText="1"/>
    </xf>
    <xf numFmtId="49" fontId="24" fillId="14" borderId="24" xfId="5" applyNumberFormat="1" applyFill="1" applyBorder="1" applyAlignment="1">
      <alignment horizontal="center" vertical="center" wrapText="1"/>
    </xf>
    <xf numFmtId="0" fontId="26" fillId="19" borderId="51" xfId="5" applyFont="1" applyFill="1" applyBorder="1" applyAlignment="1">
      <alignment horizontal="center" vertical="center" wrapText="1"/>
    </xf>
    <xf numFmtId="49" fontId="0" fillId="19" borderId="51" xfId="0" applyNumberFormat="1" applyFill="1" applyBorder="1" applyAlignment="1">
      <alignment horizontal="center" vertical="center" wrapText="1"/>
    </xf>
    <xf numFmtId="0" fontId="25" fillId="19" borderId="51" xfId="0" applyFont="1" applyFill="1" applyBorder="1" applyAlignment="1">
      <alignment horizontal="center" vertical="center" wrapText="1"/>
    </xf>
    <xf numFmtId="49" fontId="0" fillId="19" borderId="0" xfId="0" applyNumberFormat="1" applyFill="1" applyAlignment="1">
      <alignment horizontal="center" vertical="center" wrapText="1"/>
    </xf>
    <xf numFmtId="0" fontId="40" fillId="19" borderId="51" xfId="0" applyFont="1" applyFill="1" applyBorder="1" applyAlignment="1">
      <alignment horizontal="center" vertical="center" wrapText="1"/>
    </xf>
    <xf numFmtId="14" fontId="0" fillId="16" borderId="24" xfId="0" applyNumberFormat="1" applyFill="1" applyBorder="1" applyAlignment="1">
      <alignment horizontal="center" vertical="center" wrapText="1"/>
    </xf>
    <xf numFmtId="14" fontId="0" fillId="33" borderId="51" xfId="0" applyNumberFormat="1" applyFill="1" applyBorder="1" applyAlignment="1">
      <alignment horizontal="center" vertical="center" wrapText="1"/>
    </xf>
    <xf numFmtId="14" fontId="25" fillId="19" borderId="51" xfId="0" applyNumberFormat="1" applyFont="1" applyFill="1" applyBorder="1" applyAlignment="1">
      <alignment horizontal="center" vertical="center" wrapText="1"/>
    </xf>
    <xf numFmtId="0" fontId="25" fillId="19" borderId="51" xfId="0" applyFont="1" applyFill="1" applyBorder="1" applyAlignment="1">
      <alignment horizontal="left" vertical="center" wrapText="1"/>
    </xf>
    <xf numFmtId="0" fontId="29" fillId="35" borderId="24" xfId="0" applyFont="1" applyFill="1" applyBorder="1" applyAlignment="1">
      <alignment horizontal="left" vertical="top" wrapText="1"/>
    </xf>
    <xf numFmtId="0" fontId="0" fillId="35" borderId="0" xfId="0" applyFill="1" applyAlignment="1">
      <alignment horizontal="left" vertical="top" wrapText="1"/>
    </xf>
    <xf numFmtId="0" fontId="25" fillId="19" borderId="0" xfId="0" applyFont="1" applyFill="1" applyAlignment="1">
      <alignment horizontal="left" vertical="center" wrapText="1"/>
    </xf>
    <xf numFmtId="0" fontId="0" fillId="35" borderId="0" xfId="0" applyFill="1" applyAlignment="1">
      <alignment vertical="center" wrapText="1"/>
    </xf>
    <xf numFmtId="0" fontId="0" fillId="19" borderId="0" xfId="0" applyFill="1" applyAlignment="1">
      <alignment horizontal="left" vertical="top" wrapText="1"/>
    </xf>
    <xf numFmtId="0" fontId="25" fillId="14" borderId="51" xfId="0" applyFont="1" applyFill="1" applyBorder="1" applyAlignment="1">
      <alignment wrapText="1"/>
    </xf>
    <xf numFmtId="16" fontId="37" fillId="14" borderId="51" xfId="0" applyNumberFormat="1" applyFont="1" applyFill="1" applyBorder="1" applyAlignment="1">
      <alignment horizontal="center" vertical="center" wrapText="1"/>
    </xf>
    <xf numFmtId="16" fontId="0" fillId="19" borderId="51" xfId="0" applyNumberFormat="1" applyFill="1" applyBorder="1" applyAlignment="1">
      <alignment horizontal="center" vertical="center" wrapText="1"/>
    </xf>
    <xf numFmtId="16" fontId="0" fillId="14" borderId="51" xfId="0" applyNumberFormat="1" applyFill="1" applyBorder="1" applyAlignment="1">
      <alignment vertical="center" wrapText="1"/>
    </xf>
    <xf numFmtId="0" fontId="25" fillId="14" borderId="49" xfId="0" applyFont="1" applyFill="1" applyBorder="1" applyAlignment="1">
      <alignment wrapText="1"/>
    </xf>
    <xf numFmtId="0" fontId="30" fillId="19" borderId="51" xfId="0" applyFont="1" applyFill="1" applyBorder="1" applyAlignment="1">
      <alignment vertical="center" wrapText="1"/>
    </xf>
    <xf numFmtId="0" fontId="0" fillId="33" borderId="51" xfId="0" applyFill="1" applyBorder="1" applyAlignment="1">
      <alignment vertical="top" wrapText="1"/>
    </xf>
    <xf numFmtId="0" fontId="24" fillId="0" borderId="24" xfId="1" applyFont="1" applyBorder="1" applyAlignment="1">
      <alignment vertical="center" wrapText="1"/>
    </xf>
    <xf numFmtId="0" fontId="24" fillId="19" borderId="51" xfId="5" applyFill="1" applyBorder="1" applyAlignment="1">
      <alignment vertical="center" wrapText="1"/>
    </xf>
    <xf numFmtId="0" fontId="24" fillId="35" borderId="51" xfId="5" applyFill="1" applyBorder="1" applyAlignment="1">
      <alignment vertical="center" wrapText="1"/>
    </xf>
    <xf numFmtId="0" fontId="0" fillId="35" borderId="0" xfId="0" applyFill="1" applyAlignment="1">
      <alignment vertical="top" wrapText="1"/>
    </xf>
    <xf numFmtId="0" fontId="24" fillId="35" borderId="51" xfId="1" applyFont="1" applyFill="1" applyBorder="1" applyAlignment="1">
      <alignment vertical="top" wrapText="1"/>
    </xf>
    <xf numFmtId="0" fontId="24" fillId="35" borderId="24" xfId="5" applyFill="1" applyBorder="1" applyAlignment="1">
      <alignment vertical="center" wrapText="1"/>
    </xf>
    <xf numFmtId="0" fontId="35" fillId="19" borderId="51" xfId="0" applyFont="1" applyFill="1" applyBorder="1" applyAlignment="1">
      <alignment horizontal="center" vertical="center" wrapText="1"/>
    </xf>
    <xf numFmtId="0" fontId="0" fillId="19" borderId="51" xfId="0" applyFill="1" applyBorder="1">
      <alignment vertical="center"/>
    </xf>
    <xf numFmtId="0" fontId="0" fillId="19" borderId="52" xfId="0" applyFill="1" applyBorder="1">
      <alignment vertical="center"/>
    </xf>
    <xf numFmtId="49" fontId="24" fillId="19" borderId="51" xfId="5" applyNumberFormat="1" applyFill="1" applyBorder="1" applyAlignment="1">
      <alignment horizontal="center" vertical="center" wrapText="1"/>
    </xf>
    <xf numFmtId="49" fontId="0" fillId="35" borderId="0" xfId="0" applyNumberFormat="1" applyFill="1" applyAlignment="1">
      <alignment horizontal="center" vertical="center" wrapText="1"/>
    </xf>
    <xf numFmtId="49" fontId="0" fillId="19" borderId="51" xfId="0" applyNumberFormat="1" applyFill="1" applyBorder="1" applyAlignment="1">
      <alignment wrapText="1"/>
    </xf>
    <xf numFmtId="0" fontId="0" fillId="19" borderId="0" xfId="0" applyFill="1" applyAlignment="1">
      <alignment vertical="top" wrapText="1"/>
    </xf>
    <xf numFmtId="0" fontId="44" fillId="35" borderId="51" xfId="0" applyFont="1" applyFill="1" applyBorder="1" applyAlignment="1">
      <alignment vertical="center" wrapText="1"/>
    </xf>
    <xf numFmtId="0" fontId="44" fillId="19" borderId="24" xfId="0" applyFont="1" applyFill="1" applyBorder="1" applyAlignment="1">
      <alignment vertical="center" wrapText="1"/>
    </xf>
    <xf numFmtId="16" fontId="0" fillId="14" borderId="51" xfId="0" applyNumberFormat="1" applyFill="1" applyBorder="1" applyAlignment="1">
      <alignment horizontal="center" vertical="center" wrapText="1"/>
    </xf>
    <xf numFmtId="0" fontId="25" fillId="14" borderId="51" xfId="0" applyFont="1" applyFill="1" applyBorder="1" applyAlignment="1">
      <alignment horizontal="center" wrapText="1"/>
    </xf>
    <xf numFmtId="0" fontId="24" fillId="35" borderId="0" xfId="5" applyFill="1" applyBorder="1" applyAlignment="1">
      <alignment vertical="center" wrapText="1"/>
    </xf>
    <xf numFmtId="0" fontId="24" fillId="35" borderId="51" xfId="1" applyFont="1" applyFill="1" applyBorder="1" applyAlignment="1">
      <alignment vertical="center" wrapText="1"/>
    </xf>
    <xf numFmtId="0" fontId="24" fillId="0" borderId="0" xfId="5" applyBorder="1" applyAlignment="1">
      <alignment vertical="center" wrapText="1"/>
    </xf>
    <xf numFmtId="0" fontId="43" fillId="19" borderId="51" xfId="0" applyFont="1" applyFill="1" applyBorder="1" applyAlignment="1">
      <alignment vertical="center" wrapText="1"/>
    </xf>
    <xf numFmtId="0" fontId="29" fillId="19" borderId="51" xfId="0" applyFont="1" applyFill="1" applyBorder="1" applyAlignment="1">
      <alignment horizontal="left" vertical="top" wrapText="1"/>
    </xf>
    <xf numFmtId="0" fontId="6" fillId="19" borderId="51" xfId="0" applyFont="1" applyFill="1" applyBorder="1" applyAlignment="1">
      <alignment vertical="top" wrapText="1"/>
    </xf>
    <xf numFmtId="49" fontId="0" fillId="28" borderId="24" xfId="0" applyNumberFormat="1" applyFill="1" applyBorder="1" applyAlignment="1">
      <alignment horizontal="center" vertical="center" wrapText="1"/>
    </xf>
    <xf numFmtId="49" fontId="41" fillId="28" borderId="24" xfId="0" applyNumberFormat="1" applyFont="1" applyFill="1" applyBorder="1" applyAlignment="1">
      <alignment horizontal="center" vertical="center" wrapText="1"/>
    </xf>
    <xf numFmtId="14" fontId="0" fillId="28" borderId="24" xfId="0" applyNumberFormat="1" applyFill="1" applyBorder="1" applyAlignment="1">
      <alignment horizontal="center" vertical="center" wrapText="1"/>
    </xf>
    <xf numFmtId="0" fontId="0" fillId="28" borderId="24" xfId="0" applyFill="1" applyBorder="1" applyAlignment="1">
      <alignment horizontal="left" vertical="top" wrapText="1"/>
    </xf>
    <xf numFmtId="0" fontId="44" fillId="28" borderId="24" xfId="0" applyFont="1" applyFill="1" applyBorder="1" applyAlignment="1">
      <alignment vertical="center" wrapText="1"/>
    </xf>
    <xf numFmtId="0" fontId="0" fillId="28" borderId="24" xfId="0" applyFill="1" applyBorder="1" applyAlignment="1">
      <alignment horizontal="center" vertical="center" wrapText="1"/>
    </xf>
    <xf numFmtId="0" fontId="0" fillId="28" borderId="24" xfId="0" applyFill="1" applyBorder="1" applyAlignment="1">
      <alignment horizontal="left" vertical="center" wrapText="1"/>
    </xf>
    <xf numFmtId="0" fontId="0" fillId="28" borderId="24" xfId="0" applyFill="1" applyBorder="1" applyAlignment="1">
      <alignment horizontal="center" vertical="center"/>
    </xf>
    <xf numFmtId="0" fontId="0" fillId="28" borderId="24" xfId="0" applyFill="1" applyBorder="1" applyAlignment="1">
      <alignment horizontal="center" vertical="center" indent="1"/>
    </xf>
    <xf numFmtId="14" fontId="0" fillId="28" borderId="24" xfId="0" applyNumberFormat="1" applyFill="1" applyBorder="1" applyAlignment="1">
      <alignment horizontal="center" vertical="center"/>
    </xf>
    <xf numFmtId="0" fontId="0" fillId="28" borderId="24" xfId="0" applyFill="1" applyBorder="1" applyAlignment="1">
      <alignment vertical="top"/>
    </xf>
    <xf numFmtId="0" fontId="0" fillId="28" borderId="24" xfId="0" applyFill="1" applyBorder="1" applyAlignment="1">
      <alignment vertical="top" wrapText="1"/>
    </xf>
    <xf numFmtId="0" fontId="0" fillId="28" borderId="24" xfId="0" applyFill="1" applyBorder="1" applyAlignment="1">
      <alignment vertical="center" wrapText="1"/>
    </xf>
    <xf numFmtId="0" fontId="44" fillId="28" borderId="24" xfId="0" applyFont="1" applyFill="1" applyBorder="1" applyAlignment="1">
      <alignment vertical="top" wrapText="1"/>
    </xf>
    <xf numFmtId="0" fontId="32" fillId="38" borderId="0" xfId="0" applyFont="1" applyFill="1" applyAlignment="1">
      <alignment horizontal="center" vertical="center" wrapText="1"/>
    </xf>
    <xf numFmtId="0" fontId="0" fillId="24" borderId="0" xfId="0" applyFill="1" applyAlignment="1">
      <alignment vertical="top" wrapText="1"/>
    </xf>
    <xf numFmtId="49" fontId="0" fillId="33" borderId="24" xfId="0" applyNumberFormat="1" applyFill="1" applyBorder="1" applyAlignment="1">
      <alignment horizontal="center" vertical="center" wrapText="1"/>
    </xf>
    <xf numFmtId="49" fontId="41" fillId="33" borderId="51" xfId="0" applyNumberFormat="1" applyFont="1" applyFill="1" applyBorder="1" applyAlignment="1">
      <alignment horizontal="center" vertical="center" wrapText="1"/>
    </xf>
    <xf numFmtId="49" fontId="41" fillId="33" borderId="24" xfId="0" applyNumberFormat="1" applyFont="1" applyFill="1" applyBorder="1" applyAlignment="1">
      <alignment horizontal="center" vertical="center" wrapText="1"/>
    </xf>
    <xf numFmtId="14" fontId="0" fillId="33" borderId="24" xfId="0" applyNumberFormat="1" applyFill="1" applyBorder="1" applyAlignment="1">
      <alignment horizontal="center" vertical="center" wrapText="1"/>
    </xf>
    <xf numFmtId="0" fontId="0" fillId="33" borderId="24" xfId="0" applyFill="1" applyBorder="1" applyAlignment="1">
      <alignment horizontal="left" vertical="top" wrapText="1"/>
    </xf>
    <xf numFmtId="0" fontId="34" fillId="33" borderId="24" xfId="0" applyFont="1" applyFill="1" applyBorder="1" applyAlignment="1">
      <alignment horizontal="left" vertical="center" wrapText="1"/>
    </xf>
    <xf numFmtId="0" fontId="0" fillId="33" borderId="24" xfId="0" applyFill="1" applyBorder="1" applyAlignment="1">
      <alignment horizontal="center" vertical="center" wrapText="1" indent="1"/>
    </xf>
    <xf numFmtId="0" fontId="0" fillId="33" borderId="24" xfId="0" applyFill="1" applyBorder="1" applyAlignment="1">
      <alignment vertical="top" wrapText="1"/>
    </xf>
    <xf numFmtId="0" fontId="0" fillId="33" borderId="53" xfId="0" applyFill="1" applyBorder="1" applyAlignment="1">
      <alignment vertical="top" wrapText="1"/>
    </xf>
    <xf numFmtId="49" fontId="0" fillId="15" borderId="24" xfId="0" applyNumberFormat="1" applyFill="1" applyBorder="1" applyAlignment="1">
      <alignment horizontal="center" vertical="center" wrapText="1"/>
    </xf>
    <xf numFmtId="49" fontId="41" fillId="15" borderId="51" xfId="0" applyNumberFormat="1" applyFont="1" applyFill="1" applyBorder="1" applyAlignment="1">
      <alignment horizontal="center" vertical="center" wrapText="1"/>
    </xf>
    <xf numFmtId="49" fontId="41" fillId="15" borderId="24" xfId="0" applyNumberFormat="1" applyFont="1" applyFill="1" applyBorder="1" applyAlignment="1">
      <alignment horizontal="center" vertical="center" wrapText="1"/>
    </xf>
    <xf numFmtId="14" fontId="0" fillId="15" borderId="24" xfId="0" applyNumberFormat="1" applyFill="1" applyBorder="1" applyAlignment="1">
      <alignment horizontal="center" vertical="center" wrapText="1"/>
    </xf>
    <xf numFmtId="0" fontId="0" fillId="15" borderId="24" xfId="0" applyFill="1" applyBorder="1" applyAlignment="1">
      <alignment horizontal="left" vertical="top" wrapText="1"/>
    </xf>
    <xf numFmtId="0" fontId="0" fillId="15" borderId="24" xfId="0" applyFill="1" applyBorder="1" applyAlignment="1">
      <alignment horizontal="center" vertical="center" wrapText="1"/>
    </xf>
    <xf numFmtId="0" fontId="34" fillId="15" borderId="24" xfId="0" applyFont="1" applyFill="1" applyBorder="1" applyAlignment="1">
      <alignment horizontal="left" vertical="center" wrapText="1"/>
    </xf>
    <xf numFmtId="0" fontId="0" fillId="15" borderId="24" xfId="0" applyFill="1" applyBorder="1" applyAlignment="1">
      <alignment horizontal="center" vertical="center" wrapText="1" indent="1"/>
    </xf>
    <xf numFmtId="0" fontId="0" fillId="15" borderId="24" xfId="0" applyFill="1" applyBorder="1" applyAlignment="1">
      <alignment vertical="top" wrapText="1"/>
    </xf>
    <xf numFmtId="0" fontId="24" fillId="15" borderId="24" xfId="5" applyFill="1" applyBorder="1" applyAlignment="1">
      <alignment vertical="center"/>
    </xf>
    <xf numFmtId="0" fontId="24" fillId="15" borderId="0" xfId="5" applyFill="1" applyAlignment="1">
      <alignment vertical="center"/>
    </xf>
    <xf numFmtId="0" fontId="24" fillId="15" borderId="0" xfId="5" applyFill="1" applyAlignment="1"/>
    <xf numFmtId="49" fontId="0" fillId="20" borderId="24" xfId="0" applyNumberFormat="1" applyFill="1" applyBorder="1" applyAlignment="1">
      <alignment horizontal="center" vertical="center" wrapText="1"/>
    </xf>
    <xf numFmtId="49" fontId="41" fillId="20" borderId="51" xfId="0" applyNumberFormat="1" applyFont="1" applyFill="1" applyBorder="1" applyAlignment="1">
      <alignment horizontal="center" vertical="center" wrapText="1"/>
    </xf>
    <xf numFmtId="49" fontId="41" fillId="20" borderId="24" xfId="0" applyNumberFormat="1" applyFont="1" applyFill="1" applyBorder="1" applyAlignment="1">
      <alignment horizontal="center" vertical="center" wrapText="1"/>
    </xf>
    <xf numFmtId="14" fontId="0" fillId="20" borderId="24" xfId="0" applyNumberFormat="1" applyFill="1" applyBorder="1" applyAlignment="1">
      <alignment horizontal="center" vertical="center" wrapText="1"/>
    </xf>
    <xf numFmtId="0" fontId="0" fillId="20" borderId="24" xfId="0" applyFill="1" applyBorder="1" applyAlignment="1">
      <alignment horizontal="left" vertical="top" wrapText="1"/>
    </xf>
    <xf numFmtId="0" fontId="0" fillId="20" borderId="24" xfId="0" applyFill="1" applyBorder="1" applyAlignment="1">
      <alignment horizontal="center" vertical="center" wrapText="1"/>
    </xf>
    <xf numFmtId="0" fontId="34" fillId="20" borderId="24" xfId="0" applyFont="1" applyFill="1" applyBorder="1" applyAlignment="1">
      <alignment horizontal="left" vertical="center" wrapText="1"/>
    </xf>
    <xf numFmtId="0" fontId="0" fillId="20" borderId="24" xfId="0" applyFill="1" applyBorder="1" applyAlignment="1">
      <alignment horizontal="center" vertical="center" wrapText="1" indent="1"/>
    </xf>
    <xf numFmtId="0" fontId="0" fillId="20" borderId="24" xfId="0" applyFill="1" applyBorder="1" applyAlignment="1">
      <alignment vertical="top" wrapText="1"/>
    </xf>
    <xf numFmtId="0" fontId="24" fillId="20" borderId="24" xfId="5" applyFill="1" applyBorder="1" applyAlignment="1">
      <alignment horizontal="center" vertical="center"/>
    </xf>
    <xf numFmtId="0" fontId="0" fillId="20" borderId="24" xfId="0" applyFill="1" applyBorder="1" applyAlignment="1">
      <alignment vertical="center" wrapText="1"/>
    </xf>
    <xf numFmtId="49" fontId="0" fillId="41" borderId="24" xfId="0" applyNumberFormat="1" applyFill="1" applyBorder="1" applyAlignment="1">
      <alignment horizontal="center" vertical="center" wrapText="1"/>
    </xf>
    <xf numFmtId="49" fontId="41" fillId="41" borderId="51" xfId="0" applyNumberFormat="1" applyFont="1" applyFill="1" applyBorder="1" applyAlignment="1">
      <alignment horizontal="center" vertical="center" wrapText="1"/>
    </xf>
    <xf numFmtId="49" fontId="41" fillId="41" borderId="24" xfId="0" applyNumberFormat="1" applyFont="1" applyFill="1" applyBorder="1" applyAlignment="1">
      <alignment horizontal="center" vertical="center" wrapText="1"/>
    </xf>
    <xf numFmtId="14" fontId="0" fillId="41" borderId="24" xfId="0" applyNumberFormat="1" applyFill="1" applyBorder="1" applyAlignment="1">
      <alignment horizontal="center" vertical="center" wrapText="1"/>
    </xf>
    <xf numFmtId="0" fontId="0" fillId="41" borderId="24" xfId="0" applyFill="1" applyBorder="1" applyAlignment="1">
      <alignment horizontal="left" vertical="top" wrapText="1"/>
    </xf>
    <xf numFmtId="0" fontId="0" fillId="41" borderId="24" xfId="0" applyFill="1" applyBorder="1" applyAlignment="1">
      <alignment horizontal="center" vertical="center" wrapText="1"/>
    </xf>
    <xf numFmtId="0" fontId="34" fillId="41" borderId="24" xfId="0" applyFont="1" applyFill="1" applyBorder="1" applyAlignment="1">
      <alignment horizontal="left" vertical="center" wrapText="1"/>
    </xf>
    <xf numFmtId="0" fontId="0" fillId="41" borderId="24" xfId="0" applyFill="1" applyBorder="1" applyAlignment="1">
      <alignment horizontal="center" vertical="center" wrapText="1" indent="1"/>
    </xf>
    <xf numFmtId="0" fontId="0" fillId="41" borderId="24" xfId="0" applyFill="1" applyBorder="1" applyAlignment="1">
      <alignment vertical="top" wrapText="1"/>
    </xf>
    <xf numFmtId="0" fontId="24" fillId="41" borderId="24" xfId="5" applyFill="1" applyBorder="1" applyAlignment="1">
      <alignment vertical="center"/>
    </xf>
    <xf numFmtId="0" fontId="0" fillId="41" borderId="24" xfId="0" applyFill="1" applyBorder="1" applyAlignment="1">
      <alignment vertical="center" wrapText="1"/>
    </xf>
    <xf numFmtId="0" fontId="34" fillId="27" borderId="24" xfId="0" applyFont="1" applyFill="1" applyBorder="1" applyAlignment="1">
      <alignment vertical="center" wrapText="1"/>
    </xf>
    <xf numFmtId="0" fontId="46" fillId="27" borderId="24" xfId="0" applyFont="1" applyFill="1" applyBorder="1" applyAlignment="1">
      <alignment vertical="center" wrapText="1"/>
    </xf>
    <xf numFmtId="0" fontId="46" fillId="27" borderId="46" xfId="0" applyFont="1" applyFill="1" applyBorder="1" applyAlignment="1">
      <alignment vertical="center" wrapText="1"/>
    </xf>
    <xf numFmtId="0" fontId="23" fillId="15" borderId="24" xfId="0" applyFont="1" applyFill="1" applyBorder="1" applyAlignment="1">
      <alignment horizontal="left" vertical="top" wrapText="1"/>
    </xf>
    <xf numFmtId="0" fontId="24" fillId="15" borderId="51" xfId="5" applyFill="1" applyBorder="1" applyAlignment="1">
      <alignment vertical="top" wrapText="1"/>
    </xf>
    <xf numFmtId="0" fontId="0" fillId="42" borderId="24" xfId="0" applyFill="1" applyBorder="1">
      <alignment vertical="center"/>
    </xf>
    <xf numFmtId="49" fontId="0" fillId="42" borderId="24" xfId="0" applyNumberFormat="1" applyFill="1" applyBorder="1" applyAlignment="1">
      <alignment horizontal="center" vertical="center" wrapText="1"/>
    </xf>
    <xf numFmtId="49" fontId="41" fillId="42" borderId="51" xfId="0" applyNumberFormat="1" applyFont="1" applyFill="1" applyBorder="1" applyAlignment="1">
      <alignment horizontal="center" vertical="center" wrapText="1"/>
    </xf>
    <xf numFmtId="49" fontId="41" fillId="42" borderId="24" xfId="0" applyNumberFormat="1" applyFont="1" applyFill="1" applyBorder="1" applyAlignment="1">
      <alignment horizontal="center" vertical="center" wrapText="1"/>
    </xf>
    <xf numFmtId="14" fontId="0" fillId="42" borderId="24" xfId="0" applyNumberFormat="1" applyFill="1" applyBorder="1" applyAlignment="1">
      <alignment horizontal="center" vertical="center" wrapText="1"/>
    </xf>
    <xf numFmtId="0" fontId="0" fillId="42" borderId="24" xfId="0" applyFill="1" applyBorder="1" applyAlignment="1">
      <alignment horizontal="left" vertical="top" wrapText="1"/>
    </xf>
    <xf numFmtId="0" fontId="0" fillId="42" borderId="24" xfId="0" applyFill="1" applyBorder="1" applyAlignment="1">
      <alignment horizontal="center" vertical="center" wrapText="1"/>
    </xf>
    <xf numFmtId="0" fontId="0" fillId="42" borderId="24" xfId="0" applyFill="1" applyBorder="1" applyAlignment="1">
      <alignment horizontal="center" vertical="center" wrapText="1" indent="1"/>
    </xf>
    <xf numFmtId="0" fontId="0" fillId="42" borderId="24" xfId="0" applyFill="1" applyBorder="1" applyAlignment="1">
      <alignment vertical="top" wrapText="1"/>
    </xf>
    <xf numFmtId="0" fontId="0" fillId="42" borderId="51" xfId="0" applyFill="1" applyBorder="1" applyAlignment="1">
      <alignment vertical="top" wrapText="1"/>
    </xf>
    <xf numFmtId="0" fontId="0" fillId="42" borderId="24" xfId="0" applyFill="1" applyBorder="1" applyAlignment="1">
      <alignment vertical="center" wrapText="1"/>
    </xf>
    <xf numFmtId="0" fontId="0" fillId="42" borderId="24" xfId="0" applyFill="1" applyBorder="1" applyAlignment="1">
      <alignment horizontal="left" vertical="center" wrapText="1"/>
    </xf>
    <xf numFmtId="49" fontId="24" fillId="42" borderId="24" xfId="5" applyNumberFormat="1" applyFill="1" applyBorder="1" applyAlignment="1">
      <alignment horizontal="center" vertical="center" wrapText="1"/>
    </xf>
    <xf numFmtId="0" fontId="40" fillId="42" borderId="24" xfId="0" applyFont="1" applyFill="1" applyBorder="1" applyAlignment="1">
      <alignment horizontal="center" vertical="center" wrapText="1"/>
    </xf>
    <xf numFmtId="0" fontId="0" fillId="42" borderId="0" xfId="0" applyFill="1" applyAlignment="1">
      <alignment vertical="top" wrapText="1"/>
    </xf>
    <xf numFmtId="0" fontId="0" fillId="42" borderId="51" xfId="0" applyFill="1" applyBorder="1" applyAlignment="1">
      <alignment horizontal="center" vertical="center" wrapText="1"/>
    </xf>
    <xf numFmtId="0" fontId="29" fillId="42" borderId="24" xfId="0" applyFont="1" applyFill="1" applyBorder="1" applyAlignment="1">
      <alignment horizontal="left" vertical="top" wrapText="1"/>
    </xf>
    <xf numFmtId="0" fontId="43" fillId="42" borderId="24" xfId="0" applyFont="1" applyFill="1" applyBorder="1" applyAlignment="1">
      <alignment vertical="center" wrapText="1"/>
    </xf>
    <xf numFmtId="0" fontId="39" fillId="42" borderId="24" xfId="0" applyFont="1" applyFill="1" applyBorder="1" applyAlignment="1">
      <alignment vertical="center" wrapText="1"/>
    </xf>
    <xf numFmtId="0" fontId="0" fillId="42" borderId="51" xfId="0" applyFill="1" applyBorder="1" applyAlignment="1">
      <alignment horizontal="left" vertical="center" wrapText="1"/>
    </xf>
    <xf numFmtId="0" fontId="45" fillId="42" borderId="24" xfId="0" applyFont="1" applyFill="1" applyBorder="1" applyAlignment="1">
      <alignment vertical="center" wrapText="1"/>
    </xf>
    <xf numFmtId="49" fontId="24" fillId="42" borderId="51" xfId="1" applyNumberFormat="1" applyFont="1" applyFill="1" applyBorder="1" applyAlignment="1">
      <alignment horizontal="center" vertical="center" wrapText="1"/>
    </xf>
    <xf numFmtId="14" fontId="0" fillId="42" borderId="51" xfId="0" applyNumberFormat="1" applyFill="1" applyBorder="1" applyAlignment="1">
      <alignment horizontal="center" vertical="center" wrapText="1"/>
    </xf>
    <xf numFmtId="0" fontId="44" fillId="42" borderId="51" xfId="0" applyFont="1" applyFill="1" applyBorder="1" applyAlignment="1">
      <alignment horizontal="left" vertical="top" wrapText="1"/>
    </xf>
    <xf numFmtId="0" fontId="0" fillId="42" borderId="51" xfId="0" applyFill="1" applyBorder="1" applyAlignment="1">
      <alignment horizontal="left" vertical="top" wrapText="1"/>
    </xf>
    <xf numFmtId="0" fontId="0" fillId="42" borderId="51" xfId="0" applyFill="1" applyBorder="1" applyAlignment="1">
      <alignment horizontal="center" vertical="center" wrapText="1" indent="1"/>
    </xf>
    <xf numFmtId="0" fontId="6" fillId="42" borderId="51" xfId="0" applyFont="1" applyFill="1" applyBorder="1" applyAlignment="1">
      <alignment vertical="top" wrapText="1"/>
    </xf>
    <xf numFmtId="0" fontId="0" fillId="42" borderId="51" xfId="0" applyFill="1" applyBorder="1" applyAlignment="1">
      <alignment vertical="center" wrapText="1"/>
    </xf>
    <xf numFmtId="49" fontId="41" fillId="30" borderId="51" xfId="0" applyNumberFormat="1" applyFont="1" applyFill="1" applyBorder="1" applyAlignment="1">
      <alignment horizontal="center" vertical="center" wrapText="1"/>
    </xf>
    <xf numFmtId="49" fontId="41" fillId="30" borderId="24" xfId="0" applyNumberFormat="1" applyFont="1" applyFill="1" applyBorder="1" applyAlignment="1">
      <alignment horizontal="center" vertical="center" wrapText="1"/>
    </xf>
    <xf numFmtId="0" fontId="34" fillId="30" borderId="24" xfId="0" applyFont="1" applyFill="1" applyBorder="1" applyAlignment="1">
      <alignment horizontal="left" vertical="center" wrapText="1"/>
    </xf>
    <xf numFmtId="49" fontId="42" fillId="30" borderId="24" xfId="0" applyNumberFormat="1" applyFont="1" applyFill="1" applyBorder="1" applyAlignment="1">
      <alignment horizontal="center" vertical="center" wrapText="1"/>
    </xf>
    <xf numFmtId="49" fontId="24" fillId="30" borderId="24" xfId="5" applyNumberFormat="1" applyFill="1" applyBorder="1" applyAlignment="1">
      <alignment horizontal="center" vertical="center" wrapText="1"/>
    </xf>
    <xf numFmtId="49" fontId="0" fillId="30" borderId="24" xfId="0" applyNumberFormat="1" applyFill="1" applyBorder="1" applyAlignment="1">
      <alignment wrapText="1"/>
    </xf>
    <xf numFmtId="0" fontId="0" fillId="30" borderId="25" xfId="0" applyFill="1" applyBorder="1" applyAlignment="1">
      <alignment horizontal="left" vertical="top" wrapText="1"/>
    </xf>
    <xf numFmtId="0" fontId="25" fillId="30" borderId="24" xfId="0" applyFont="1" applyFill="1" applyBorder="1" applyAlignment="1">
      <alignment horizontal="center" vertical="center" wrapText="1"/>
    </xf>
    <xf numFmtId="0" fontId="0" fillId="30" borderId="51" xfId="0" applyFill="1" applyBorder="1" applyAlignment="1">
      <alignment horizontal="center" vertical="center" wrapText="1"/>
    </xf>
    <xf numFmtId="0" fontId="0" fillId="30" borderId="46" xfId="0" applyFill="1" applyBorder="1" applyAlignment="1">
      <alignment horizontal="left" vertical="top" wrapText="1"/>
    </xf>
    <xf numFmtId="0" fontId="0" fillId="30" borderId="47" xfId="0" applyFill="1" applyBorder="1" applyAlignment="1">
      <alignment horizontal="left" vertical="top" wrapText="1"/>
    </xf>
    <xf numFmtId="0" fontId="0" fillId="30" borderId="46" xfId="0" applyFill="1" applyBorder="1" applyAlignment="1">
      <alignment horizontal="center" vertical="center" wrapText="1"/>
    </xf>
    <xf numFmtId="49" fontId="1" fillId="30" borderId="24" xfId="1" applyNumberFormat="1" applyFill="1" applyBorder="1" applyAlignment="1">
      <alignment horizontal="center" vertical="center" wrapText="1"/>
    </xf>
    <xf numFmtId="0" fontId="29" fillId="30" borderId="24" xfId="0" applyFont="1" applyFill="1" applyBorder="1" applyAlignment="1">
      <alignment vertical="center" wrapText="1"/>
    </xf>
    <xf numFmtId="49" fontId="29" fillId="30" borderId="24" xfId="0" applyNumberFormat="1" applyFont="1" applyFill="1" applyBorder="1" applyAlignment="1">
      <alignment horizontal="center" vertical="center" wrapText="1"/>
    </xf>
    <xf numFmtId="14" fontId="25" fillId="30" borderId="24" xfId="0" applyNumberFormat="1" applyFont="1" applyFill="1" applyBorder="1" applyAlignment="1">
      <alignment horizontal="center" vertical="center" wrapText="1"/>
    </xf>
    <xf numFmtId="0" fontId="25" fillId="30" borderId="24" xfId="0" applyFont="1" applyFill="1" applyBorder="1" applyAlignment="1">
      <alignment horizontal="left" vertical="center" wrapText="1"/>
    </xf>
    <xf numFmtId="0" fontId="26" fillId="30" borderId="24" xfId="5" applyFont="1" applyFill="1" applyBorder="1" applyAlignment="1">
      <alignment horizontal="center" vertical="center" wrapText="1"/>
    </xf>
    <xf numFmtId="0" fontId="25" fillId="30" borderId="24" xfId="0" applyFont="1" applyFill="1" applyBorder="1" applyAlignment="1">
      <alignment horizontal="center" vertical="top" wrapText="1"/>
    </xf>
    <xf numFmtId="0" fontId="40" fillId="30" borderId="24" xfId="0" applyFont="1" applyFill="1" applyBorder="1" applyAlignment="1">
      <alignment horizontal="center" vertical="top" wrapText="1"/>
    </xf>
    <xf numFmtId="0" fontId="25" fillId="30" borderId="49" xfId="0" applyFont="1" applyFill="1" applyBorder="1" applyAlignment="1">
      <alignment horizontal="center" vertical="center" wrapText="1"/>
    </xf>
    <xf numFmtId="0" fontId="25" fillId="30" borderId="49" xfId="0" applyFont="1" applyFill="1" applyBorder="1" applyAlignment="1">
      <alignment horizontal="left" vertical="center" wrapText="1"/>
    </xf>
    <xf numFmtId="0" fontId="25" fillId="30" borderId="46" xfId="0" applyFont="1" applyFill="1" applyBorder="1" applyAlignment="1">
      <alignment horizontal="center" vertical="center" wrapText="1"/>
    </xf>
    <xf numFmtId="0" fontId="25" fillId="30" borderId="53" xfId="0" applyFont="1" applyFill="1" applyBorder="1" applyAlignment="1">
      <alignment horizontal="center" vertical="center" wrapText="1"/>
    </xf>
    <xf numFmtId="0" fontId="25" fillId="30" borderId="51" xfId="0" applyFont="1" applyFill="1" applyBorder="1" applyAlignment="1">
      <alignment horizontal="center" vertical="center" wrapText="1"/>
    </xf>
    <xf numFmtId="14" fontId="25" fillId="30" borderId="51" xfId="0" applyNumberFormat="1" applyFont="1" applyFill="1" applyBorder="1" applyAlignment="1">
      <alignment horizontal="center" vertical="center" wrapText="1"/>
    </xf>
    <xf numFmtId="0" fontId="25" fillId="30" borderId="51" xfId="0" applyFont="1" applyFill="1" applyBorder="1" applyAlignment="1">
      <alignment horizontal="left" vertical="center" wrapText="1"/>
    </xf>
    <xf numFmtId="0" fontId="25" fillId="30" borderId="0" xfId="0" applyFont="1" applyFill="1" applyAlignment="1">
      <alignment horizontal="center" vertical="center" wrapText="1"/>
    </xf>
    <xf numFmtId="0" fontId="25" fillId="30" borderId="0" xfId="0" applyFont="1" applyFill="1" applyAlignment="1">
      <alignment horizontal="left" vertical="center" wrapText="1"/>
    </xf>
    <xf numFmtId="0" fontId="31" fillId="30" borderId="24" xfId="0" applyFont="1" applyFill="1" applyBorder="1" applyAlignment="1">
      <alignment horizontal="center" vertical="center" wrapText="1"/>
    </xf>
    <xf numFmtId="0" fontId="25" fillId="30" borderId="24" xfId="0" applyFont="1" applyFill="1" applyBorder="1" applyAlignment="1">
      <alignment wrapText="1"/>
    </xf>
    <xf numFmtId="49" fontId="24" fillId="30" borderId="51" xfId="5" applyNumberFormat="1" applyFill="1" applyBorder="1" applyAlignment="1">
      <alignment horizontal="center" vertical="center" wrapText="1"/>
    </xf>
    <xf numFmtId="14" fontId="30" fillId="30" borderId="51" xfId="1" applyNumberFormat="1" applyFont="1" applyFill="1" applyBorder="1" applyAlignment="1">
      <alignment horizontal="center" vertical="center" wrapText="1"/>
    </xf>
    <xf numFmtId="0" fontId="0" fillId="30" borderId="51" xfId="0" applyFill="1" applyBorder="1" applyAlignment="1">
      <alignment horizontal="left" vertical="center" wrapText="1"/>
    </xf>
    <xf numFmtId="0" fontId="0" fillId="30" borderId="51" xfId="0" applyFill="1" applyBorder="1" applyAlignment="1">
      <alignment vertical="top" wrapText="1"/>
    </xf>
    <xf numFmtId="49" fontId="26" fillId="30" borderId="51" xfId="1" applyNumberFormat="1" applyFont="1" applyFill="1" applyBorder="1" applyAlignment="1">
      <alignment horizontal="center" vertical="center" wrapText="1"/>
    </xf>
    <xf numFmtId="0" fontId="0" fillId="30" borderId="0" xfId="0" applyFill="1" applyAlignment="1">
      <alignment vertical="top" wrapText="1"/>
    </xf>
    <xf numFmtId="49" fontId="1" fillId="30" borderId="51" xfId="1" applyNumberFormat="1" applyFill="1" applyBorder="1" applyAlignment="1">
      <alignment horizontal="center" vertical="center" wrapText="1"/>
    </xf>
    <xf numFmtId="0" fontId="8" fillId="30" borderId="51" xfId="0" applyFont="1" applyFill="1" applyBorder="1" applyAlignment="1">
      <alignment horizontal="left" vertical="center" wrapText="1"/>
    </xf>
    <xf numFmtId="14" fontId="0" fillId="30" borderId="51" xfId="0" applyNumberFormat="1" applyFill="1" applyBorder="1" applyAlignment="1">
      <alignment horizontal="center" vertical="center" wrapText="1"/>
    </xf>
    <xf numFmtId="0" fontId="0" fillId="30" borderId="51" xfId="0" applyFill="1" applyBorder="1" applyAlignment="1">
      <alignment vertical="center" wrapText="1"/>
    </xf>
    <xf numFmtId="0" fontId="0" fillId="30" borderId="0" xfId="0" applyFill="1" applyAlignment="1">
      <alignment vertical="center" wrapText="1"/>
    </xf>
    <xf numFmtId="0" fontId="26" fillId="30" borderId="51" xfId="1" applyFont="1" applyFill="1" applyBorder="1" applyAlignment="1">
      <alignment horizontal="center" vertical="center" wrapText="1"/>
    </xf>
    <xf numFmtId="0" fontId="24" fillId="30" borderId="51" xfId="1" applyFont="1" applyFill="1" applyBorder="1" applyAlignment="1">
      <alignment horizontal="center" vertical="center" wrapText="1"/>
    </xf>
    <xf numFmtId="0" fontId="40" fillId="30" borderId="51" xfId="0" applyFont="1" applyFill="1" applyBorder="1" applyAlignment="1">
      <alignment horizontal="center" vertical="top" wrapText="1"/>
    </xf>
    <xf numFmtId="0" fontId="0" fillId="30" borderId="0" xfId="0" applyFill="1" applyAlignment="1">
      <alignment horizontal="left" vertical="center" wrapText="1"/>
    </xf>
    <xf numFmtId="49" fontId="0" fillId="30" borderId="51" xfId="0" applyNumberFormat="1" applyFill="1" applyBorder="1" applyAlignment="1">
      <alignment wrapText="1"/>
    </xf>
    <xf numFmtId="0" fontId="0" fillId="30" borderId="51" xfId="0" applyFill="1" applyBorder="1" applyAlignment="1">
      <alignment horizontal="left" vertical="top" wrapText="1"/>
    </xf>
    <xf numFmtId="0" fontId="0" fillId="30" borderId="51" xfId="0" applyFill="1" applyBorder="1" applyAlignment="1">
      <alignment horizontal="center" vertical="center" wrapText="1" indent="1"/>
    </xf>
    <xf numFmtId="49" fontId="0" fillId="30" borderId="51" xfId="0" applyNumberFormat="1" applyFill="1" applyBorder="1" applyAlignment="1">
      <alignment vertical="center" wrapText="1"/>
    </xf>
    <xf numFmtId="0" fontId="40" fillId="30" borderId="51" xfId="0" applyFont="1" applyFill="1" applyBorder="1" applyAlignment="1">
      <alignment horizontal="center" vertical="center" wrapText="1"/>
    </xf>
    <xf numFmtId="0" fontId="0" fillId="30" borderId="0" xfId="0" applyFill="1" applyAlignment="1">
      <alignment horizontal="left" vertical="top" wrapText="1"/>
    </xf>
    <xf numFmtId="0" fontId="0" fillId="30" borderId="51" xfId="0" applyFill="1" applyBorder="1" applyAlignment="1">
      <alignment wrapText="1"/>
    </xf>
    <xf numFmtId="49" fontId="0" fillId="30" borderId="51" xfId="0" applyNumberFormat="1" applyFill="1" applyBorder="1" applyAlignment="1">
      <alignment horizontal="center" vertical="center" wrapText="1"/>
    </xf>
    <xf numFmtId="49" fontId="24" fillId="30" borderId="24" xfId="1" applyNumberFormat="1" applyFont="1" applyFill="1" applyBorder="1" applyAlignment="1">
      <alignment horizontal="center" vertical="center" wrapText="1"/>
    </xf>
    <xf numFmtId="49" fontId="24" fillId="30" borderId="51" xfId="1" applyNumberFormat="1" applyFont="1" applyFill="1" applyBorder="1" applyAlignment="1">
      <alignment horizontal="center" vertical="center" wrapText="1"/>
    </xf>
    <xf numFmtId="0" fontId="0" fillId="30" borderId="24" xfId="0" applyFill="1" applyBorder="1">
      <alignment vertical="center"/>
    </xf>
    <xf numFmtId="0" fontId="0" fillId="43" borderId="24" xfId="0" applyFill="1" applyBorder="1" applyAlignment="1">
      <alignment horizontal="center" vertical="center" wrapText="1"/>
    </xf>
    <xf numFmtId="0" fontId="25" fillId="43" borderId="24" xfId="0" applyFont="1" applyFill="1" applyBorder="1" applyAlignment="1">
      <alignment horizontal="center" vertical="center" wrapText="1"/>
    </xf>
    <xf numFmtId="0" fontId="0" fillId="24" borderId="24" xfId="0" applyFill="1" applyBorder="1" applyAlignment="1">
      <alignment horizontal="center" vertical="center"/>
    </xf>
    <xf numFmtId="49" fontId="34" fillId="26" borderId="24" xfId="0" applyNumberFormat="1" applyFont="1" applyFill="1" applyBorder="1" applyAlignment="1">
      <alignment horizontal="center" vertical="center" wrapText="1"/>
    </xf>
    <xf numFmtId="49" fontId="41" fillId="26" borderId="51" xfId="0" applyNumberFormat="1" applyFont="1" applyFill="1" applyBorder="1" applyAlignment="1">
      <alignment horizontal="center" vertical="center" wrapText="1"/>
    </xf>
    <xf numFmtId="49" fontId="41" fillId="26" borderId="24" xfId="0" applyNumberFormat="1" applyFont="1" applyFill="1" applyBorder="1" applyAlignment="1">
      <alignment horizontal="center" vertical="center" wrapText="1"/>
    </xf>
    <xf numFmtId="14" fontId="34" fillId="26" borderId="24" xfId="0" applyNumberFormat="1" applyFont="1" applyFill="1" applyBorder="1" applyAlignment="1">
      <alignment horizontal="center" vertical="center" wrapText="1"/>
    </xf>
    <xf numFmtId="0" fontId="34" fillId="26" borderId="24" xfId="0" applyFont="1" applyFill="1" applyBorder="1" applyAlignment="1">
      <alignment horizontal="left" vertical="top" wrapText="1"/>
    </xf>
    <xf numFmtId="0" fontId="34" fillId="26" borderId="24" xfId="0" applyFont="1" applyFill="1" applyBorder="1" applyAlignment="1">
      <alignment horizontal="center" vertical="center" wrapText="1"/>
    </xf>
    <xf numFmtId="0" fontId="34" fillId="26" borderId="24" xfId="0" applyFont="1" applyFill="1" applyBorder="1" applyAlignment="1">
      <alignment horizontal="left" vertical="center" wrapText="1"/>
    </xf>
    <xf numFmtId="0" fontId="34" fillId="26" borderId="24" xfId="0" applyFont="1" applyFill="1" applyBorder="1" applyAlignment="1">
      <alignment horizontal="center" vertical="center" wrapText="1" indent="1"/>
    </xf>
    <xf numFmtId="0" fontId="34" fillId="26" borderId="24" xfId="0" applyFont="1" applyFill="1" applyBorder="1" applyAlignment="1">
      <alignment vertical="top" wrapText="1"/>
    </xf>
    <xf numFmtId="0" fontId="34" fillId="26" borderId="51" xfId="0" applyFont="1" applyFill="1" applyBorder="1" applyAlignment="1">
      <alignment vertical="top" wrapText="1"/>
    </xf>
    <xf numFmtId="0" fontId="46" fillId="26" borderId="24" xfId="0" applyFont="1" applyFill="1" applyBorder="1" applyAlignment="1">
      <alignment horizontal="center" vertical="center" wrapText="1"/>
    </xf>
    <xf numFmtId="1" fontId="46" fillId="26" borderId="24" xfId="0" applyNumberFormat="1" applyFont="1" applyFill="1" applyBorder="1" applyAlignment="1">
      <alignment horizontal="center" vertical="center" wrapText="1"/>
    </xf>
    <xf numFmtId="0" fontId="34" fillId="23" borderId="24" xfId="0" applyFont="1" applyFill="1" applyBorder="1" applyAlignment="1">
      <alignment vertical="center" wrapText="1"/>
    </xf>
    <xf numFmtId="0" fontId="46" fillId="14" borderId="24" xfId="0" applyFont="1" applyFill="1" applyBorder="1" applyAlignment="1">
      <alignment vertical="center" wrapText="1"/>
    </xf>
    <xf numFmtId="0" fontId="46" fillId="14" borderId="46" xfId="0" applyFont="1" applyFill="1" applyBorder="1" applyAlignment="1">
      <alignment vertical="center" wrapText="1"/>
    </xf>
    <xf numFmtId="0" fontId="34" fillId="17" borderId="24" xfId="0" applyFont="1" applyFill="1" applyBorder="1" applyAlignment="1">
      <alignment horizontal="left" vertical="center" wrapText="1"/>
    </xf>
    <xf numFmtId="0" fontId="0" fillId="42" borderId="0" xfId="0" applyFill="1">
      <alignment vertical="center"/>
    </xf>
    <xf numFmtId="0" fontId="0" fillId="20" borderId="0" xfId="0" applyFill="1">
      <alignment vertical="center"/>
    </xf>
    <xf numFmtId="0" fontId="0" fillId="43" borderId="0" xfId="0" applyFill="1">
      <alignment vertical="center"/>
    </xf>
    <xf numFmtId="0" fontId="0" fillId="24" borderId="0" xfId="0" applyFill="1">
      <alignment vertical="center"/>
    </xf>
    <xf numFmtId="49" fontId="40" fillId="24" borderId="51" xfId="0" applyNumberFormat="1" applyFont="1" applyFill="1" applyBorder="1" applyAlignment="1">
      <alignment horizontal="center" vertical="center" wrapText="1"/>
    </xf>
    <xf numFmtId="0" fontId="24" fillId="30" borderId="24" xfId="5" applyFill="1" applyBorder="1" applyAlignment="1">
      <alignment vertical="center"/>
    </xf>
    <xf numFmtId="0" fontId="35" fillId="30" borderId="24" xfId="0" applyFont="1" applyFill="1" applyBorder="1" applyAlignment="1">
      <alignment horizontal="center" vertical="center" wrapText="1"/>
    </xf>
    <xf numFmtId="0" fontId="0" fillId="30" borderId="0" xfId="0" applyFill="1" applyAlignment="1">
      <alignment horizontal="center" vertical="center" wrapText="1"/>
    </xf>
    <xf numFmtId="1" fontId="0" fillId="30" borderId="24" xfId="0" applyNumberFormat="1" applyFill="1" applyBorder="1" applyAlignment="1">
      <alignment vertical="center" wrapText="1"/>
    </xf>
    <xf numFmtId="49" fontId="0" fillId="30" borderId="24" xfId="0" applyNumberFormat="1" applyFill="1" applyBorder="1" applyAlignment="1">
      <alignment horizontal="left" vertical="top" wrapText="1"/>
    </xf>
    <xf numFmtId="0" fontId="0" fillId="30" borderId="46" xfId="0" applyFill="1" applyBorder="1" applyAlignment="1">
      <alignment vertical="top" wrapText="1"/>
    </xf>
    <xf numFmtId="0" fontId="24" fillId="30" borderId="24" xfId="5" applyFill="1" applyBorder="1" applyAlignment="1">
      <alignment vertical="center" wrapText="1"/>
    </xf>
    <xf numFmtId="0" fontId="36" fillId="30" borderId="24" xfId="0" applyFont="1" applyFill="1" applyBorder="1" applyAlignment="1">
      <alignment horizontal="center" vertical="center" wrapText="1"/>
    </xf>
    <xf numFmtId="0" fontId="35" fillId="30" borderId="0" xfId="0" applyFont="1" applyFill="1" applyAlignment="1">
      <alignment horizontal="center" vertical="center" wrapText="1"/>
    </xf>
    <xf numFmtId="0" fontId="25" fillId="30" borderId="51" xfId="0" applyFont="1" applyFill="1" applyBorder="1" applyAlignment="1">
      <alignment wrapText="1"/>
    </xf>
    <xf numFmtId="0" fontId="35" fillId="30" borderId="51" xfId="0" applyFont="1" applyFill="1" applyBorder="1" applyAlignment="1">
      <alignment horizontal="center" vertical="center" wrapText="1"/>
    </xf>
    <xf numFmtId="0" fontId="24" fillId="30" borderId="51" xfId="5" applyFill="1" applyBorder="1" applyAlignment="1">
      <alignment vertical="center" wrapText="1"/>
    </xf>
    <xf numFmtId="0" fontId="24" fillId="30" borderId="51" xfId="1" applyFont="1" applyFill="1" applyBorder="1" applyAlignment="1">
      <alignment vertical="top" wrapText="1"/>
    </xf>
    <xf numFmtId="0" fontId="0" fillId="24" borderId="24" xfId="0" applyFill="1" applyBorder="1" applyAlignment="1">
      <alignment horizontal="left" vertical="center" wrapText="1"/>
    </xf>
    <xf numFmtId="0" fontId="24" fillId="24" borderId="24" xfId="5" applyFill="1" applyBorder="1" applyAlignment="1">
      <alignment vertical="top" wrapText="1"/>
    </xf>
    <xf numFmtId="0" fontId="0" fillId="24" borderId="24" xfId="0" applyFill="1" applyBorder="1" applyAlignment="1">
      <alignment vertical="center" wrapText="1"/>
    </xf>
    <xf numFmtId="49" fontId="41" fillId="24" borderId="24" xfId="0" applyNumberFormat="1" applyFont="1" applyFill="1" applyBorder="1" applyAlignment="1">
      <alignment horizontal="center" vertical="center" wrapText="1"/>
    </xf>
    <xf numFmtId="49" fontId="42" fillId="24" borderId="24" xfId="0" applyNumberFormat="1" applyFont="1" applyFill="1" applyBorder="1" applyAlignment="1">
      <alignment horizontal="center" vertical="center" wrapText="1"/>
    </xf>
    <xf numFmtId="49" fontId="41" fillId="24" borderId="51" xfId="0" applyNumberFormat="1" applyFont="1" applyFill="1" applyBorder="1" applyAlignment="1">
      <alignment horizontal="center" vertical="center" wrapText="1"/>
    </xf>
    <xf numFmtId="49" fontId="34" fillId="42" borderId="51" xfId="1" applyNumberFormat="1" applyFont="1" applyFill="1" applyBorder="1" applyAlignment="1">
      <alignment horizontal="center" vertical="center" wrapText="1"/>
    </xf>
    <xf numFmtId="49" fontId="0" fillId="24" borderId="51" xfId="0" applyNumberFormat="1" applyFill="1" applyBorder="1" applyAlignment="1">
      <alignment horizontal="center" vertical="center" wrapText="1"/>
    </xf>
    <xf numFmtId="0" fontId="0" fillId="0" borderId="51" xfId="0" applyBorder="1" applyAlignment="1">
      <alignment vertical="top" wrapText="1"/>
    </xf>
    <xf numFmtId="49" fontId="0" fillId="0" borderId="51" xfId="0" applyNumberFormat="1" applyBorder="1" applyAlignment="1">
      <alignment horizontal="center" vertical="center" wrapText="1"/>
    </xf>
    <xf numFmtId="14" fontId="0" fillId="0" borderId="51" xfId="0" applyNumberFormat="1" applyBorder="1" applyAlignment="1">
      <alignment horizontal="center" vertical="center" wrapText="1"/>
    </xf>
    <xf numFmtId="0" fontId="0" fillId="0" borderId="51" xfId="0" applyBorder="1" applyAlignment="1">
      <alignment horizontal="left" vertical="top" wrapText="1"/>
    </xf>
    <xf numFmtId="0" fontId="0" fillId="0" borderId="51" xfId="0" applyBorder="1" applyAlignment="1">
      <alignment horizontal="center" vertical="center" wrapText="1"/>
    </xf>
    <xf numFmtId="0" fontId="0" fillId="0" borderId="51" xfId="0" applyBorder="1" applyAlignment="1">
      <alignment horizontal="left" vertical="center" wrapText="1"/>
    </xf>
    <xf numFmtId="0" fontId="0" fillId="0" borderId="51" xfId="0" applyBorder="1" applyAlignment="1">
      <alignment horizontal="center" vertical="center" wrapText="1" indent="1"/>
    </xf>
    <xf numFmtId="0" fontId="0" fillId="0" borderId="51" xfId="0" applyBorder="1" applyAlignment="1">
      <alignment vertical="center" wrapText="1"/>
    </xf>
    <xf numFmtId="49" fontId="40" fillId="42" borderId="51" xfId="0" applyNumberFormat="1" applyFont="1" applyFill="1" applyBorder="1" applyAlignment="1">
      <alignment horizontal="center" vertical="center" wrapText="1"/>
    </xf>
    <xf numFmtId="49" fontId="24" fillId="28" borderId="24" xfId="5" applyNumberFormat="1" applyFill="1" applyBorder="1" applyAlignment="1">
      <alignment horizontal="center" vertical="center" wrapText="1"/>
    </xf>
    <xf numFmtId="0" fontId="40" fillId="28" borderId="24" xfId="0" applyFont="1" applyFill="1" applyBorder="1" applyAlignment="1">
      <alignment horizontal="center" vertical="center" wrapText="1"/>
    </xf>
    <xf numFmtId="49" fontId="0" fillId="28" borderId="24" xfId="0" applyNumberFormat="1" applyFill="1" applyBorder="1" applyAlignment="1">
      <alignment wrapText="1"/>
    </xf>
    <xf numFmtId="0" fontId="25" fillId="28" borderId="24" xfId="0" applyFont="1" applyFill="1" applyBorder="1" applyAlignment="1">
      <alignment horizontal="center" vertical="center" wrapText="1"/>
    </xf>
    <xf numFmtId="0" fontId="0" fillId="28" borderId="24" xfId="0" applyFill="1" applyBorder="1" applyAlignment="1">
      <alignment horizontal="center" vertical="center" wrapText="1" indent="1"/>
    </xf>
    <xf numFmtId="0" fontId="35" fillId="28" borderId="24" xfId="0" applyFont="1" applyFill="1" applyBorder="1" applyAlignment="1">
      <alignment horizontal="center" vertical="center" wrapText="1"/>
    </xf>
    <xf numFmtId="49" fontId="24" fillId="28" borderId="24" xfId="1" applyNumberFormat="1" applyFont="1" applyFill="1" applyBorder="1" applyAlignment="1">
      <alignment horizontal="center" vertical="center" wrapText="1"/>
    </xf>
    <xf numFmtId="49" fontId="0" fillId="28" borderId="24" xfId="0" applyNumberFormat="1" applyFill="1" applyBorder="1" applyAlignment="1">
      <alignment vertical="center" wrapText="1"/>
    </xf>
    <xf numFmtId="0" fontId="43" fillId="28" borderId="24" xfId="0" applyFont="1" applyFill="1" applyBorder="1" applyAlignment="1">
      <alignment vertical="center" wrapText="1"/>
    </xf>
    <xf numFmtId="0" fontId="34" fillId="28" borderId="24" xfId="0" applyFont="1" applyFill="1" applyBorder="1" applyAlignment="1">
      <alignment horizontal="center" vertical="center" wrapText="1"/>
    </xf>
    <xf numFmtId="0" fontId="34" fillId="28" borderId="24" xfId="0" applyFont="1" applyFill="1" applyBorder="1" applyAlignment="1">
      <alignment horizontal="left" vertical="center" wrapText="1"/>
    </xf>
    <xf numFmtId="49" fontId="41" fillId="28" borderId="24" xfId="0" applyNumberFormat="1" applyFont="1" applyFill="1" applyBorder="1" applyAlignment="1">
      <alignment horizontal="center" vertical="top" wrapText="1"/>
    </xf>
    <xf numFmtId="0" fontId="0" fillId="28" borderId="0" xfId="0" applyFill="1" applyAlignment="1">
      <alignment vertical="top" wrapText="1"/>
    </xf>
    <xf numFmtId="0" fontId="29" fillId="28" borderId="24" xfId="0" applyFont="1" applyFill="1" applyBorder="1" applyAlignment="1">
      <alignment horizontal="left" vertical="top" wrapText="1"/>
    </xf>
    <xf numFmtId="14" fontId="25" fillId="28" borderId="24" xfId="0" applyNumberFormat="1" applyFont="1" applyFill="1" applyBorder="1" applyAlignment="1">
      <alignment horizontal="center" vertical="center" wrapText="1"/>
    </xf>
    <xf numFmtId="0" fontId="25" fillId="28" borderId="24" xfId="0" applyFont="1" applyFill="1" applyBorder="1" applyAlignment="1">
      <alignment horizontal="left" vertical="center" wrapText="1"/>
    </xf>
    <xf numFmtId="0" fontId="25" fillId="28" borderId="0" xfId="0" applyFont="1" applyFill="1" applyAlignment="1">
      <alignment horizontal="center" vertical="center" wrapText="1"/>
    </xf>
    <xf numFmtId="49" fontId="0" fillId="34" borderId="24" xfId="0" applyNumberFormat="1" applyFill="1" applyBorder="1" applyAlignment="1">
      <alignment horizontal="center" vertical="center" wrapText="1"/>
    </xf>
    <xf numFmtId="49" fontId="41" fillId="34" borderId="51" xfId="0" applyNumberFormat="1" applyFont="1" applyFill="1" applyBorder="1" applyAlignment="1">
      <alignment horizontal="center" vertical="center" wrapText="1"/>
    </xf>
    <xf numFmtId="49" fontId="41" fillId="34" borderId="24" xfId="0" applyNumberFormat="1" applyFont="1" applyFill="1" applyBorder="1" applyAlignment="1">
      <alignment horizontal="center" vertical="center" wrapText="1"/>
    </xf>
    <xf numFmtId="14" fontId="0" fillId="34" borderId="24" xfId="0" applyNumberFormat="1" applyFill="1" applyBorder="1" applyAlignment="1">
      <alignment horizontal="center" vertical="center" wrapText="1"/>
    </xf>
    <xf numFmtId="0" fontId="0" fillId="34" borderId="24" xfId="0" applyFill="1" applyBorder="1" applyAlignment="1">
      <alignment horizontal="left" vertical="top" wrapText="1"/>
    </xf>
    <xf numFmtId="0" fontId="34" fillId="34" borderId="24" xfId="0" applyFont="1" applyFill="1" applyBorder="1" applyAlignment="1">
      <alignment horizontal="left" vertical="center" wrapText="1"/>
    </xf>
    <xf numFmtId="0" fontId="0" fillId="34" borderId="24" xfId="0" applyFill="1" applyBorder="1" applyAlignment="1">
      <alignment horizontal="center" vertical="center" wrapText="1" indent="1"/>
    </xf>
    <xf numFmtId="0" fontId="23" fillId="34" borderId="0" xfId="0" applyFont="1" applyFill="1" applyAlignment="1">
      <alignment vertical="center" wrapText="1"/>
    </xf>
    <xf numFmtId="0" fontId="23" fillId="34" borderId="24" xfId="0" applyFont="1" applyFill="1" applyBorder="1" applyAlignment="1">
      <alignment horizontal="left" vertical="top" wrapText="1"/>
    </xf>
    <xf numFmtId="0" fontId="47" fillId="34" borderId="1" xfId="0" applyFont="1" applyFill="1" applyBorder="1" applyAlignment="1">
      <alignment horizontal="left" vertical="top" wrapText="1"/>
    </xf>
    <xf numFmtId="0" fontId="0" fillId="34" borderId="51" xfId="0" applyFill="1" applyBorder="1" applyAlignment="1">
      <alignment horizontal="left" vertical="top" wrapText="1"/>
    </xf>
    <xf numFmtId="0" fontId="0" fillId="34" borderId="24" xfId="0" applyFill="1" applyBorder="1" applyAlignment="1">
      <alignment vertical="top" wrapText="1"/>
    </xf>
    <xf numFmtId="0" fontId="24" fillId="34" borderId="49" xfId="5" applyFill="1" applyBorder="1" applyAlignment="1">
      <alignment vertical="center"/>
    </xf>
    <xf numFmtId="0" fontId="24" fillId="34" borderId="24" xfId="5" applyFill="1" applyBorder="1" applyAlignment="1">
      <alignment vertical="center"/>
    </xf>
    <xf numFmtId="0" fontId="24" fillId="34" borderId="51" xfId="5" applyFill="1" applyBorder="1" applyAlignment="1">
      <alignment vertical="top" wrapText="1"/>
    </xf>
    <xf numFmtId="0" fontId="24" fillId="41" borderId="0" xfId="5" applyFill="1" applyAlignment="1">
      <alignment vertical="center"/>
    </xf>
    <xf numFmtId="0" fontId="24" fillId="41" borderId="0" xfId="5" applyFill="1" applyAlignment="1"/>
    <xf numFmtId="0" fontId="0" fillId="44" borderId="0" xfId="0" applyFill="1">
      <alignment vertical="center"/>
    </xf>
    <xf numFmtId="0" fontId="0" fillId="34" borderId="0" xfId="0" applyFill="1">
      <alignment vertical="center"/>
    </xf>
    <xf numFmtId="0" fontId="6" fillId="0" borderId="0" xfId="0" applyFont="1" applyAlignment="1">
      <alignment horizontal="center" vertical="center"/>
    </xf>
    <xf numFmtId="0" fontId="6" fillId="20" borderId="0" xfId="0" applyFont="1" applyFill="1" applyAlignment="1">
      <alignment horizontal="center" vertical="center"/>
    </xf>
    <xf numFmtId="0" fontId="6" fillId="22" borderId="0" xfId="0" applyFont="1" applyFill="1" applyAlignment="1">
      <alignment horizontal="center" vertical="center"/>
    </xf>
    <xf numFmtId="0" fontId="6" fillId="39" borderId="0" xfId="0" applyFont="1" applyFill="1" applyAlignment="1">
      <alignment horizontal="center" vertical="center"/>
    </xf>
    <xf numFmtId="0" fontId="6" fillId="30" borderId="0" xfId="0" applyFont="1" applyFill="1" applyAlignment="1">
      <alignment horizontal="center" vertical="center" wrapText="1"/>
    </xf>
    <xf numFmtId="164" fontId="17" fillId="3" borderId="12" xfId="0" applyNumberFormat="1" applyFont="1" applyFill="1" applyBorder="1" applyAlignment="1">
      <alignment horizontal="center" vertical="center" shrinkToFit="1"/>
    </xf>
    <xf numFmtId="0" fontId="18" fillId="3" borderId="14" xfId="0" applyFont="1" applyFill="1" applyBorder="1" applyAlignment="1">
      <alignment horizontal="center" shrinkToFit="1"/>
    </xf>
    <xf numFmtId="0" fontId="18" fillId="3" borderId="15" xfId="0" applyFont="1" applyFill="1" applyBorder="1" applyAlignment="1">
      <alignment horizontal="center" shrinkToFit="1"/>
    </xf>
    <xf numFmtId="0" fontId="18" fillId="3" borderId="16" xfId="0" applyFont="1" applyFill="1" applyBorder="1" applyAlignment="1">
      <alignment horizontal="center" shrinkToFit="1"/>
    </xf>
    <xf numFmtId="0" fontId="1" fillId="8" borderId="29" xfId="1" applyFill="1" applyBorder="1" applyAlignment="1" applyProtection="1">
      <alignment horizontal="left" vertical="top" wrapText="1"/>
    </xf>
    <xf numFmtId="0" fontId="1" fillId="8" borderId="33" xfId="1" applyFill="1" applyBorder="1" applyAlignment="1" applyProtection="1">
      <alignment horizontal="left" vertical="top" wrapText="1"/>
    </xf>
    <xf numFmtId="0" fontId="1" fillId="14" borderId="29" xfId="1" applyFill="1" applyBorder="1" applyAlignment="1" applyProtection="1">
      <alignment horizontal="left" vertical="top"/>
    </xf>
    <xf numFmtId="0" fontId="1" fillId="14" borderId="18" xfId="1" applyFill="1" applyBorder="1" applyAlignment="1" applyProtection="1">
      <alignment horizontal="left" vertical="top"/>
    </xf>
    <xf numFmtId="0" fontId="1" fillId="14" borderId="29" xfId="1" applyFill="1" applyBorder="1" applyAlignment="1" applyProtection="1">
      <alignment horizontal="left" vertical="top" wrapText="1"/>
    </xf>
    <xf numFmtId="0" fontId="1" fillId="14" borderId="18" xfId="1" applyFill="1" applyBorder="1" applyAlignment="1" applyProtection="1">
      <alignment horizontal="left" vertical="top" wrapText="1"/>
    </xf>
    <xf numFmtId="0" fontId="0" fillId="14" borderId="29" xfId="1" applyFont="1" applyFill="1" applyBorder="1" applyAlignment="1" applyProtection="1">
      <alignment horizontal="left" vertical="top" wrapText="1"/>
    </xf>
    <xf numFmtId="0" fontId="0" fillId="14" borderId="30" xfId="1" applyFont="1" applyFill="1" applyBorder="1" applyAlignment="1" applyProtection="1">
      <alignment horizontal="left" vertical="top" wrapText="1"/>
    </xf>
    <xf numFmtId="0" fontId="0" fillId="14" borderId="0" xfId="1" applyFont="1" applyFill="1" applyBorder="1" applyAlignment="1" applyProtection="1">
      <alignment horizontal="left" vertical="top" wrapText="1"/>
    </xf>
    <xf numFmtId="0" fontId="1" fillId="14" borderId="39" xfId="1" applyFill="1" applyBorder="1" applyAlignment="1" applyProtection="1">
      <alignment horizontal="left" vertical="top"/>
    </xf>
    <xf numFmtId="0" fontId="1" fillId="14" borderId="30" xfId="1" applyFill="1" applyBorder="1" applyAlignment="1" applyProtection="1">
      <alignment horizontal="left" vertical="top"/>
    </xf>
    <xf numFmtId="0" fontId="19" fillId="14" borderId="29" xfId="4" applyNumberFormat="1" applyFont="1" applyFill="1" applyBorder="1" applyAlignment="1" applyProtection="1">
      <alignment horizontal="left" vertical="top"/>
    </xf>
    <xf numFmtId="0" fontId="19" fillId="14" borderId="18" xfId="4" applyNumberFormat="1" applyFont="1" applyFill="1" applyBorder="1" applyAlignment="1" applyProtection="1">
      <alignment horizontal="left" vertical="top"/>
    </xf>
    <xf numFmtId="0" fontId="1" fillId="14" borderId="38" xfId="1" applyFill="1" applyBorder="1" applyAlignment="1" applyProtection="1">
      <alignment horizontal="left" vertical="top" wrapText="1"/>
    </xf>
    <xf numFmtId="16" fontId="0" fillId="0" borderId="1" xfId="0" applyNumberFormat="1" applyBorder="1" applyAlignment="1">
      <alignment horizontal="center" vertical="center" wrapText="1"/>
    </xf>
    <xf numFmtId="0" fontId="19" fillId="13" borderId="29" xfId="4" applyNumberFormat="1" applyFont="1" applyFill="1" applyBorder="1" applyAlignment="1" applyProtection="1">
      <alignment horizontal="left" vertical="top" wrapText="1"/>
    </xf>
    <xf numFmtId="0" fontId="19" fillId="13" borderId="17" xfId="4" applyNumberFormat="1" applyFont="1" applyFill="1" applyBorder="1" applyAlignment="1" applyProtection="1">
      <alignment horizontal="left" vertical="top" wrapText="1"/>
    </xf>
    <xf numFmtId="0" fontId="19" fillId="8" borderId="29" xfId="4" applyNumberFormat="1" applyFont="1" applyFill="1" applyBorder="1" applyAlignment="1" applyProtection="1">
      <alignment horizontal="left" vertical="top" wrapText="1"/>
    </xf>
    <xf numFmtId="0" fontId="19" fillId="8" borderId="18" xfId="4" applyNumberFormat="1" applyFont="1" applyFill="1" applyBorder="1" applyAlignment="1" applyProtection="1">
      <alignment horizontal="left" vertical="top" wrapText="1"/>
    </xf>
    <xf numFmtId="0" fontId="19" fillId="8" borderId="0" xfId="4" applyNumberFormat="1" applyFont="1" applyFill="1" applyBorder="1" applyAlignment="1" applyProtection="1">
      <alignment horizontal="left" vertical="top" wrapText="1"/>
    </xf>
    <xf numFmtId="0" fontId="19" fillId="8" borderId="33" xfId="4" applyNumberFormat="1" applyFont="1" applyFill="1" applyBorder="1" applyAlignment="1" applyProtection="1">
      <alignment horizontal="left" vertical="top" wrapText="1"/>
    </xf>
    <xf numFmtId="0" fontId="19" fillId="13" borderId="31" xfId="4" applyNumberFormat="1" applyFont="1" applyFill="1" applyBorder="1" applyAlignment="1" applyProtection="1">
      <alignment horizontal="left" vertical="top" wrapText="1"/>
    </xf>
    <xf numFmtId="0" fontId="19" fillId="13" borderId="42" xfId="4" applyNumberFormat="1" applyFont="1" applyFill="1" applyBorder="1" applyAlignment="1" applyProtection="1">
      <alignment horizontal="left" vertical="top" wrapText="1"/>
    </xf>
    <xf numFmtId="0" fontId="19" fillId="8" borderId="31" xfId="4" applyNumberFormat="1" applyFont="1" applyFill="1" applyBorder="1" applyAlignment="1" applyProtection="1">
      <alignment horizontal="left" vertical="top" wrapText="1"/>
    </xf>
    <xf numFmtId="0" fontId="19" fillId="8" borderId="43" xfId="4" applyNumberFormat="1" applyFont="1" applyFill="1" applyBorder="1" applyAlignment="1" applyProtection="1">
      <alignment horizontal="left" vertical="top" wrapText="1"/>
    </xf>
    <xf numFmtId="0" fontId="19" fillId="8" borderId="44" xfId="4" applyNumberFormat="1" applyFont="1" applyFill="1" applyBorder="1" applyAlignment="1" applyProtection="1">
      <alignment horizontal="left" vertical="top" wrapText="1"/>
    </xf>
    <xf numFmtId="0" fontId="19" fillId="8" borderId="45" xfId="4" applyNumberFormat="1" applyFont="1" applyFill="1" applyBorder="1" applyAlignment="1" applyProtection="1">
      <alignment horizontal="left" vertical="top" wrapText="1"/>
    </xf>
    <xf numFmtId="0" fontId="19" fillId="14" borderId="29" xfId="4" applyNumberFormat="1" applyFont="1" applyFill="1" applyBorder="1" applyAlignment="1" applyProtection="1">
      <alignment horizontal="left" vertical="top" wrapText="1"/>
    </xf>
    <xf numFmtId="0" fontId="19" fillId="14" borderId="17" xfId="4" applyNumberFormat="1" applyFont="1" applyFill="1" applyBorder="1" applyAlignment="1" applyProtection="1">
      <alignment horizontal="left" vertical="top" wrapText="1"/>
    </xf>
    <xf numFmtId="0" fontId="19" fillId="14" borderId="20" xfId="3" applyNumberFormat="1" applyFont="1" applyFill="1" applyBorder="1" applyAlignment="1" applyProtection="1">
      <alignment horizontal="left" vertical="top" wrapText="1"/>
    </xf>
    <xf numFmtId="0" fontId="19" fillId="14" borderId="33" xfId="3" applyNumberFormat="1" applyFont="1" applyFill="1" applyBorder="1" applyAlignment="1" applyProtection="1">
      <alignment horizontal="left" vertical="top" wrapText="1"/>
    </xf>
    <xf numFmtId="0" fontId="19" fillId="14" borderId="30" xfId="4" applyNumberFormat="1" applyFont="1" applyFill="1" applyBorder="1" applyAlignment="1" applyProtection="1">
      <alignment horizontal="left" vertical="top" wrapText="1"/>
    </xf>
    <xf numFmtId="0" fontId="19" fillId="14" borderId="0" xfId="4" applyNumberFormat="1" applyFont="1" applyFill="1" applyBorder="1" applyAlignment="1" applyProtection="1">
      <alignment horizontal="left" vertical="top" wrapText="1"/>
    </xf>
    <xf numFmtId="0" fontId="19" fillId="14" borderId="18" xfId="4" applyNumberFormat="1" applyFont="1" applyFill="1" applyBorder="1" applyAlignment="1" applyProtection="1">
      <alignment horizontal="left" vertical="top" wrapText="1"/>
    </xf>
    <xf numFmtId="0" fontId="19" fillId="14" borderId="39" xfId="3" applyNumberFormat="1" applyFont="1" applyFill="1" applyBorder="1" applyAlignment="1" applyProtection="1">
      <alignment horizontal="left" vertical="top" wrapText="1"/>
    </xf>
    <xf numFmtId="0" fontId="19" fillId="14" borderId="30" xfId="3" applyNumberFormat="1" applyFont="1" applyFill="1" applyBorder="1" applyAlignment="1" applyProtection="1">
      <alignment horizontal="left" vertical="top" wrapText="1"/>
    </xf>
    <xf numFmtId="0" fontId="19" fillId="14" borderId="38" xfId="4" applyNumberFormat="1" applyFont="1" applyFill="1" applyBorder="1" applyAlignment="1" applyProtection="1">
      <alignment horizontal="left" vertical="top" wrapText="1"/>
    </xf>
    <xf numFmtId="0" fontId="19" fillId="14" borderId="26" xfId="4" applyNumberFormat="1" applyFont="1" applyFill="1" applyBorder="1" applyAlignment="1" applyProtection="1">
      <alignment horizontal="left" vertical="top" wrapText="1"/>
    </xf>
    <xf numFmtId="0" fontId="19" fillId="14" borderId="34" xfId="3" applyNumberFormat="1" applyFont="1" applyFill="1" applyBorder="1" applyAlignment="1" applyProtection="1">
      <alignment horizontal="left" vertical="top" wrapText="1"/>
    </xf>
    <xf numFmtId="0" fontId="19" fillId="14" borderId="31" xfId="4" applyNumberFormat="1" applyFont="1" applyFill="1" applyBorder="1" applyAlignment="1" applyProtection="1">
      <alignment horizontal="left" vertical="top" wrapText="1"/>
    </xf>
    <xf numFmtId="0" fontId="19" fillId="14" borderId="42" xfId="4" applyNumberFormat="1" applyFont="1" applyFill="1" applyBorder="1" applyAlignment="1" applyProtection="1">
      <alignment horizontal="left" vertical="top" wrapText="1"/>
    </xf>
    <xf numFmtId="0" fontId="19" fillId="14" borderId="41" xfId="4" applyNumberFormat="1" applyFont="1" applyFill="1" applyBorder="1" applyAlignment="1" applyProtection="1">
      <alignment horizontal="left" vertical="top" wrapText="1"/>
    </xf>
    <xf numFmtId="0" fontId="19" fillId="14" borderId="43" xfId="4" applyNumberFormat="1" applyFont="1" applyFill="1" applyBorder="1" applyAlignment="1" applyProtection="1">
      <alignment horizontal="left" vertical="top" wrapText="1"/>
    </xf>
    <xf numFmtId="0" fontId="19" fillId="14" borderId="32" xfId="4" applyNumberFormat="1" applyFont="1" applyFill="1" applyBorder="1" applyAlignment="1" applyProtection="1">
      <alignment horizontal="left" vertical="top" wrapText="1"/>
    </xf>
    <xf numFmtId="0" fontId="19" fillId="14" borderId="44" xfId="4" applyNumberFormat="1" applyFont="1" applyFill="1" applyBorder="1" applyAlignment="1" applyProtection="1">
      <alignment horizontal="left" vertical="top" wrapText="1"/>
    </xf>
    <xf numFmtId="0" fontId="19" fillId="14" borderId="40" xfId="3" applyNumberFormat="1" applyFont="1" applyFill="1" applyBorder="1" applyAlignment="1" applyProtection="1">
      <alignment horizontal="left" vertical="top" wrapText="1"/>
    </xf>
    <xf numFmtId="0" fontId="19" fillId="14" borderId="32" xfId="3" applyNumberFormat="1" applyFont="1" applyFill="1" applyBorder="1" applyAlignment="1" applyProtection="1">
      <alignment horizontal="left" vertical="top" wrapText="1"/>
    </xf>
    <xf numFmtId="0" fontId="19" fillId="14" borderId="37" xfId="3" applyNumberFormat="1" applyFont="1" applyFill="1" applyBorder="1" applyAlignment="1" applyProtection="1">
      <alignment horizontal="left" vertical="top" wrapText="1"/>
    </xf>
    <xf numFmtId="0" fontId="19" fillId="14" borderId="35" xfId="3" applyNumberFormat="1" applyFont="1" applyFill="1" applyBorder="1" applyAlignment="1" applyProtection="1">
      <alignment horizontal="left" vertical="top" wrapText="1"/>
    </xf>
  </cellXfs>
  <cellStyles count="6">
    <cellStyle name="Hipervínculo" xfId="1" builtinId="8"/>
    <cellStyle name="Hyperlink" xfId="5" xr:uid="{00000000-000B-0000-0000-000008000000}"/>
    <cellStyle name="Hyperlink 1" xfId="2" xr:uid="{00000000-0005-0000-0000-000006000000}"/>
    <cellStyle name="Normal" xfId="0" builtinId="0"/>
    <cellStyle name="WinCalendar_BlankCells_54" xfId="3" xr:uid="{00000000-0005-0000-0000-000007000000}"/>
    <cellStyle name="WinCalendar_BlankDates_54" xfId="4" xr:uid="{00000000-0005-0000-0000-000008000000}"/>
  </cellStyles>
  <dxfs count="51">
    <dxf>
      <numFmt numFmtId="19"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1"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30" formatCode="@"/>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charset val="1"/>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Calibri"/>
        <charset val="1"/>
        <scheme val="none"/>
      </font>
      <fill>
        <patternFill patternType="solid">
          <fgColor indexed="64"/>
          <bgColor theme="9"/>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b/>
        <i val="0"/>
        <color rgb="FF006100"/>
      </font>
      <fill>
        <patternFill patternType="solid">
          <bgColor rgb="FFC6EFCE"/>
        </patternFill>
      </fill>
    </dxf>
    <dxf>
      <font>
        <color rgb="FF9C0006"/>
      </font>
      <fill>
        <patternFill>
          <bgColor rgb="FFFFC7CE"/>
        </patternFill>
      </fill>
    </dxf>
    <dxf>
      <numFmt numFmtId="0" formatCode="General"/>
      <fill>
        <patternFill patternType="solid">
          <fgColor indexed="64"/>
          <bgColor theme="0"/>
        </patternFill>
      </fill>
      <border diagonalUp="0" diagonalDown="0">
        <left style="thin">
          <color rgb="FF000000"/>
        </left>
        <right/>
        <top style="thin">
          <color rgb="FF000000"/>
        </top>
        <bottom style="thin">
          <color rgb="FF000000"/>
        </bottom>
        <vertical/>
        <horizontal/>
      </border>
    </dxf>
    <dxf>
      <numFmt numFmtId="0" formatCode="General"/>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solid">
          <fgColor indexed="64"/>
          <bgColor theme="0"/>
        </patternFill>
      </fill>
      <alignment wrapText="1"/>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1"/>
        </patternFill>
      </fill>
      <alignment wrapText="1"/>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1"/>
        </patternFill>
      </fill>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dxf>
    <dxf>
      <numFmt numFmtId="30" formatCode="@"/>
      <fill>
        <patternFill patternType="solid">
          <fgColor indexed="64"/>
          <bgColor rgb="FFDE999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Calibri"/>
        <charset val="1"/>
        <scheme val="none"/>
      </font>
      <fill>
        <patternFill patternType="solid">
          <fgColor indexed="64"/>
          <bgColor theme="9"/>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rgb="FF92D050"/>
        </patternFill>
      </fill>
    </dxf>
    <dxf>
      <fill>
        <patternFill patternType="solid">
          <fgColor indexed="64"/>
          <bgColor rgb="FF92D050"/>
        </patternFill>
      </fill>
    </dxf>
    <dxf>
      <fill>
        <patternFill patternType="solid">
          <fgColor indexed="64"/>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8FAADC"/>
      <rgbColor rgb="FF993366"/>
      <rgbColor rgb="FFFFF2CC"/>
      <rgbColor rgb="FFDEEBF7"/>
      <rgbColor rgb="FF660066"/>
      <rgbColor rgb="FFDBDBDB"/>
      <rgbColor rgb="FF0563C1"/>
      <rgbColor rgb="FFBDD7EE"/>
      <rgbColor rgb="FF000080"/>
      <rgbColor rgb="FFFF00FF"/>
      <rgbColor rgb="FFF2F2F2"/>
      <rgbColor rgb="FF00FFFF"/>
      <rgbColor rgb="FF800080"/>
      <rgbColor rgb="FF800000"/>
      <rgbColor rgb="FF008080"/>
      <rgbColor rgb="FF0000FF"/>
      <rgbColor rgb="FF00CCFF"/>
      <rgbColor rgb="FFDAE3F3"/>
      <rgbColor rgb="FFE2F0D9"/>
      <rgbColor rgb="FFFBE5D6"/>
      <rgbColor rgb="FF9DC3E6"/>
      <rgbColor rgb="FFF1C6F5"/>
      <rgbColor rgb="FFD9D9D9"/>
      <rgbColor rgb="FFF4B183"/>
      <rgbColor rgb="FF3366FF"/>
      <rgbColor rgb="FF33CCCC"/>
      <rgbColor rgb="FF99CC00"/>
      <rgbColor rgb="FFFFC000"/>
      <rgbColor rgb="FFFF9900"/>
      <rgbColor rgb="FFFF6600"/>
      <rgbColor rgb="FF666699"/>
      <rgbColor rgb="FF5B9BD5"/>
      <rgbColor rgb="FF003366"/>
      <rgbColor rgb="FF339966"/>
      <rgbColor rgb="FF003300"/>
      <rgbColor rgb="FF333300"/>
      <rgbColor rgb="FF993300"/>
      <rgbColor rgb="FF993366"/>
      <rgbColor rgb="FF333399"/>
      <rgbColor rgb="FF244062"/>
      <rgbColor rgb="00003366"/>
      <rgbColor rgb="00339966"/>
      <rgbColor rgb="00003300"/>
      <rgbColor rgb="00333300"/>
      <rgbColor rgb="00993300"/>
      <rgbColor rgb="00993366"/>
      <rgbColor rgb="00333399"/>
      <rgbColor rgb="00333333"/>
    </indexedColors>
    <mruColors>
      <color rgb="FFFF6666"/>
      <color rgb="FFDE9999"/>
      <color rgb="FFE82A2A"/>
      <color rgb="FFFA66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Cumplimiento de SLA – Casos En y Fuera de Plazo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
          </c:tx>
          <c:spPr>
            <a:solidFill>
              <a:srgbClr val="C6E0B4"/>
            </a:solidFill>
            <a:ln>
              <a:solidFill>
                <a:srgbClr val="FFFFFF"/>
              </a:solidFill>
              <a:prstDash val="solid"/>
            </a:ln>
            <a:effectLst/>
          </c:spPr>
          <c:invertIfNegative val="0"/>
          <c:dPt>
            <c:idx val="1"/>
            <c:invertIfNegative val="0"/>
            <c:bubble3D val="0"/>
            <c:spPr>
              <a:solidFill>
                <a:srgbClr val="DE9999"/>
              </a:solidFill>
              <a:ln>
                <a:solidFill>
                  <a:srgbClr val="FFFFFF"/>
                </a:solidFill>
                <a:prstDash val="solid"/>
              </a:ln>
              <a:effectLst/>
            </c:spPr>
            <c:extLst>
              <c:ext xmlns:c16="http://schemas.microsoft.com/office/drawing/2014/chart" uri="{C3380CC4-5D6E-409C-BE32-E72D297353CC}">
                <c16:uniqueId val="{00000004-C587-42DF-8989-1118ABCF7E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Indicadores!$B$9:$B$10</c:f>
              <c:strCache>
                <c:ptCount val="2"/>
                <c:pt idx="0">
                  <c:v>En plazo</c:v>
                </c:pt>
                <c:pt idx="1">
                  <c:v>Fuera de plazo</c:v>
                </c:pt>
              </c:strCache>
            </c:strRef>
          </c:cat>
          <c:val>
            <c:numRef>
              <c:f>Indicadores!$C$9:$C$10</c:f>
              <c:numCache>
                <c:formatCode>General</c:formatCode>
                <c:ptCount val="2"/>
                <c:pt idx="0">
                  <c:v>0</c:v>
                </c:pt>
                <c:pt idx="1">
                  <c:v>0</c:v>
                </c:pt>
              </c:numCache>
            </c:numRef>
          </c:val>
          <c:extLst>
            <c:ext xmlns:c16="http://schemas.microsoft.com/office/drawing/2014/chart" uri="{C3380CC4-5D6E-409C-BE32-E72D297353CC}">
              <c16:uniqueId val="{00000000-C587-42DF-8989-1118ABCF7E6B}"/>
            </c:ext>
          </c:extLst>
        </c:ser>
        <c:dLbls>
          <c:showLegendKey val="0"/>
          <c:showVal val="0"/>
          <c:showCatName val="0"/>
          <c:showSerName val="0"/>
          <c:showPercent val="0"/>
          <c:showBubbleSize val="0"/>
        </c:dLbls>
        <c:gapWidth val="219"/>
        <c:overlap val="-27"/>
        <c:axId val="2074608647"/>
        <c:axId val="2074610695"/>
      </c:barChart>
      <c:catAx>
        <c:axId val="2074608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610695"/>
        <c:crosses val="autoZero"/>
        <c:auto val="1"/>
        <c:lblAlgn val="ctr"/>
        <c:lblOffset val="100"/>
        <c:noMultiLvlLbl val="0"/>
      </c:catAx>
      <c:valAx>
        <c:axId val="2074610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608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Distribución de Casos por Fase – Mantenimiento Gamma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rgbClr val="D0CECE"/>
              </a:solidFill>
              <a:prstDash val="solid"/>
            </a:ln>
          </c:spPr>
          <c:dPt>
            <c:idx val="0"/>
            <c:bubble3D val="0"/>
            <c:spPr>
              <a:solidFill>
                <a:srgbClr val="2F75B5"/>
              </a:solidFill>
              <a:ln w="19050">
                <a:solidFill>
                  <a:srgbClr val="D0CECE"/>
                </a:solidFill>
                <a:prstDash val="solid"/>
              </a:ln>
              <a:effectLst/>
            </c:spPr>
            <c:extLst>
              <c:ext xmlns:c16="http://schemas.microsoft.com/office/drawing/2014/chart" uri="{C3380CC4-5D6E-409C-BE32-E72D297353CC}">
                <c16:uniqueId val="{00000003-9F80-4FA3-8D5F-C9C2F307D045}"/>
              </c:ext>
            </c:extLst>
          </c:dPt>
          <c:dPt>
            <c:idx val="1"/>
            <c:bubble3D val="0"/>
            <c:spPr>
              <a:solidFill>
                <a:srgbClr val="FFC000"/>
              </a:solidFill>
              <a:ln w="19050">
                <a:solidFill>
                  <a:srgbClr val="D0CECE"/>
                </a:solidFill>
                <a:prstDash val="solid"/>
              </a:ln>
              <a:effectLst/>
            </c:spPr>
            <c:extLst>
              <c:ext xmlns:c16="http://schemas.microsoft.com/office/drawing/2014/chart" uri="{C3380CC4-5D6E-409C-BE32-E72D297353CC}">
                <c16:uniqueId val="{00000000-27A8-4BDD-AA6E-C5C73C220D98}"/>
              </c:ext>
            </c:extLst>
          </c:dPt>
          <c:dPt>
            <c:idx val="2"/>
            <c:bubble3D val="0"/>
            <c:spPr>
              <a:solidFill>
                <a:srgbClr val="70AD47"/>
              </a:solidFill>
              <a:ln w="19050">
                <a:solidFill>
                  <a:srgbClr val="D0CECE"/>
                </a:solidFill>
                <a:prstDash val="solid"/>
              </a:ln>
              <a:effectLst/>
            </c:spPr>
            <c:extLst>
              <c:ext xmlns:c16="http://schemas.microsoft.com/office/drawing/2014/chart" uri="{C3380CC4-5D6E-409C-BE32-E72D297353CC}">
                <c16:uniqueId val="{00000001-27A8-4BDD-AA6E-C5C73C220D98}"/>
              </c:ext>
            </c:extLst>
          </c:dPt>
          <c:dPt>
            <c:idx val="3"/>
            <c:bubble3D val="0"/>
            <c:spPr>
              <a:solidFill>
                <a:srgbClr val="A5A5A5"/>
              </a:solidFill>
              <a:ln w="19050">
                <a:solidFill>
                  <a:srgbClr val="D0CECE"/>
                </a:solidFill>
                <a:prstDash val="solid"/>
              </a:ln>
              <a:effectLst/>
            </c:spPr>
            <c:extLst>
              <c:ext xmlns:c16="http://schemas.microsoft.com/office/drawing/2014/chart" uri="{C3380CC4-5D6E-409C-BE32-E72D297353CC}">
                <c16:uniqueId val="{00000004-9F80-4FA3-8D5F-C9C2F307D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Indicadores!$B$14:$B$17</c:f>
              <c:strCache>
                <c:ptCount val="4"/>
                <c:pt idx="0">
                  <c:v>Por hacer</c:v>
                </c:pt>
                <c:pt idx="1">
                  <c:v>En curso</c:v>
                </c:pt>
                <c:pt idx="2">
                  <c:v>Implementación</c:v>
                </c:pt>
                <c:pt idx="3">
                  <c:v>Cerrado</c:v>
                </c:pt>
              </c:strCache>
            </c:strRef>
          </c:cat>
          <c:val>
            <c:numRef>
              <c:f>Indicadores!$C$14:$C$17</c:f>
              <c:numCache>
                <c:formatCode>General</c:formatCode>
                <c:ptCount val="4"/>
                <c:pt idx="0">
                  <c:v>125</c:v>
                </c:pt>
                <c:pt idx="1">
                  <c:v>10</c:v>
                </c:pt>
                <c:pt idx="2">
                  <c:v>9</c:v>
                </c:pt>
                <c:pt idx="3">
                  <c:v>57</c:v>
                </c:pt>
              </c:numCache>
            </c:numRef>
          </c:val>
          <c:extLst>
            <c:ext xmlns:c16="http://schemas.microsoft.com/office/drawing/2014/chart" uri="{C3380CC4-5D6E-409C-BE32-E72D297353CC}">
              <c16:uniqueId val="{00000000-9F80-4FA3-8D5F-C9C2F307D04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solidFill>
            <a:srgbClr val="FFFFFF"/>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561975</xdr:colOff>
      <xdr:row>3</xdr:row>
      <xdr:rowOff>0</xdr:rowOff>
    </xdr:from>
    <xdr:to>
      <xdr:col>9</xdr:col>
      <xdr:colOff>504825</xdr:colOff>
      <xdr:row>17</xdr:row>
      <xdr:rowOff>171450</xdr:rowOff>
    </xdr:to>
    <xdr:graphicFrame macro="">
      <xdr:nvGraphicFramePr>
        <xdr:cNvPr id="3" name="Gráfico 2">
          <a:extLst>
            <a:ext uri="{FF2B5EF4-FFF2-40B4-BE49-F238E27FC236}">
              <a16:creationId xmlns:a16="http://schemas.microsoft.com/office/drawing/2014/main" id="{DFCF0C5D-6C8D-232F-4A23-B3E5DBEB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2</xdr:row>
      <xdr:rowOff>180975</xdr:rowOff>
    </xdr:from>
    <xdr:to>
      <xdr:col>15</xdr:col>
      <xdr:colOff>523875</xdr:colOff>
      <xdr:row>15</xdr:row>
      <xdr:rowOff>171450</xdr:rowOff>
    </xdr:to>
    <xdr:graphicFrame macro="">
      <xdr:nvGraphicFramePr>
        <xdr:cNvPr id="4" name="Gráfico 3">
          <a:extLst>
            <a:ext uri="{FF2B5EF4-FFF2-40B4-BE49-F238E27FC236}">
              <a16:creationId xmlns:a16="http://schemas.microsoft.com/office/drawing/2014/main" id="{C6F9E191-F615-1741-8548-D43F2090DEBC}"/>
            </a:ext>
            <a:ext uri="{147F2762-F138-4A5C-976F-8EAC2B608ADB}">
              <a16:predDERef xmlns:a16="http://schemas.microsoft.com/office/drawing/2014/main" pred="{DFCF0C5D-6C8D-232F-4A23-B3E5DBEB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1.679007523147" createdVersion="8" refreshedVersion="8" minRefreshableVersion="3" recordCount="224" xr:uid="{61A35701-54DD-4D49-A4CD-EB1D93E40856}">
  <cacheSource type="worksheet">
    <worksheetSource name="Backlog"/>
  </cacheSource>
  <cacheFields count="28">
    <cacheField name="Clave del caso" numFmtId="0">
      <sharedItems containsBlank="1" containsMixedTypes="1" containsNumber="1" containsInteger="1" minValue="9544" maxValue="16679"/>
    </cacheField>
    <cacheField name="Evaluación real del caso" numFmtId="0">
      <sharedItems containsBlank="1" count="5">
        <s v="Mantenimiento correctivo"/>
        <s v="Mantenimiento preventivo"/>
        <s v="Mantenimiento evolutivo"/>
        <s v="Consulta"/>
        <m/>
      </sharedItems>
    </cacheField>
    <cacheField name="Prioridad real" numFmtId="0">
      <sharedItems containsBlank="1"/>
    </cacheField>
    <cacheField name="Fecha alta de la solicitud" numFmtId="14">
      <sharedItems containsDate="1" containsBlank="1" containsMixedTypes="1" minDate="2024-07-16T00:00:00" maxDate="2026-09-30T00:00:00"/>
    </cacheField>
    <cacheField name="Título o Asunto" numFmtId="0">
      <sharedItems containsDate="1" containsBlank="1" containsMixedTypes="1" minDate="2025-06-04T00:00:00" maxDate="2025-06-05T00:00:00"/>
    </cacheField>
    <cacheField name="Descripción detallada y completa del caso" numFmtId="0">
      <sharedItems containsBlank="1" longText="1"/>
    </cacheField>
    <cacheField name="Cliente que solicita" numFmtId="0">
      <sharedItems containsBlank="1"/>
    </cacheField>
    <cacheField name="Componente" numFmtId="0">
      <sharedItems containsBlank="1"/>
    </cacheField>
    <cacheField name="Area responsable de traccionar" numFmtId="0">
      <sharedItems containsBlank="1"/>
    </cacheField>
    <cacheField name="OP" numFmtId="0">
      <sharedItems containsString="0" containsBlank="1" containsNumber="1" containsInteger="1" minValue="1" maxValue="999"/>
    </cacheField>
    <cacheField name="Estado" numFmtId="0">
      <sharedItems containsBlank="1" count="15">
        <s v="Para implementar"/>
        <s v="Planificado"/>
        <s v="A planificar"/>
        <s v="A priorizar"/>
        <s v="En desarrollo"/>
        <s v="QA"/>
        <s v="Validar estado"/>
        <s v="Implementado / Soporte"/>
        <s v="A estimar"/>
        <s v="Cerrado"/>
        <m/>
        <s v="En análisis Funcional" u="1"/>
        <s v="Cancelado" u="1"/>
        <s v="UAT" u="1"/>
        <s v="Por hacer" u="1"/>
      </sharedItems>
    </cacheField>
    <cacheField name="Fecha Requerida en Producción" numFmtId="0">
      <sharedItems containsDate="1" containsBlank="1" containsMixedTypes="1" minDate="2025-11-06T00:00:00" maxDate="2026-05-09T00:00:00"/>
    </cacheField>
    <cacheField name="Fecha comprometida (para UAT)" numFmtId="0">
      <sharedItems containsDate="1" containsBlank="1" containsMixedTypes="1" minDate="2025-10-31T00:00:00" maxDate="2026-02-14T00:00:00"/>
    </cacheField>
    <cacheField name="Fecha Real de Cierre" numFmtId="0">
      <sharedItems containsNonDate="0" containsDate="1" containsString="0" containsBlank="1" minDate="2025-09-03T00:00:00" maxDate="2026-04-11T00:00:00"/>
    </cacheField>
    <cacheField name="Comentarios Funcionales" numFmtId="0">
      <sharedItems containsBlank="1" longText="1"/>
    </cacheField>
    <cacheField name="Comentarios Técnicos" numFmtId="0">
      <sharedItems containsBlank="1" longText="1"/>
    </cacheField>
    <cacheField name="Referencia al documento" numFmtId="0">
      <sharedItems containsBlank="1" longText="1"/>
    </cacheField>
    <cacheField name="Análisis" numFmtId="0">
      <sharedItems containsBlank="1" containsMixedTypes="1" containsNumber="1" containsInteger="1" minValue="1" maxValue="4"/>
    </cacheField>
    <cacheField name="Desarrollo" numFmtId="0">
      <sharedItems containsString="0" containsBlank="1" containsNumber="1" containsInteger="1" minValue="0" maxValue="600"/>
    </cacheField>
    <cacheField name="QA/UAT" numFmtId="0">
      <sharedItems containsBlank="1" containsMixedTypes="1" containsNumber="1" containsInteger="1" minValue="1" maxValue="16"/>
    </cacheField>
    <cacheField name="Implementación" numFmtId="0">
      <sharedItems containsBlank="1"/>
    </cacheField>
    <cacheField name="Total" numFmtId="0">
      <sharedItems containsString="0" containsBlank="1" containsNumber="1" containsInteger="1" minValue="4" maxValue="4"/>
    </cacheField>
    <cacheField name="Visto" numFmtId="0">
      <sharedItems containsBlank="1"/>
    </cacheField>
    <cacheField name="Columna3" numFmtId="0">
      <sharedItems containsNonDate="0" containsString="0" containsBlank="1"/>
    </cacheField>
    <cacheField name="Columna4" numFmtId="0">
      <sharedItems containsNonDate="0" containsString="0" containsBlank="1"/>
    </cacheField>
    <cacheField name="Fase" numFmtId="0">
      <sharedItems containsBlank="1"/>
    </cacheField>
    <cacheField name="Dias_abiertos" numFmtId="0">
      <sharedItems containsBlank="1" containsMixedTypes="1" containsNumber="1" containsInteger="1" minValue="0" maxValue="186"/>
    </cacheField>
    <cacheField name="En_plaz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s v="16613"/>
    <x v="0"/>
    <s v="Muy alta"/>
    <d v="2026-04-30T00:00:00"/>
    <s v="CNQ-GAMMA-GAMMA-DIFERENCIA CALCULO CSA_x000a_"/>
    <s v="EL calculo de CSA tiene diferencias debido a que no esta calculando para todas las maquinas de un PDV motivo: Gamma no actualiza las maquinas activas y habilitadas en los PDV al momento de hacer los cálculos de CSA, tomando solo los datos que ya tenia grabados antes de la nueva implementación del día 6/04/2026. Este problema tambien afecta al cobro de CSA en SALTA_x000a_"/>
    <m/>
    <s v="Gamma"/>
    <m/>
    <m/>
    <x v="0"/>
    <m/>
    <m/>
    <m/>
    <m/>
    <m/>
    <m/>
    <m/>
    <m/>
    <m/>
    <m/>
    <m/>
    <m/>
    <m/>
    <m/>
    <s v="Implementación"/>
    <s v="Sin fecha comprometida"/>
    <e v="#REF!"/>
  </r>
  <r>
    <s v="GAMMA-817 SF16721"/>
    <x v="0"/>
    <s v="Muy alta"/>
    <d v="2026-05-07T00:00:00"/>
    <s v="End-point de adjudicaciones"/>
    <s v="Se necesita la incorporación del campo fechaTotPremios en la respuesta del end-point de adjudicaciones para la Provincia de La Pampa. Se detecto en esta provincia el faltante de este campo lo que no permite realizar la liquidaciones a sorteo cerrado con premios."/>
    <s v="La Pampa"/>
    <s v="Saaservice"/>
    <s v="Mantenimiento"/>
    <m/>
    <x v="1"/>
    <m/>
    <m/>
    <m/>
    <m/>
    <m/>
    <m/>
    <m/>
    <m/>
    <m/>
    <m/>
    <m/>
    <m/>
    <m/>
    <m/>
    <s v="Por hacer"/>
    <s v="Sin fecha comprometida"/>
    <e v="#REF!"/>
  </r>
  <r>
    <s v="GAMMA-746 SF16529"/>
    <x v="1"/>
    <s v="Alta"/>
    <d v="2026-04-28T00:00:00"/>
    <s v="Se necesita eliminar el servicio Extract"/>
    <s v="Servicio Extract:_x000a_Servicio en desuso que se utilizaba para buscar datos en sistemas externos a gamma._x000a_Se necesita Eliminar el servicio."/>
    <m/>
    <s v="Gamma"/>
    <m/>
    <m/>
    <x v="2"/>
    <m/>
    <m/>
    <m/>
    <m/>
    <m/>
    <m/>
    <m/>
    <m/>
    <m/>
    <m/>
    <m/>
    <m/>
    <m/>
    <m/>
    <s v="Por hacer"/>
    <s v="Sin fecha comprometida"/>
    <e v="#REF!"/>
  </r>
  <r>
    <s v="GAMMA-747 SF16530"/>
    <x v="1"/>
    <s v="Alta"/>
    <d v="2026-04-28T00:00:00"/>
    <s v="Se necesita Depurar la BD Extract_x000a_"/>
    <s v="BD Extract_x000a_Bd relacionada con servicio Extract y las configuraciones necesarias para lo que se procesaba_x000a_Se necesita Depurar la BD_x000a_Tablas con información de procesos_x000a_      executions_x000a_            Borrar todos los registros_x000a_      movement_executions_status_x000a_            Borrar todos los registros"/>
    <m/>
    <s v="Gamma"/>
    <m/>
    <m/>
    <x v="2"/>
    <m/>
    <m/>
    <m/>
    <m/>
    <m/>
    <m/>
    <m/>
    <m/>
    <m/>
    <m/>
    <m/>
    <m/>
    <m/>
    <m/>
    <s v="Por hacer"/>
    <s v="Sin fecha comprometida"/>
    <e v="#REF!"/>
  </r>
  <r>
    <s v="GAMMA-748 SF16531"/>
    <x v="1"/>
    <s v="Alta"/>
    <d v="2026-04-28T00:00:00"/>
    <s v="Se necesita Eliminar el servicio Transform_x000a_"/>
    <s v="Descripción_x000a_Servicio Transform_x000a_servicio en desuso que se utilizaba para procesar la información extraída por &quot;Extract&quot;_x000a_Se necesita Eliminar el servicio."/>
    <m/>
    <s v="Gamma"/>
    <m/>
    <m/>
    <x v="2"/>
    <m/>
    <m/>
    <m/>
    <m/>
    <m/>
    <m/>
    <m/>
    <m/>
    <m/>
    <m/>
    <m/>
    <m/>
    <m/>
    <m/>
    <s v="Por hacer"/>
    <s v="Sin fecha comprometida"/>
    <e v="#REF!"/>
  </r>
  <r>
    <s v="GAMMA-749 SF16532"/>
    <x v="1"/>
    <s v="Alta"/>
    <d v="2026-04-28T00:00:00"/>
    <s v="Se necesita Depurar la BD Transform_x000a_"/>
    <s v="Descripción_x000a_BD Transform_x000a_BD relacionada con el servicio Transform_x000a_Se necesita Depurar la BD_x000a_Tablas con información del proceso no hay datos"/>
    <m/>
    <s v="Gamma"/>
    <m/>
    <m/>
    <x v="2"/>
    <m/>
    <m/>
    <m/>
    <m/>
    <m/>
    <m/>
    <m/>
    <m/>
    <m/>
    <m/>
    <m/>
    <m/>
    <m/>
    <m/>
    <s v="Por hacer"/>
    <s v="Sin fecha comprometida"/>
    <e v="#REF!"/>
  </r>
  <r>
    <s v="GAMMA-750 SF16533"/>
    <x v="1"/>
    <s v="Alta"/>
    <d v="2026-04-28T00:00:00"/>
    <s v="Se necesita Eliminar el servicio Load_x000a_"/>
    <s v="Servicio Load_x000a_servicio que se utilizaba para homologar(guardar) la información generada por &quot;Transform&quot; y otros servicios_x000a_Se necesita Eliminar el servicio."/>
    <m/>
    <s v="Gamma"/>
    <m/>
    <m/>
    <x v="2"/>
    <m/>
    <m/>
    <m/>
    <m/>
    <m/>
    <m/>
    <m/>
    <m/>
    <m/>
    <m/>
    <m/>
    <m/>
    <m/>
    <m/>
    <s v="Por hacer"/>
    <s v="Sin fecha comprometida"/>
    <e v="#REF!"/>
  </r>
  <r>
    <s v="GAMMA-751 SF16534"/>
    <x v="1"/>
    <s v="Alta"/>
    <d v="2026-04-28T00:00:00"/>
    <s v="Se necesita Depurar la BD Load_x000a_"/>
    <s v="BD Load_x000a_BD relacionada con el servicio Load_x000a_Se necesita Depurar la BD_x000a_Tablas con información del proceso_x000a_      errors_x000a_            Borrar todos los registros_x000a_      non_homologated_movements_x000a_            Borrar todos los registros_x000a_      non_homologated_raffles_x000a_            Borrar todos los registros_x000a_      raffles_x000a_            Borrar todos los registros_x000a_      success_movements_x000a_            Borrar todos los registros"/>
    <m/>
    <s v="Gamma"/>
    <m/>
    <m/>
    <x v="2"/>
    <m/>
    <m/>
    <m/>
    <m/>
    <m/>
    <m/>
    <m/>
    <m/>
    <m/>
    <m/>
    <m/>
    <m/>
    <m/>
    <m/>
    <s v="Por hacer"/>
    <s v="Sin fecha comprometida"/>
    <e v="#REF!"/>
  </r>
  <r>
    <s v="GAMMA-752 SF16535"/>
    <x v="1"/>
    <s v="Alta"/>
    <d v="2026-04-28T00:00:00"/>
    <s v="Se necesita Eliminar el servicio Rulesengine_x000a_"/>
    <s v="Servicio Rulesengine_x000a_servicio que se utilizaba para administrar y procesar las reglas de la loteria ademas de procesar informacion para las mismas_x000a_Se necesita Eliminar el servicio."/>
    <m/>
    <s v="Gamma"/>
    <m/>
    <m/>
    <x v="2"/>
    <m/>
    <m/>
    <m/>
    <m/>
    <m/>
    <m/>
    <m/>
    <m/>
    <m/>
    <m/>
    <m/>
    <m/>
    <m/>
    <m/>
    <s v="Por hacer"/>
    <s v="Sin fecha comprometida"/>
    <e v="#REF!"/>
  </r>
  <r>
    <s v="GAMMA-753 SF16536"/>
    <x v="1"/>
    <s v="Alta"/>
    <d v="2026-04-28T00:00:00"/>
    <s v="Se necesita Depurar la BD Rulesengine_x000a_"/>
    <s v="BD Rulesengine_x000a_BD relacionada con el servicio Rulesengine_x000a_Se necesita Depurar la BD_x000a_      Tablas con informacion del proceso_x000a_      adjacent_rules_x000a_            Borrar todos los registros_x000a_      execution_history_x000a_            Borrar todos los registros_x000a_      item_conditions_x000a_            Borrar todos los registros_x000a_      kafka_errors_x000a_            Borrar todos los registros_x000a_      processable_item_groups_x000a_            Borrar todos los registros_x000a_      processable_items_x000a_            Borrar todos los registros_x000a_      processed_items_x000a_            Borrar todos los registros_x000a_      processed_items_relations_x000a_            Borrar todos los registros_x000a_      rule_conditions_x000a_            Borrar todos los registros_x000a_      rule_indexes_x000a_            Borrar todos los registros_x000a_      rules_x000a_            Borrar todos los registros"/>
    <m/>
    <s v="Gamma"/>
    <m/>
    <m/>
    <x v="2"/>
    <m/>
    <m/>
    <m/>
    <m/>
    <m/>
    <m/>
    <m/>
    <m/>
    <m/>
    <m/>
    <m/>
    <m/>
    <m/>
    <m/>
    <s v="Por hacer"/>
    <s v="Sin fecha comprometida"/>
    <e v="#REF!"/>
  </r>
  <r>
    <s v="GAMMA-754 SF16537"/>
    <x v="1"/>
    <s v="Alta"/>
    <d v="2026-04-28T00:00:00"/>
    <s v="Depurar BD ETL_x000a_"/>
    <s v="BD ETL_x000a_      Tablas con informacion del proceso a depurar_x000a_      no_homologated_x000a_            Borrado selectivo_x000a_                  Registros con fecha de borrado logico borrar todos_x000a_                  Registros sin fecha de borrado logico borrar los registros de mas de 31 dias de antiguidad_x000a_      procesos_x000a_            Borrado selectivo_x000a_                  Borrar los registros de mas de 31 dias de antiguidad"/>
    <m/>
    <s v="Gamma"/>
    <m/>
    <m/>
    <x v="2"/>
    <m/>
    <m/>
    <m/>
    <m/>
    <m/>
    <m/>
    <m/>
    <m/>
    <m/>
    <m/>
    <m/>
    <m/>
    <m/>
    <m/>
    <s v="Por hacer"/>
    <s v="Sin fecha comprometida"/>
    <e v="#REF!"/>
  </r>
  <r>
    <s v="GAMMA-755 SF16538"/>
    <x v="1"/>
    <s v="Alta"/>
    <d v="2026-04-28T00:00:00"/>
    <s v="Depurar BD Contability_x000a_"/>
    <s v="BD Contability_x000a_      Tablas con informacion del proceso a depurar_x000a_      entries_x000a_            Borrado selectivo_x000a_                  Registros con fecha de borrado logico borrar todos_x000a_      entry_rows_x000a_            Borrado selectivo_x000a_                  Registros con fecha de borrado logico borrar todos_x000a_      file_entries_x000a_            Borrado selectivo_x000a_                  Registros con fecha de borrado logico borrar todos_x000a_"/>
    <m/>
    <s v="Gamma"/>
    <m/>
    <m/>
    <x v="2"/>
    <m/>
    <m/>
    <m/>
    <m/>
    <m/>
    <m/>
    <m/>
    <m/>
    <m/>
    <m/>
    <m/>
    <m/>
    <m/>
    <m/>
    <s v="Por hacer"/>
    <s v="Sin fecha comprometida"/>
    <e v="#REF!"/>
  </r>
  <r>
    <s v="GAMMA-756 SF16539"/>
    <x v="1"/>
    <s v="Alta"/>
    <d v="2026-04-28T00:00:00"/>
    <s v="Depurar BD Checking_account_x000a_"/>
    <s v="BD Checking_account_x000a_      Tablas con informacion del proceso a depurar_x000a_      agency_settlements_x000a_            Borrado selectivo_x000a_                  Registros con fecha de borrado logico borrar todos_x000a_      execution_movements_x000a_            Borrar todos los registros_x000a_      kafka_errors_x000a_            Borrar todos los registros    _x000a_      movements_x000a_            Borrado selectivo_x000a_            calculated_movements antes del borrado de movementes_x000a_                  Borrado selectivo_x000a_                  Registros con movimientos con fecha de borrado logico con mas de 31 dias de antiguidad          _x000a_            Registros con fecha de borrado logico con mas de 31 dias de antiguidad        _x000a_      movements_processed_items_x000a_            Borrar todos los registros    _x000a_      processed_items_x000a_            Borrar todos los registros    _x000a_      settlement_events_x000a_            Borrado selectivo_x000a_            Registros con fecha de borrado logico borrar todo     _x000a_      settlements_x000a_            Borrado selectivo_x000a_            Registros con status cancelados borrar todos_x000a_      tmp_minimos_x000a_            Borrar todos los registros_x000a_"/>
    <m/>
    <s v="Gamma"/>
    <m/>
    <m/>
    <x v="2"/>
    <m/>
    <m/>
    <m/>
    <m/>
    <m/>
    <m/>
    <m/>
    <m/>
    <m/>
    <m/>
    <m/>
    <m/>
    <m/>
    <m/>
    <s v="Por hacer"/>
    <s v="Sin fecha comprometida"/>
    <e v="#REF!"/>
  </r>
  <r>
    <s v="SF16554"/>
    <x v="0"/>
    <s v="Muy alta"/>
    <d v="2026-04-28T00:00:00"/>
    <s v="CORR-NOA Error al cargar predistribución_x000a_"/>
    <s v="Al intentar cargar el archivo de redistribución se genera un error que deja como pendiente el proceso. Se necesita tener todo cargado los sorteos de mayo a más tardar resuelto el día jueves 30/04. Se adjunta imagen del error"/>
    <s v="Corrientes"/>
    <s v="NOA"/>
    <s v="SAC"/>
    <m/>
    <x v="3"/>
    <m/>
    <m/>
    <m/>
    <s v="NOA tiene que filtrar las concentradoras"/>
    <m/>
    <m/>
    <m/>
    <n v="24"/>
    <m/>
    <m/>
    <m/>
    <m/>
    <m/>
    <m/>
    <s v="Por hacer"/>
    <s v="Sin fecha comprometida"/>
    <e v="#REF!"/>
  </r>
  <r>
    <s v="GAMMA - 000719_x000a_SF16366"/>
    <x v="2"/>
    <s v="Alta"/>
    <d v="2026-04-23T00:00:00"/>
    <s v="Adaptar archivo D&amp;B para aceptar múltiples conceptos"/>
    <s v="En SIGA hoy en dia cargan un archivo apuntado a varios codigos contables"/>
    <s v="Santiago del Estero"/>
    <s v="Gamma"/>
    <s v="Mantenimiento"/>
    <n v="1"/>
    <x v="4"/>
    <d v="2026-04-30T00:00:00"/>
    <m/>
    <m/>
    <s v="Autorizado por la direccción"/>
    <s v="Desarrollado- Jimena"/>
    <s v="Adaptar archivo D&amp;B para aceptar múltiples conceptos - 1.2.pdf"/>
    <m/>
    <n v="120"/>
    <m/>
    <m/>
    <m/>
    <m/>
    <m/>
    <m/>
    <s v="En curso"/>
    <s v="Sin fecha comprometida"/>
    <e v="#REF!"/>
  </r>
  <r>
    <s v="GAMMA - 000722_x000a_SF16367"/>
    <x v="2"/>
    <s v="Alta"/>
    <d v="2026-04-23T00:00:00"/>
    <s v="Adaptar archivo D&amp;B para aceptar operaciones de Embargos y Garantías"/>
    <s v="En SIGA hoy en dia cargan un archivo donde indican un numero de porcentaje para que el sistema realice un calculo (Garantia, Embargo judicial, etc), a su vez, colocan en el archivo un importe de tope para descuento._x000a_GAMMA no acepta este tipo de archivos y no aplica calculos desde d&amp;b."/>
    <s v="Santiago del Estero"/>
    <s v="Gamma"/>
    <s v="Mantenimiento"/>
    <n v="2"/>
    <x v="4"/>
    <d v="2026-04-30T00:00:00"/>
    <m/>
    <m/>
    <s v="Autorizado por la direccción"/>
    <s v="Desarrollado - Jimena"/>
    <s v="Adaptar archivo D&amp;B para aceptar operaciones de Embargos y Garantías - 1.0.pdf"/>
    <m/>
    <n v="160"/>
    <m/>
    <m/>
    <m/>
    <m/>
    <m/>
    <m/>
    <s v="En curso"/>
    <s v="Sin fecha comprometida"/>
    <e v="#REF!"/>
  </r>
  <r>
    <s v="16608"/>
    <x v="2"/>
    <s v="Alta"/>
    <d v="2026-04-30T00:00:00"/>
    <s v="Configuracion particular de vencimientos por PDV"/>
    <s v="En SIGA tienen configurado para cada agencia un dia de vencimiento en particular, con la particularidad de que cuando llega el dia previo al pago, el pago se saltea a la semana siguiente con el fin de que al PDV le quede, al menos, una recaudacion para su uso. _x000a_"/>
    <s v="Santiago del Estero"/>
    <s v="Gamma"/>
    <s v="Mantenimiento"/>
    <n v="5"/>
    <x v="4"/>
    <d v="2026-05-05T00:00:00"/>
    <m/>
    <m/>
    <s v="Autorizado por la direccción"/>
    <s v="Desarrollado - Jimena"/>
    <s v="SDE - GAMMA - Configuracion particular de vencimientos por PDV - 1.1.pdf"/>
    <m/>
    <n v="136"/>
    <n v="16"/>
    <m/>
    <m/>
    <m/>
    <m/>
    <m/>
    <s v="En curso"/>
    <s v="Sin fecha comprometida"/>
    <e v="#REF!"/>
  </r>
  <r>
    <s v="16609"/>
    <x v="2"/>
    <s v="Alta"/>
    <d v="2026-04-30T00:00:00"/>
    <s v="Republicacion de deuda"/>
    <s v="Al momento de aplicarse el nuevo sistema bancario (2026) la Loteria iniciara a realizar la republicacion de deuda._x000a_Hoy en dia en SIGA se encuentra esta opcion disponible generandose un nuevo archivos con dos opciones de habilitarlo:_x000a_1) Dia de emision de cta.cte: genera archivo con todas las agencias que no cancelaron el resumen colocandole nueva fecha de vencimiento._x000a_2) Por agencia: Permite seleccionar los resumenes pendientes que se deciden abonar, genera un archivo con la informacion preseleccionada y se le coloca la nueva fecha de vencimiento."/>
    <s v="Santiago del Estero"/>
    <s v="Gamma"/>
    <s v="Mantenimiento"/>
    <n v="6"/>
    <x v="2"/>
    <m/>
    <m/>
    <m/>
    <s v="Autorizado por la direccción"/>
    <m/>
    <s v="SDE - GAMMA - Republicación de deuda - 1.0.docx"/>
    <m/>
    <n v="160"/>
    <m/>
    <m/>
    <m/>
    <m/>
    <m/>
    <m/>
    <s v="Por hacer"/>
    <s v="Sin fecha comprometida"/>
    <e v="#REF!"/>
  </r>
  <r>
    <s v="GAMMA - 000739 16403"/>
    <x v="2"/>
    <s v="Alta"/>
    <d v="2026-04-24T00:00:00"/>
    <s v="ID717 - Ampliar funcional de roles y perfiles"/>
    <s v="En GAMMA actualmente se puede realizar BP desde el modulo &quot;Loteria&quot; y desde el modulo de &quot;Caja&quot; por cualquier usuario con un rol que permita el ingreso a esos modulos. La Loteria solicita que la accion del BP no pueda ser realizada por cualquier usuario, sino por alguien autorizado (rol personalizado)"/>
    <s v="Santiago del Estero"/>
    <s v="Gamma"/>
    <s v="Mantenimiento"/>
    <n v="3"/>
    <x v="2"/>
    <m/>
    <m/>
    <m/>
    <s v="Autorizado por la direccción"/>
    <m/>
    <s v="ID717 - Gamma - Cambios en los roles actuales - 2.0.docx"/>
    <m/>
    <n v="400"/>
    <m/>
    <m/>
    <m/>
    <m/>
    <m/>
    <m/>
    <s v="Por hacer"/>
    <s v="Sin fecha comprometida"/>
    <e v="#REF!"/>
  </r>
  <r>
    <s v="GAMMA - 000738_x000a_16404"/>
    <x v="2"/>
    <s v="Alta"/>
    <d v="2026-04-24T00:00:00"/>
    <s v="Resumen para pago en banco con código de barras"/>
    <s v="hoy en dia SIGA genera un reporte/listado con los resumenes bancarios a pagar colocandole un talon de pago con codigo de barra, GAMMA genera el reporte SIN el talon de pago."/>
    <s v="Santiago del Estero"/>
    <s v="Gamma"/>
    <s v="Mantenimiento"/>
    <n v="8"/>
    <x v="4"/>
    <d v="2026-05-05T00:00:00"/>
    <m/>
    <m/>
    <s v="Autorizado por la direccción"/>
    <s v="Alejandro Falta pruebas unitarias"/>
    <s v="SDE - Gamma - Código de barras para el resumen de agentes - 1.1.pdf"/>
    <m/>
    <n v="32"/>
    <n v="8"/>
    <m/>
    <m/>
    <m/>
    <m/>
    <m/>
    <s v="En curso"/>
    <s v="Sin fecha comprometida"/>
    <e v="#REF!"/>
  </r>
  <r>
    <s v="16453"/>
    <x v="2"/>
    <s v="Alta"/>
    <d v="2026-04-24T00:00:00"/>
    <s v="Adaptar GAMMA para poder liquidar día abierto"/>
    <s v="GAMMA no está permitiendo liquidar con la config a día abierto &gt;&gt;&gt; DC Probar lunes 15 x la noche (2340hs / 00.05hs) &gt;&gt; Martes evaluar resultados"/>
    <s v="Santiago del Estero"/>
    <s v="Gamma"/>
    <s v="Mantenimiento"/>
    <n v="9"/>
    <x v="4"/>
    <d v="2026-05-08T00:00:00"/>
    <m/>
    <m/>
    <s v="Autorizado por la direccción"/>
    <s v="Desarrollado - Tejerina"/>
    <s v="SDE - GAMMA - Adaptar GAMMA para poder liquidar día abierto - v1.2.pdf"/>
    <m/>
    <n v="400"/>
    <m/>
    <m/>
    <m/>
    <m/>
    <m/>
    <m/>
    <s v="En curso"/>
    <s v="Sin fecha comprometida"/>
    <e v="#REF!"/>
  </r>
  <r>
    <s v="16454"/>
    <x v="2"/>
    <s v="Alta"/>
    <d v="2026-04-24T00:00:00"/>
    <s v="Buzón para envió de documentación con indicador de lectura (envío masivo de cert de IIBB)"/>
    <s v="El buzón se encuentra en fase de pruebas QA pero el pedido de la lotería es que se pueda realizar envío masivo de los cert de IIBB"/>
    <s v="Santiago del Estero"/>
    <s v="Gamma"/>
    <s v="Mantenimiento"/>
    <n v="48"/>
    <x v="4"/>
    <m/>
    <m/>
    <m/>
    <s v="Autorizado por la direccción"/>
    <s v="Alejandro. Desarrollado."/>
    <s v="Lotemovil – Envío masivo de certificados IIBB con acuse de lectura - 1.2.docx"/>
    <m/>
    <n v="100"/>
    <m/>
    <m/>
    <m/>
    <m/>
    <m/>
    <m/>
    <s v="En curso"/>
    <s v="Sin fecha comprometida"/>
    <e v="#REF!"/>
  </r>
  <r>
    <s v="16455"/>
    <x v="2"/>
    <s v="Alta"/>
    <d v="2026-04-25T00:00:00"/>
    <s v="Visualizar estado de resúmenes en pantalla"/>
    <s v="Estado de los resúmenes para que el dueño de agencias pueda ver y controlar"/>
    <s v="Santiago del Estero"/>
    <s v="Gamma"/>
    <s v="Mantenimiento"/>
    <n v="49"/>
    <x v="4"/>
    <m/>
    <m/>
    <m/>
    <s v="Autorizado por la direccción"/>
    <s v="Alejandro. Desarrollado."/>
    <s v="https://tecnoaccionsa.sharepoint.com/:w:/s/GAMMA.2024/IQAaIvvg3eg5SJVxUyCXE6IBAc_JlFy7qcMdpOnljAxsJmY?e=ffUJif"/>
    <m/>
    <n v="60"/>
    <m/>
    <m/>
    <m/>
    <m/>
    <m/>
    <m/>
    <s v="En curso"/>
    <s v="Sin fecha comprometida"/>
    <e v="#REF!"/>
  </r>
  <r>
    <s v="16456"/>
    <x v="2"/>
    <s v="Alta"/>
    <d v="2026-04-24T00:00:00"/>
    <s v="Control y cierre de TJ's - ver cierres m9 y m5"/>
    <s v="Control de las operaciones de m9 (se usa para el cierre de sorteo y/o consultas) y m5 (fin de jornada) por TJ"/>
    <s v="Santiago del Estero"/>
    <s v="Gamma"/>
    <s v="Mantenimiento"/>
    <n v="50"/>
    <x v="4"/>
    <m/>
    <m/>
    <m/>
    <s v="Autorizado por la direccción"/>
    <s v="Paolo y Marcos en desarrollo"/>
    <s v="Lotemovil – Control y cierre de TJ ver cierres M9 y M5 - 1.0.docx"/>
    <m/>
    <n v="100"/>
    <m/>
    <m/>
    <m/>
    <m/>
    <m/>
    <m/>
    <s v="En curso"/>
    <s v="Sin fecha comprometida"/>
    <e v="#REF!"/>
  </r>
  <r>
    <s v="16458"/>
    <x v="2"/>
    <s v="Alta"/>
    <d v="2026-04-24T00:00:00"/>
    <s v="Control y cierre de TJ's - ver productividad por máquina con apertura igual a la de lotermovil viejo_x000a_"/>
    <s v="Control y cierre de TJ's - ver productividad por máquina con apertura igual a la de lotermovil viejo_x000a_"/>
    <s v="Santiago del Estero"/>
    <s v="Gamma"/>
    <s v="Mantenimiento"/>
    <n v="51"/>
    <x v="4"/>
    <m/>
    <m/>
    <m/>
    <s v="Autorizado por la direccción"/>
    <s v="Paolo y Marcos en desarrollo."/>
    <s v="Lotemovil – Control y cierre de TJ ver productividad por terminal - 1.2.docx"/>
    <m/>
    <n v="100"/>
    <m/>
    <m/>
    <m/>
    <m/>
    <m/>
    <m/>
    <s v="En curso"/>
    <s v="Sin fecha comprometida"/>
    <e v="#REF!"/>
  </r>
  <r>
    <s v="16667"/>
    <x v="2"/>
    <s v="Alta"/>
    <d v="2026-05-04T00:00:00"/>
    <s v="Listado - estado general de resúmenes histórico"/>
    <s v="Listados/Listados Generales/Contaduría/ Liquidaciones Agentes/Resúmenes para Lotería/estado general de resúmenes histórico"/>
    <s v="Santiago del Estero"/>
    <s v="Gamma"/>
    <s v="Mantenimiento"/>
    <n v="13"/>
    <x v="2"/>
    <m/>
    <m/>
    <m/>
    <s v="Autorizado por la direccción"/>
    <m/>
    <s v="SDE - GAMMA - Listado - estado general de resúmenes histórico - 1.0.docx"/>
    <m/>
    <n v="24"/>
    <m/>
    <m/>
    <m/>
    <m/>
    <m/>
    <m/>
    <s v="Por hacer"/>
    <s v="Sin fecha comprometida"/>
    <e v="#REF!"/>
  </r>
  <r>
    <s v="16410"/>
    <x v="2"/>
    <s v="Alta"/>
    <d v="2026-04-24T00:00:00"/>
    <s v="Listado - movimientos por imputación/sorteo/código"/>
    <s v="Listados/Listados Generales/Contaduría/ Liquidaciones Agentes/Resúmenes para Lotería/movimientos por imputación/sorteo/código"/>
    <s v="Santiago del Estero"/>
    <s v="Gamma"/>
    <s v="Mantenimiento"/>
    <n v="16"/>
    <x v="2"/>
    <m/>
    <m/>
    <m/>
    <s v="Autorizado por la direccción"/>
    <m/>
    <s v="SDE - GAMMA - Listado - Movimientos por imputación-sorteo-codigo - 1.0.docx"/>
    <m/>
    <n v="24"/>
    <m/>
    <m/>
    <m/>
    <m/>
    <m/>
    <m/>
    <s v="Por hacer"/>
    <s v="Sin fecha comprometida"/>
    <e v="#REF!"/>
  </r>
  <r>
    <s v="16668"/>
    <x v="2"/>
    <s v="Alta"/>
    <d v="2026-05-04T00:00:00"/>
    <s v="Listado - Crédito autorizados por sucursal"/>
    <s v="Listados/Listados Generales/Contaduría/Bancos/Crédito autorizados por sucursal"/>
    <s v="Santiago del Estero"/>
    <s v="Gamma"/>
    <s v="Mantenimiento"/>
    <n v="19"/>
    <x v="2"/>
    <m/>
    <m/>
    <m/>
    <s v="Autorizado por la direccción"/>
    <m/>
    <s v="SDE - GAMMA - Listados - Creditos Autorizados por Sucursal - 1.0.docx"/>
    <m/>
    <n v="24"/>
    <m/>
    <m/>
    <m/>
    <m/>
    <m/>
    <m/>
    <s v="Por hacer"/>
    <s v="Sin fecha comprometida"/>
    <e v="#REF!"/>
  </r>
  <r>
    <s v="16670"/>
    <x v="2"/>
    <s v="Alta"/>
    <d v="2026-05-04T00:00:00"/>
    <s v="Listado - Débitos autorizados por sucursal"/>
    <s v="Listados/Listados Generales/Contaduría/Bancos/Débitos autorizados por sucursal"/>
    <s v="Santiago del Estero"/>
    <s v="Gamma"/>
    <s v="Mantenimiento"/>
    <n v="22"/>
    <x v="2"/>
    <m/>
    <m/>
    <m/>
    <s v="Autorizado por la direccción"/>
    <m/>
    <s v="SDE - GAMMA - Listados - Debitos Autorizados por Sucursal - 1.0.docx"/>
    <m/>
    <n v="24"/>
    <m/>
    <m/>
    <m/>
    <m/>
    <m/>
    <m/>
    <s v="Por hacer"/>
    <s v="Sin fecha comprometida"/>
    <e v="#REF!"/>
  </r>
  <r>
    <s v="16671"/>
    <x v="2"/>
    <s v="Alta"/>
    <d v="2026-05-04T00:00:00"/>
    <s v="Listado - Liquidación"/>
    <s v="Listados/Listados Generales/Contaduría/Bancos/Liquidación"/>
    <s v="Santiago del Estero"/>
    <s v="Gamma"/>
    <s v="Mantenimiento"/>
    <n v="23"/>
    <x v="2"/>
    <m/>
    <m/>
    <m/>
    <s v="Autorizado por la direccción"/>
    <m/>
    <m/>
    <m/>
    <n v="24"/>
    <m/>
    <m/>
    <m/>
    <m/>
    <m/>
    <m/>
    <s v="Por hacer"/>
    <s v="Sin fecha comprometida"/>
    <e v="#REF!"/>
  </r>
  <r>
    <n v="16452"/>
    <x v="2"/>
    <s v="Alta"/>
    <d v="2026-04-24T00:00:00"/>
    <s v="Listado - certificado Retenciones IB"/>
    <s v="Listados/Listados Generales/Contaduría/Impuestos/Rentas/certificado Retenciones IB (Se envia a las agencias a través del panel de agentes)"/>
    <s v="Santiago del Estero"/>
    <s v="Gamma"/>
    <s v="Mantenimiento"/>
    <n v="26"/>
    <x v="2"/>
    <m/>
    <m/>
    <m/>
    <s v="Autorizado por la direccción"/>
    <m/>
    <s v="SDE - GAMMA - Certificado Retenciones IIBB - 1.0.docx"/>
    <m/>
    <n v="24"/>
    <m/>
    <m/>
    <m/>
    <m/>
    <m/>
    <m/>
    <s v="Por hacer"/>
    <s v="Sin fecha comprometida"/>
    <e v="#REF!"/>
  </r>
  <r>
    <n v="16672"/>
    <x v="2"/>
    <s v="Alta"/>
    <d v="2026-05-04T00:00:00"/>
    <s v="Listado - códigos"/>
    <s v="Listados/Listados Generales/Contaduría/Liquidaciones Agentes/códigos"/>
    <s v="Santiago del Estero"/>
    <s v="Gamma"/>
    <s v="Mantenimiento"/>
    <n v="30"/>
    <x v="2"/>
    <m/>
    <m/>
    <m/>
    <s v="Autorizado por la direccción"/>
    <m/>
    <s v="SDE - GAMMA - Listado - Códigos - 1.0.docx"/>
    <m/>
    <n v="24"/>
    <m/>
    <m/>
    <m/>
    <m/>
    <m/>
    <m/>
    <s v="Por hacer"/>
    <s v="Sin fecha comprometida"/>
    <e v="#REF!"/>
  </r>
  <r>
    <n v="16416"/>
    <x v="2"/>
    <s v="Alta"/>
    <d v="2026-04-24T00:00:00"/>
    <s v="Listado - resumen asiento con agentes"/>
    <s v="Listados/Listados Generales/Contaduría/Liquidaciones Agentes/resumen asiento con agentes"/>
    <s v="Santiago del Estero"/>
    <s v="Gamma"/>
    <s v="Mantenimiento"/>
    <n v="31"/>
    <x v="2"/>
    <m/>
    <m/>
    <m/>
    <s v="Autorizado por la direccción"/>
    <m/>
    <s v="SDE - GAMMA - Listado Resumen Asiento con PDV - 1.0.docx"/>
    <m/>
    <n v="24"/>
    <m/>
    <m/>
    <m/>
    <m/>
    <m/>
    <m/>
    <s v="Por hacer"/>
    <s v="Sin fecha comprometida"/>
    <e v="#REF!"/>
  </r>
  <r>
    <n v="16417"/>
    <x v="2"/>
    <s v="Alta"/>
    <d v="2026-04-24T00:00:00"/>
    <s v="Listado - resumen asientos con saldos"/>
    <s v="Listados/Listados Generales/Contaduría/Liquidaciones Agentes/resumen asientos con saldos (dif oficina)"/>
    <s v="Santiago del Estero"/>
    <s v="Gamma"/>
    <s v="Mantenimiento"/>
    <n v="32"/>
    <x v="2"/>
    <m/>
    <m/>
    <m/>
    <s v="Autorizado por la direccción"/>
    <m/>
    <s v="SDE - GAMMA - Listado Resumen Asiento con Saldo - 1.0.docx"/>
    <m/>
    <n v="24"/>
    <m/>
    <m/>
    <m/>
    <m/>
    <m/>
    <m/>
    <s v="Por hacer"/>
    <s v="Sin fecha comprometida"/>
    <e v="#REF!"/>
  </r>
  <r>
    <n v="16673"/>
    <x v="2"/>
    <s v="Alta"/>
    <d v="2026-05-04T00:00:00"/>
    <s v="Listado - estado de cuenta corriente"/>
    <s v="Listados/Listados Generales/Contaduría/Liquidaciones Agentes/Resúmenes para Lotería/estado de cuenta corriente"/>
    <s v="Santiago del Estero"/>
    <s v="Gamma"/>
    <s v="Mantenimiento"/>
    <n v="35"/>
    <x v="2"/>
    <m/>
    <m/>
    <m/>
    <s v="Autorizado por la direccción"/>
    <m/>
    <s v="SDE - GAMMA - Listado - Estado de Cuenta Corriente - ver 1.0.docx"/>
    <m/>
    <n v="24"/>
    <m/>
    <m/>
    <m/>
    <m/>
    <m/>
    <m/>
    <s v="Por hacer"/>
    <s v="Sin fecha comprometida"/>
    <e v="#REF!"/>
  </r>
  <r>
    <n v="16448"/>
    <x v="2"/>
    <s v="Alta"/>
    <d v="2026-04-24T00:00:00"/>
    <s v="Listado - Descuentos y bonificaciones"/>
    <s v="Listados/Listados Generales/Agentes/Liquidación/Descuentos y bonificaciones"/>
    <s v="Santiago del Estero"/>
    <s v="Gamma"/>
    <s v="Mantenimiento"/>
    <n v="39"/>
    <x v="2"/>
    <m/>
    <m/>
    <m/>
    <s v="Autorizado por la direccción"/>
    <m/>
    <s v="SDE - GAMMA - Listado - Descuentos y bonificaciones - ver 1.0.docx"/>
    <m/>
    <n v="24"/>
    <m/>
    <m/>
    <m/>
    <m/>
    <m/>
    <m/>
    <s v="Por hacer"/>
    <s v="Sin fecha comprometida"/>
    <e v="#REF!"/>
  </r>
  <r>
    <s v="16674"/>
    <x v="2"/>
    <s v="Alta"/>
    <d v="2026-05-04T00:00:00"/>
    <s v="Excel de preliquidacion con nueva información"/>
    <s v="Desde la loteria solicitan que los excel que se descargan durante la liquidacion en GAMMA, figure detallado el N° de sorteo y la fecha del mismo."/>
    <s v="Santiago del Estero"/>
    <s v="Gamma"/>
    <s v="Mantenimiento"/>
    <n v="47"/>
    <x v="2"/>
    <m/>
    <m/>
    <m/>
    <s v="Autorizado por la direccción"/>
    <m/>
    <m/>
    <m/>
    <n v="24"/>
    <m/>
    <m/>
    <m/>
    <m/>
    <m/>
    <m/>
    <s v="Por hacer"/>
    <s v="Sin fecha comprometida"/>
    <e v="#REF!"/>
  </r>
  <r>
    <n v="16675"/>
    <x v="2"/>
    <s v="Alta"/>
    <d v="2026-05-04T00:00:00"/>
    <s v="ID716 - Tesoreria - Fecha valor en cobros manuales"/>
    <m/>
    <s v="Corrientes"/>
    <s v="Gamma"/>
    <s v="SAC"/>
    <n v="100"/>
    <x v="3"/>
    <m/>
    <m/>
    <m/>
    <s v="Autorizado por la direccción"/>
    <m/>
    <s v="ID716 - COR - Gamma - Tesoreria - Fecha valor en cobros manuales - 1.0.docx"/>
    <m/>
    <n v="80"/>
    <m/>
    <m/>
    <m/>
    <m/>
    <m/>
    <m/>
    <s v="Por hacer"/>
    <s v="Sin fecha comprometida"/>
    <e v="#REF!"/>
  </r>
  <r>
    <n v="16676"/>
    <x v="2"/>
    <s v="Alta"/>
    <d v="2026-05-04T00:00:00"/>
    <s v="ID718 - Resumenes de preliquidacion en PDF"/>
    <m/>
    <s v="Corrientes"/>
    <s v="Gamma"/>
    <s v="SAC"/>
    <n v="101"/>
    <x v="3"/>
    <m/>
    <m/>
    <m/>
    <s v="Autorizado por la direccción"/>
    <m/>
    <s v="ID718 - COR - Gamma - Resumenes de preliquidacion en PDF - 1.0.docx"/>
    <m/>
    <n v="80"/>
    <m/>
    <m/>
    <m/>
    <m/>
    <m/>
    <m/>
    <s v="Por hacer"/>
    <s v="Sin fecha comprometida"/>
    <e v="#REF!"/>
  </r>
  <r>
    <n v="16677"/>
    <x v="2"/>
    <s v="Alta"/>
    <d v="2026-05-04T00:00:00"/>
    <s v="ID719 - Movimientos manuales con PDV"/>
    <m/>
    <s v="Corrientes"/>
    <s v="Gamma"/>
    <s v="SAC"/>
    <n v="102"/>
    <x v="3"/>
    <m/>
    <m/>
    <m/>
    <s v="Autorizado por la direccción"/>
    <m/>
    <s v="ID719 - COR - Gamma - Movimientos Manuales con PDV - 1.0.docx"/>
    <m/>
    <n v="80"/>
    <m/>
    <m/>
    <m/>
    <m/>
    <m/>
    <m/>
    <s v="Por hacer"/>
    <s v="Sin fecha comprometida"/>
    <e v="#REF!"/>
  </r>
  <r>
    <n v="16678"/>
    <x v="2"/>
    <s v="Alta"/>
    <d v="2026-05-04T00:00:00"/>
    <s v="ID721 - Resumen pagado/cobrado fuera de término"/>
    <m/>
    <s v="Corrientes"/>
    <s v="Gamma"/>
    <s v="SAC"/>
    <n v="103"/>
    <x v="3"/>
    <m/>
    <m/>
    <m/>
    <s v="Autorizado por la direccción"/>
    <m/>
    <s v="ID721 - COR - Gamma - Resumen pagado-cobrado fuera de término - 1.0.docx"/>
    <m/>
    <n v="40"/>
    <m/>
    <m/>
    <m/>
    <m/>
    <m/>
    <m/>
    <s v="Por hacer"/>
    <s v="Sin fecha comprometida"/>
    <e v="#REF!"/>
  </r>
  <r>
    <n v="16679"/>
    <x v="2"/>
    <s v="Alta"/>
    <d v="2026-05-04T00:00:00"/>
    <s v="ID765 - Excepción de sorteos: se borra config al ejecutar EP de sorteos"/>
    <s v="Probado FF el 26/09 en UAT no funciona la solucion o el workarround."/>
    <s v="Corrientes"/>
    <s v="Gamma"/>
    <s v="SAC"/>
    <n v="104"/>
    <x v="3"/>
    <m/>
    <m/>
    <m/>
    <s v="Autorizado por la direccción"/>
    <m/>
    <s v="ID765 – COR - Gamma - Excepción de sorteos - 1.0.docx"/>
    <m/>
    <n v="40"/>
    <m/>
    <m/>
    <m/>
    <m/>
    <m/>
    <m/>
    <s v="Por hacer"/>
    <s v="Sin fecha comprometida"/>
    <e v="#REF!"/>
  </r>
  <r>
    <s v="MAN-674 SF16019"/>
    <x v="2"/>
    <m/>
    <d v="2026-04-14T00:00:00"/>
    <s v="Aumento del tiempo de caducidad de contraseñas"/>
    <s v="Solicitan si es factible modificar el período de 45 días para el cambio de contraseña en el Lotemóvil a raíz de las reiteradas quejas de las agencias, las cuales consideran ése período muy corto y les genera inconvenientes."/>
    <s v="Todas las provincias"/>
    <s v="Panel Agentes-Abaco"/>
    <s v="SAC"/>
    <m/>
    <x v="3"/>
    <m/>
    <m/>
    <m/>
    <m/>
    <s v="Que lo resuelva SAC, porque requeriria muhas horas de trabajo"/>
    <m/>
    <m/>
    <n v="80"/>
    <m/>
    <m/>
    <m/>
    <m/>
    <m/>
    <m/>
    <m/>
    <m/>
    <m/>
  </r>
  <r>
    <s v="MAN-679 SF16067"/>
    <x v="0"/>
    <m/>
    <d v="2026-04-14T00:00:00"/>
    <s v="Error en calendario al configuridad un dia sin actividad"/>
    <s v="Error al configurar un dia feriado o sin actividad. Ya paso antes estaba solucionado y ahora volvio a surgir. Al liquidar en el paralelo de SIGA /GAMMA en TDF en el 1 de abril hasta el 4 de abril. Se vió trabada la operatoria por no poder avanzar ya que al momento de intentar liquidar el dia 1° saltaBa al dia 4 sin liquidar el 1 de abril 2026"/>
    <s v="Tierra del Fuego"/>
    <s v="Gamma"/>
    <s v="SAC"/>
    <m/>
    <x v="3"/>
    <m/>
    <m/>
    <m/>
    <m/>
    <m/>
    <m/>
    <m/>
    <n v="24"/>
    <m/>
    <m/>
    <m/>
    <m/>
    <m/>
    <m/>
    <m/>
    <m/>
    <m/>
  </r>
  <r>
    <s v="MAN-697 15940"/>
    <x v="0"/>
    <s v="Muy alta"/>
    <d v="2026-04-20T00:00:00"/>
    <s v="Gamma- Costo papel"/>
    <s v="En GAMMA no esta saliendo los movimientos n° 6 de Consumo Papel en todos los juegos de la provincia. Si ya esta abierto en otra provincia lo desconozco y desestimar el caso de ser asi"/>
    <s v="Tierra del Fuego"/>
    <s v="Gamma"/>
    <m/>
    <m/>
    <x v="1"/>
    <m/>
    <m/>
    <m/>
    <s v="Duplicado de 15068? Eso dicen"/>
    <s v="Ya se lo pidieron y lo va a encarar"/>
    <m/>
    <m/>
    <n v="24"/>
    <m/>
    <m/>
    <m/>
    <m/>
    <m/>
    <m/>
    <m/>
    <m/>
    <m/>
  </r>
  <r>
    <s v="MAN-698 16245"/>
    <x v="0"/>
    <m/>
    <d v="2026-04-20T00:00:00"/>
    <s v="Gamma - Error en Preliquidacion"/>
    <s v="Lotería informó un error al intentar iniciar la preliquidación del día domingo 19-04-2026, se visualiza en pantalla &quot;No value present - NoSuchElementException&quot;."/>
    <s v="Jujuy"/>
    <s v="Gamma"/>
    <s v="SAC"/>
    <m/>
    <x v="3"/>
    <m/>
    <m/>
    <m/>
    <m/>
    <m/>
    <m/>
    <m/>
    <n v="16"/>
    <m/>
    <m/>
    <m/>
    <m/>
    <m/>
    <m/>
    <m/>
    <m/>
    <m/>
  </r>
  <r>
    <s v="00009750  Gamma - 000048_x000a_"/>
    <x v="2"/>
    <s v="Alta"/>
    <s v="15/10/2025"/>
    <s v="COR-Abaco-Control de Caja en Lotemovil"/>
    <s v="El registro de cupones en Lotemóvil (por PDV, juego, concepto: Validado/Pagado y monto totalizado), se visualiza correctamente y como tal, pero no detalla información específica de cada jugada. El agente solicita el mismo a fin de controlar la correcta validación de cupones, por ejemplo cuando la TJ no genera el ticket."/>
    <s v="Corrientes"/>
    <s v="Abaco"/>
    <s v="SAC"/>
    <m/>
    <x v="3"/>
    <m/>
    <m/>
    <m/>
    <m/>
    <m/>
    <m/>
    <m/>
    <n v="8"/>
    <m/>
    <m/>
    <m/>
    <m/>
    <m/>
    <m/>
    <s v="Por hacer"/>
    <s v="Sin fecha comprometida"/>
    <e v="#REF!"/>
  </r>
  <r>
    <s v="00008124"/>
    <x v="0"/>
    <m/>
    <d v="2025-09-15T00:00:00"/>
    <s v="Gamma-T.L.P.-Agregar nuevas localidades"/>
    <s v="Impacta en creacion nuevos PDV. Bloqueante para asignacion a pdv"/>
    <s v="Todas las provincias"/>
    <s v="Gamma"/>
    <s v="SAC"/>
    <m/>
    <x v="3"/>
    <m/>
    <m/>
    <m/>
    <s v="Horacio preguntará al cliente"/>
    <m/>
    <m/>
    <m/>
    <n v="60"/>
    <m/>
    <m/>
    <m/>
    <m/>
    <m/>
    <m/>
    <s v="Por hacer"/>
    <s v="Sin fecha comprometida"/>
    <e v="#REF!"/>
  </r>
  <r>
    <s v="00008127"/>
    <x v="2"/>
    <m/>
    <s v="15/9/2025"/>
    <s v="Gamma-T.L.P.-Generación de archivos para descuentos y bonificaciones:"/>
    <s v="Codigos contables y montos, MD5 etc. Convertimos el formato xls a txt"/>
    <s v="Todas las provincias"/>
    <s v="Gamma"/>
    <s v="SAC"/>
    <m/>
    <x v="3"/>
    <m/>
    <m/>
    <m/>
    <s v="Averiguar como se puede ya que cada Lotería es diferente."/>
    <m/>
    <m/>
    <m/>
    <n v="120"/>
    <m/>
    <m/>
    <m/>
    <m/>
    <m/>
    <m/>
    <s v="Por hacer"/>
    <s v="Sin fecha comprometida"/>
    <e v="#REF!"/>
  </r>
  <r>
    <s v="00008140"/>
    <x v="2"/>
    <m/>
    <s v="15/9/2025"/>
    <s v="Gamma-T.L.P.- Solicitud de reporte de reglas configuradas"/>
    <m/>
    <s v="Todas las provincias"/>
    <s v="Gamma"/>
    <s v="SAC"/>
    <m/>
    <x v="3"/>
    <m/>
    <m/>
    <m/>
    <m/>
    <m/>
    <m/>
    <m/>
    <n v="120"/>
    <m/>
    <m/>
    <m/>
    <m/>
    <m/>
    <m/>
    <s v="Por hacer"/>
    <s v="Sin fecha comprometida"/>
    <e v="#REF!"/>
  </r>
  <r>
    <s v="00008121"/>
    <x v="0"/>
    <m/>
    <s v="15/9/2025"/>
    <s v="Gamma-T.L.P.-ETL-No ingresan movimientos para la liquidacion"/>
    <s v="datos de sistemas perifericos (medios digitales, lotline etc) , a veces bloqueante a veces permite realizar el proceso pero con faltante de informacion"/>
    <s v="Todas las provincias"/>
    <s v="Gamma"/>
    <s v="SAC"/>
    <m/>
    <x v="3"/>
    <m/>
    <m/>
    <m/>
    <m/>
    <m/>
    <m/>
    <s v="FE para homologar casos por el operador sin intervención de tecno"/>
    <n v="180"/>
    <m/>
    <m/>
    <m/>
    <m/>
    <m/>
    <m/>
    <s v="Por hacer"/>
    <s v="Sin fecha comprometida"/>
    <e v="#REF!"/>
  </r>
  <r>
    <s v="00008128"/>
    <x v="2"/>
    <m/>
    <s v="15/9/2025"/>
    <s v="Gamma-T.L.P- Devoluciones CSA e IVA CSA. (Mensualmente). entre otros"/>
    <s v="Codigos contables y montos, MD5 etc, aca son 2 archivos. Convertimos el formato xls a txt."/>
    <s v="Todas las provincias"/>
    <s v="Gamma"/>
    <s v="SAC"/>
    <m/>
    <x v="5"/>
    <m/>
    <m/>
    <m/>
    <m/>
    <m/>
    <m/>
    <s v="hecho"/>
    <n v="0"/>
    <m/>
    <m/>
    <m/>
    <m/>
    <m/>
    <m/>
    <s v="Otro"/>
    <s v="Sin fecha comprometida"/>
    <e v="#REF!"/>
  </r>
  <r>
    <s v="00008133"/>
    <x v="0"/>
    <m/>
    <s v="15/9/2025"/>
    <s v="Gamma-T.L.P.-Nuevo concepto no se actualiza en BD ETL, tabla accounting_codes"/>
    <s v="Ante la aparición de un nuevo concepto proveniente de algún endpoint, es necesario modificar datos en la BD ETL, tabla accounting_codes_x000a_Previamente, la Lotería debe crear el código contable correspondiente. No imputan movimientos en la cuenta corriente generando diferencias"/>
    <s v="Todas las provincias"/>
    <s v="Gamma"/>
    <s v="SAC"/>
    <m/>
    <x v="3"/>
    <m/>
    <m/>
    <m/>
    <s v="HB: 12/02 Similar a 00008136"/>
    <m/>
    <m/>
    <s v="mismo req que el man8121"/>
    <n v="60"/>
    <m/>
    <m/>
    <m/>
    <m/>
    <m/>
    <m/>
    <s v="Por hacer"/>
    <s v="Sin fecha comprometida"/>
    <e v="#REF!"/>
  </r>
  <r>
    <s v="00008138"/>
    <x v="2"/>
    <m/>
    <s v="15/9/2025"/>
    <s v="Gamma-T.L.P- Actualizacion de PDV"/>
    <s v="No permite modificar datos como por ej localidad"/>
    <s v="Todas las provincias"/>
    <s v="Gamma"/>
    <s v="SAC"/>
    <m/>
    <x v="6"/>
    <m/>
    <m/>
    <m/>
    <s v="Esto está en producción. Debe validar SAC."/>
    <m/>
    <m/>
    <m/>
    <m/>
    <m/>
    <m/>
    <m/>
    <m/>
    <m/>
    <m/>
    <s v="Implementación"/>
    <s v="Sin fecha comprometida"/>
    <e v="#REF!"/>
  </r>
  <r>
    <s v="679"/>
    <x v="1"/>
    <m/>
    <d v="2025-07-11T00:00:00"/>
    <s v="Plan controlado de despliegues integrales - integrar devops"/>
    <s v="Acordar con DevOps como se organizan despliegues."/>
    <s v="Todas las provincias"/>
    <s v="Gamma"/>
    <s v="SAC"/>
    <m/>
    <x v="3"/>
    <m/>
    <m/>
    <m/>
    <s v="Leo armó un docuemento que debe consensuarse con Infra"/>
    <m/>
    <m/>
    <m/>
    <n v="8"/>
    <m/>
    <m/>
    <m/>
    <m/>
    <m/>
    <m/>
    <s v="Por hacer"/>
    <s v="Sin fecha comprometida"/>
    <e v="#REF!"/>
  </r>
  <r>
    <s v="690"/>
    <x v="1"/>
    <m/>
    <d v="2025-07-15T00:00:00"/>
    <s v="Revisión completa del uso de Kafka"/>
    <s v="En UAT anda mal (resto ambientes ok)  con problemas en UAT y potencial para PRD.Analisis en Desarrollo. Luego ver con DevOps"/>
    <s v="Todas las provincias"/>
    <s v="Gamma"/>
    <s v="SAC"/>
    <m/>
    <x v="3"/>
    <m/>
    <m/>
    <m/>
    <m/>
    <s v="Es de Infra el tema. Desarrollo que se entere por Infra y listo."/>
    <m/>
    <m/>
    <n v="0"/>
    <m/>
    <m/>
    <m/>
    <m/>
    <m/>
    <m/>
    <s v="Por hacer"/>
    <s v="Sin fecha comprometida"/>
    <e v="#REF!"/>
  </r>
  <r>
    <s v="708"/>
    <x v="1"/>
    <m/>
    <d v="2025-07-23T00:00:00"/>
    <s v="Revisión de políticas de respaldo en general para info sensible o auditable x entes"/>
    <s v="Backup de archivos de presentaciones en general, y estructura de almacenamiento. Hablar con Luis."/>
    <s v="Todas las provincias"/>
    <s v="Gamma"/>
    <s v="SAC"/>
    <m/>
    <x v="3"/>
    <m/>
    <m/>
    <m/>
    <m/>
    <m/>
    <m/>
    <m/>
    <n v="0"/>
    <m/>
    <m/>
    <m/>
    <m/>
    <m/>
    <m/>
    <s v="Por hacer"/>
    <s v="Sin fecha comprometida"/>
    <e v="#REF!"/>
  </r>
  <r>
    <s v="871"/>
    <x v="1"/>
    <m/>
    <d v="2025-10-09T00:00:00"/>
    <s v="Versión de Keycloak deprecada"/>
    <s v="Ver con Infra"/>
    <s v="Todas las provincias"/>
    <s v="Gamma"/>
    <s v="SAC"/>
    <m/>
    <x v="3"/>
    <m/>
    <m/>
    <m/>
    <m/>
    <s v="Es de Infra el tema. Que expliquen a desarrollo que van a hacer"/>
    <m/>
    <m/>
    <n v="0"/>
    <m/>
    <m/>
    <m/>
    <m/>
    <m/>
    <m/>
    <s v="Por hacer"/>
    <s v="Sin fecha comprometida"/>
    <e v="#REF!"/>
  </r>
  <r>
    <s v="902"/>
    <x v="1"/>
    <m/>
    <d v="2025-10-09T00:00:00"/>
    <s v="Kafka - revisar versión"/>
    <s v="Ver con Infra"/>
    <s v="Todas las provincias"/>
    <s v="Gamma"/>
    <s v="SAC"/>
    <m/>
    <x v="3"/>
    <m/>
    <m/>
    <m/>
    <m/>
    <s v="Es de Infra el tema. Que expliquen a desarrollo que van a hacer"/>
    <m/>
    <m/>
    <n v="0"/>
    <m/>
    <m/>
    <m/>
    <m/>
    <m/>
    <m/>
    <s v="Por hacer"/>
    <s v="Sin fecha comprometida"/>
    <e v="#REF!"/>
  </r>
  <r>
    <s v="903"/>
    <x v="1"/>
    <m/>
    <d v="2025-10-09T00:00:00"/>
    <s v="zookeeper - revisar versión"/>
    <s v="Ver con Infra"/>
    <s v="Todas las provincias"/>
    <s v="Gamma"/>
    <s v="SAC"/>
    <m/>
    <x v="3"/>
    <m/>
    <m/>
    <m/>
    <m/>
    <s v="Es de Infra el tema. Que expliquen a desarrollo que van a hacer"/>
    <m/>
    <m/>
    <n v="0"/>
    <m/>
    <m/>
    <m/>
    <m/>
    <m/>
    <m/>
    <s v="Por hacer"/>
    <s v="Sin fecha comprometida"/>
    <e v="#REF!"/>
  </r>
  <r>
    <s v="MAN-620"/>
    <x v="0"/>
    <m/>
    <d v="2025-07-18T00:00:00"/>
    <s v="SLA- Solicitud API sincronizar SAA-GAMMA(ver si corresponde al equipo de Fabiana)"/>
    <s v="Se solicita habilitación Api para sincronizar SAA-Gamma, sobre todo tema relacionado con las agencias activas y su identificación comercial. Cuit-cuil/cambios de domicilios etc"/>
    <s v="Todas las provincias"/>
    <s v="Gamma"/>
    <s v="SAC"/>
    <m/>
    <x v="3"/>
    <s v="MARZO"/>
    <m/>
    <m/>
    <m/>
    <s v="Hay que arreglar el sincroagencias para multilotería.  ver con Fabiana."/>
    <m/>
    <m/>
    <n v="0"/>
    <m/>
    <m/>
    <m/>
    <m/>
    <m/>
    <m/>
    <s v="Por hacer"/>
    <s v="Sin fecha comprometida"/>
    <e v="#REF!"/>
  </r>
  <r>
    <s v="MAN-00011119"/>
    <x v="2"/>
    <m/>
    <d v="2025-11-13T00:00:00"/>
    <s v="COR- Modificacion de listado Movimientos Diarios(Sf Casos 11119-11127-11122"/>
    <s v="Lotería solicita que el listado de movimientos diarios  _x000a_- Se emita y/o visualice en una sola hoja._x000a_- Quitar la impresión de &quot;Liquidaciones Pendientes&quot;._x000a_- Aumentar el tamaño de la letra del importe a pagar y agregar la fecha de vencimiento al lado."/>
    <s v="Corrientes"/>
    <s v="Gamma"/>
    <s v="SAC"/>
    <m/>
    <x v="6"/>
    <m/>
    <m/>
    <m/>
    <s v="Parece imposible con la cantidad de datos que hay. Son muchos pedidos para un solo ticket. Que hagan tickets individuales y lo valide SAC"/>
    <m/>
    <m/>
    <m/>
    <n v="0"/>
    <m/>
    <m/>
    <m/>
    <m/>
    <m/>
    <m/>
    <s v="Implementación"/>
    <s v="Sin fecha comprometida"/>
    <e v="#REF!"/>
  </r>
  <r>
    <s v="MAN-00011282"/>
    <x v="2"/>
    <m/>
    <d v="2025-11-17T00:00:00"/>
    <s v="JUJ-NOA- Modificación carga de archivos externos"/>
    <s v="La Lotería solicita que el sistema NOA se adapte a la carga de archivos generados por los proveedores (para la carga de entregas, devoluciones de ser necesario, premios y retenciones), con el objetivo de automatizar el procedimiento y reducir al mínimo la intervención manual en el proceso. Esta mejora busca optimizar tiempos y disminuir riesgos asociados a la manipulación humana."/>
    <s v="Jujuy"/>
    <s v="NOA"/>
    <s v="SAC"/>
    <m/>
    <x v="3"/>
    <m/>
    <m/>
    <m/>
    <s v="Hay que llevarlo a algo concreto y claro. Que se pide exactamente?"/>
    <m/>
    <m/>
    <m/>
    <n v="60"/>
    <m/>
    <m/>
    <m/>
    <m/>
    <m/>
    <m/>
    <s v="Por hacer"/>
    <s v="Sin fecha comprometida"/>
    <e v="#REF!"/>
  </r>
  <r>
    <s v="MAN-00014262"/>
    <x v="0"/>
    <m/>
    <d v="2026-02-06T00:00:00"/>
    <s v="Gamma-COR Error en la liquidación"/>
    <s v="Al iniciar la liquidación aparece un error de ETL._x000a_Se consulta al Soporte Gamma. Se verifica que un Alta nuevo en SAA estaba duplicado en gamma. Ag 440-005."/>
    <s v="Corrientes"/>
    <s v="Gamma"/>
    <s v="Mantenimiento"/>
    <m/>
    <x v="6"/>
    <m/>
    <m/>
    <m/>
    <s v="Sucedió porque dos máquinas se habilitaron al mismo tiempo. Fue un error operativo. "/>
    <s v="Se puede evitar desde el sistema."/>
    <m/>
    <m/>
    <n v="24"/>
    <m/>
    <m/>
    <m/>
    <m/>
    <m/>
    <m/>
    <s v="Implementación"/>
    <s v="Sin fecha comprometida"/>
    <e v="#REF!"/>
  </r>
  <r>
    <s v="MAN-14000 MAN - 000458"/>
    <x v="2"/>
    <m/>
    <d v="2026-01-28T00:00:00"/>
    <s v="NOA Habilitar Editar / Anular Remito"/>
    <s v="Se solicita habilitar las opciones de NOA para poder editar y/o eliminar remitos de entrada/salida. Se adjunta imagen"/>
    <s v="Corrientes"/>
    <s v="NOA"/>
    <s v="SAC"/>
    <m/>
    <x v="6"/>
    <m/>
    <m/>
    <m/>
    <s v="Esto puede traer quilombo. No deberían editar o elimiar remitos. Es por seguridad y consistecia del sistema"/>
    <m/>
    <m/>
    <m/>
    <n v="0"/>
    <m/>
    <m/>
    <m/>
    <m/>
    <m/>
    <m/>
    <s v="Implementación"/>
    <s v="Sin fecha comprometida"/>
    <e v="#REF!"/>
  </r>
  <r>
    <s v="MAN-517 SF13331"/>
    <x v="0"/>
    <m/>
    <d v="2026-01-08T00:00:00"/>
    <s v="GAMMA no genera el certificado de Retención de IIBB"/>
    <s v="GAMMA no genera el certificado de Retención de IIBB como se hace en el SIGA. Adjunto como tendria que salir, Tiene que salir dentro de constancia de retención dentro del modulo Contabilidad. Por mas que se pruebe con varios numero de presentación el certificado no lo genera."/>
    <s v="Santa Cruz"/>
    <s v="Gamma"/>
    <m/>
    <m/>
    <x v="5"/>
    <m/>
    <m/>
    <m/>
    <m/>
    <m/>
    <m/>
    <m/>
    <n v="0"/>
    <m/>
    <m/>
    <m/>
    <m/>
    <m/>
    <m/>
    <s v="Otro"/>
    <s v="Sin fecha comprometida"/>
    <e v="#REF!"/>
  </r>
  <r>
    <s v="MAN-521 SF14871"/>
    <x v="0"/>
    <m/>
    <d v="2026-03-03T00:00:00"/>
    <s v="Gamma- No se visualizan nros de movimientos manuales"/>
    <s v="En el GAMMA los movimientos que se cargan de forma manual y ya fue probado en las liquidaciones no se visualizan por mas que esten cargados los datos. Se adjunta las capturas de un ejemplo. El Movimiento manual cargado del Tele ag 300 con 5100 con el numero de sorteo cargado. Se liquidó. En la preliquidacion no se ve y tampoco en la el movimiento liquidado de la misma agencia."/>
    <s v="Santa Cruz"/>
    <s v="Gamma"/>
    <m/>
    <m/>
    <x v="6"/>
    <m/>
    <m/>
    <m/>
    <s v="No se entiende. Ver con Luis y SAC."/>
    <m/>
    <m/>
    <m/>
    <n v="0"/>
    <m/>
    <m/>
    <m/>
    <m/>
    <m/>
    <m/>
    <m/>
    <m/>
    <m/>
  </r>
  <r>
    <s v="MAN-615 SF15068"/>
    <x v="2"/>
    <s v="Muy alta"/>
    <d v="2026-03-07T00:00:00"/>
    <s v="Gamma- Costo por Cupon - TK Proy MAN-811"/>
    <s v="Gamma- En las liquidaciones del Paralelo falta que se solicita que se cargue a todas la agencias se refleje en todas las liquidaciones diarias el costo por cupon actualmente es por 2,00 (valor variable)."/>
    <s v="Tierra del Fuego"/>
    <s v="Gamma"/>
    <s v="SAC"/>
    <m/>
    <x v="4"/>
    <m/>
    <m/>
    <m/>
    <m/>
    <m/>
    <s v="https://tecnoaccionsa-my.sharepoint.com/:w:/g/personal/fgarufi_tecnoaccion_com_ar/IQBAU4fS_sleT4jYnVlJU-FWAUWpxBIkeJ-jw92j_gNhWsY?e=J8GuAl"/>
    <m/>
    <n v="60"/>
    <m/>
    <m/>
    <m/>
    <m/>
    <m/>
    <m/>
    <m/>
    <m/>
    <m/>
  </r>
  <r>
    <s v="MAN-652 SF15835"/>
    <x v="2"/>
    <m/>
    <d v="2026-04-06T00:00:00"/>
    <s v="Padron de agentes IIBB (Nota 013/26)"/>
    <s v="La loteria de Santa Cruz el padron de IIBB lo genera en txt y la loteria lo pide con el formato que se adjunta en pdf. El padron debe respetar exactamente igual a las constancias que se emiten a los agencieros y consecuente mente los totales de importe retenido y el retenido. y como todo reporte piden que tenga el logo de la loteria"/>
    <s v="Santa Cruz"/>
    <s v="Gamma"/>
    <m/>
    <m/>
    <x v="5"/>
    <m/>
    <m/>
    <m/>
    <m/>
    <m/>
    <s v="Esto se desprende luego de la nota 013/26 enviada por Fernanda Serrano"/>
    <m/>
    <n v="0"/>
    <m/>
    <m/>
    <m/>
    <m/>
    <m/>
    <m/>
    <m/>
    <m/>
    <m/>
  </r>
  <r>
    <s v="MAN-00011662"/>
    <x v="1"/>
    <m/>
    <d v="2025-11-25T00:00:00"/>
    <s v="Gamma- Consumo de memoria"/>
    <s v="análisis y eventual solicitud de ampliación de memoria siendo que hoy las loterías en dicho entorno son Salta / Jujuy / La Rioja / Corrientes / Santa Cruz y estamos en las puertas de incorporar a Santiago del Estero."/>
    <s v="Todas las provincias"/>
    <s v="Gamma"/>
    <m/>
    <m/>
    <x v="7"/>
    <m/>
    <m/>
    <m/>
    <m/>
    <m/>
    <m/>
    <m/>
    <n v="0"/>
    <m/>
    <m/>
    <m/>
    <m/>
    <m/>
    <m/>
    <s v="Otro"/>
    <s v="Sin fecha comprometida"/>
    <e v="#REF!"/>
  </r>
  <r>
    <s v="MAN-00011639_x000a_"/>
    <x v="2"/>
    <m/>
    <d v="2025-11-25T00:00:00"/>
    <s v="Gamma Reporte de ventas y Comisiones"/>
    <s v="Loteria solicita  un reporte en Excel con la información de ventas y comisiones que se enviaba con anterioridad de manera mensual (se adjunta el Excel del mes pasado de referencia) pero además incluir códigos liquidados de VLT mes noviembre. Esta información adicional anteriormente se descargaban desde SIGA en el módulo Consulta &gt; Contaduría &gt; Liquidación de Agentes &gt; Matriz de Códigos Liquidados. _x000a_El reporte Excel final con toda la información debe ser enviado el 2 de diciembre por Mail a la siguiente dirección: evera@loteriacorrentina.gov.ar ._x000a_Se adjunta ejemplos descriptivos."/>
    <s v="Corrientes"/>
    <s v="Gamma"/>
    <s v="SAC"/>
    <m/>
    <x v="3"/>
    <d v="2025-12-02T00:00:00"/>
    <m/>
    <m/>
    <m/>
    <m/>
    <m/>
    <m/>
    <n v="20"/>
    <m/>
    <m/>
    <m/>
    <m/>
    <m/>
    <m/>
    <s v="Por hacer"/>
    <s v="Sin fecha comprometida"/>
    <e v="#REF!"/>
  </r>
  <r>
    <s v="1"/>
    <x v="1"/>
    <m/>
    <d v="2025-12-03T00:00:00"/>
    <s v="Revisión de microservicios que no se usan"/>
    <m/>
    <s v="Todas las provincias"/>
    <s v="Gamma"/>
    <s v="SAC"/>
    <m/>
    <x v="3"/>
    <m/>
    <m/>
    <m/>
    <m/>
    <m/>
    <m/>
    <m/>
    <n v="8"/>
    <m/>
    <m/>
    <m/>
    <m/>
    <m/>
    <m/>
    <s v="Por hacer"/>
    <s v="Sin fecha comprometida"/>
    <e v="#REF!"/>
  </r>
  <r>
    <s v="2"/>
    <x v="1"/>
    <m/>
    <d v="2025-12-03T00:00:00"/>
    <s v="Revisión de procesos ETL que no se usan"/>
    <m/>
    <s v="Todas las provincias"/>
    <s v="Gamma"/>
    <m/>
    <m/>
    <x v="4"/>
    <m/>
    <m/>
    <m/>
    <m/>
    <m/>
    <m/>
    <m/>
    <n v="0"/>
    <m/>
    <m/>
    <m/>
    <m/>
    <m/>
    <m/>
    <s v="En curso"/>
    <s v="Sin fecha comprometida"/>
    <e v="#REF!"/>
  </r>
  <r>
    <s v="3"/>
    <x v="1"/>
    <m/>
    <d v="2025-12-03T00:00:00"/>
    <s v="Revisión de memoria redis y cache"/>
    <m/>
    <s v="Todas las provincias"/>
    <s v="Gamma"/>
    <s v="SAC"/>
    <m/>
    <x v="3"/>
    <m/>
    <m/>
    <m/>
    <m/>
    <m/>
    <m/>
    <m/>
    <n v="20"/>
    <m/>
    <m/>
    <m/>
    <m/>
    <m/>
    <m/>
    <s v="Por hacer"/>
    <s v="Sin fecha comprometida"/>
    <e v="#REF!"/>
  </r>
  <r>
    <s v="4"/>
    <x v="1"/>
    <m/>
    <d v="2025-12-03T00:00:00"/>
    <s v="Revisión de tareas programadas que no se usan."/>
    <m/>
    <s v="Todas las provincias"/>
    <s v="Gamma"/>
    <m/>
    <m/>
    <x v="7"/>
    <m/>
    <m/>
    <m/>
    <m/>
    <m/>
    <m/>
    <m/>
    <n v="0"/>
    <m/>
    <m/>
    <m/>
    <m/>
    <m/>
    <m/>
    <s v="Otro"/>
    <s v="Sin fecha comprometida"/>
    <e v="#REF!"/>
  </r>
  <r>
    <s v="MAN-00012125"/>
    <x v="0"/>
    <m/>
    <d v="2025-12-09T00:00:00"/>
    <s v="presentación de IIBB. casino"/>
    <s v="Se realizaron pruebas en el entorno UAT con la propuesta de solución de Luis Rodríguez, pero no se obtuvo el resultado esperado. Él continúa trabajando en una alternativa. Una vez que esté lista para su validación, se llevará a cabo una nueva verificación en UAT, y si la prueba es exitosa, procederemos a su implementación en producción."/>
    <s v="Corrientes"/>
    <s v="Gamma"/>
    <s v="SAC"/>
    <m/>
    <x v="3"/>
    <m/>
    <m/>
    <m/>
    <m/>
    <m/>
    <m/>
    <m/>
    <n v="16"/>
    <m/>
    <m/>
    <m/>
    <m/>
    <m/>
    <m/>
    <s v="Por hacer"/>
    <s v="Sin fecha comprometida"/>
    <e v="#REF!"/>
  </r>
  <r>
    <s v="MAN-00012726_x000a_"/>
    <x v="2"/>
    <m/>
    <d v="2025-12-19T00:00:00"/>
    <s v="SAL Integración Lotix y convivencia con Lotline"/>
    <s v="Se necesita analizar la integración con Gamma-Lotix"/>
    <s v="Salta"/>
    <s v="Gamma"/>
    <s v="SAC"/>
    <m/>
    <x v="3"/>
    <m/>
    <m/>
    <m/>
    <m/>
    <m/>
    <m/>
    <m/>
    <n v="40"/>
    <m/>
    <m/>
    <m/>
    <m/>
    <m/>
    <m/>
    <s v="Por hacer"/>
    <s v="Sin fecha comprometida"/>
    <e v="#REF!"/>
  </r>
  <r>
    <s v="16953"/>
    <x v="2"/>
    <s v="Media"/>
    <d v="2026-05-12T00:00:00"/>
    <s v="LR-Gamma Solicitud de Mejora para el Listado Estado General de Resúmenes en la Rioja_x000a_"/>
    <s v="Se solicita una mejora en el listado estado general de resúmenes para La Rioja , ya que según el personal que lo opera necesita ciertas mejoras para poder usarlo - adjunto informe .-_x000a_"/>
    <s v="La Rioja"/>
    <s v="Gamma"/>
    <s v="Mantenimiento"/>
    <m/>
    <x v="8"/>
    <m/>
    <m/>
    <m/>
    <s v="Esto afecta a todas las provincias. Tener en cuenta."/>
    <s v="Detallar bien para todas. Que sea bien claro para evitar retrabajos."/>
    <m/>
    <m/>
    <n v="40"/>
    <m/>
    <m/>
    <m/>
    <m/>
    <m/>
    <m/>
    <s v="Por hacer"/>
    <s v="Sin fecha comprometida"/>
    <e v="#REF!"/>
  </r>
  <r>
    <s v="16954"/>
    <x v="2"/>
    <s v="Media"/>
    <d v="2026-05-12T00:00:00"/>
    <s v="Se solicita la generación de un comprobante al realizar un movimiento Manual_x000a_"/>
    <s v="Por razones administrativas se requiere la generación de un comprobante manual en Formato PDF , incluyendo los items mencionados en le informe ._x000a_"/>
    <s v="La Rioja"/>
    <s v="Gamma"/>
    <s v="Mantenimiento"/>
    <m/>
    <x v="3"/>
    <m/>
    <m/>
    <m/>
    <m/>
    <m/>
    <m/>
    <m/>
    <n v="24"/>
    <m/>
    <m/>
    <m/>
    <m/>
    <m/>
    <m/>
    <s v="Por hacer"/>
    <s v="Sin fecha comprometida"/>
    <e v="#REF!"/>
  </r>
  <r>
    <s v="MAN-13030"/>
    <x v="0"/>
    <m/>
    <d v="2025-12-29T00:00:00"/>
    <s v="SC- Formato archivo de banco"/>
    <s v="Verificar por favor el formato del archivo de banco de para los Cobros. El archivo de ejemplo es el que analizó el Banco Santa Cruz con el que trabaja ésta Loteria. Adjunto los archivos en cuestion y lo que pidió el banco. Solicitamos el analisis de los mismo para que sean modificados como pide el banco para su proceso correcto,"/>
    <s v="Santa Cruz"/>
    <s v="Gamma"/>
    <m/>
    <m/>
    <x v="6"/>
    <m/>
    <m/>
    <m/>
    <m/>
    <m/>
    <m/>
    <m/>
    <n v="0"/>
    <m/>
    <m/>
    <m/>
    <m/>
    <m/>
    <m/>
    <s v="Implementación"/>
    <s v="Sin fecha comprometida"/>
    <e v="#REF!"/>
  </r>
  <r>
    <s v="MAN-0010257"/>
    <x v="0"/>
    <m/>
    <d v="2026-01-05T00:00:00"/>
    <s v="COR- Gamma-Reporte"/>
    <s v="Cuando se incorpora un archivo bancario cancelando un resumen vencido el sistema no refleja correctamente el balanceo en cta cte. Si cambia correctamente el estado del mismo._x000a_Lo mismo sucede en S. Cruz caso en SF. 9950 de dicha Prov."/>
    <s v="Corrientes"/>
    <s v="Gamma"/>
    <m/>
    <m/>
    <x v="6"/>
    <m/>
    <s v="MARZO"/>
    <m/>
    <m/>
    <m/>
    <m/>
    <m/>
    <n v="0"/>
    <m/>
    <m/>
    <m/>
    <m/>
    <m/>
    <m/>
    <s v="Implementación"/>
    <e v="#VALUE!"/>
    <e v="#REF!"/>
  </r>
  <r>
    <s v="MAN - 000561 SF15148"/>
    <x v="0"/>
    <m/>
    <d v="2026-01-14T00:00:00"/>
    <s v="Gamma- Registro de pagos cobros en el modulo de caja, Agencia nueva"/>
    <s v="Lotería comenta que desde que se dió de alta la agencia 220 no se puede procesar en caja para cobrar o pagar._x000a_Se intentó procesar las liquidaciones de a una o grupales como las demás y en todos los casos da &quot;Error de conexión&quot;"/>
    <s v="Jujuy"/>
    <s v="Gamma"/>
    <m/>
    <m/>
    <x v="3"/>
    <s v="MARZO"/>
    <m/>
    <m/>
    <m/>
    <m/>
    <m/>
    <m/>
    <n v="36"/>
    <m/>
    <m/>
    <m/>
    <m/>
    <m/>
    <m/>
    <s v="Por hacer"/>
    <s v="Sin fecha comprometida"/>
    <e v="#REF!"/>
  </r>
  <r>
    <s v="MAN-191 SF10881"/>
    <x v="2"/>
    <m/>
    <d v="2026-01-30T00:00:00"/>
    <s v="Gamma- RN- Exportacion de archivos a Bejerman Web."/>
    <s v="Solicitan que el archivo que sale en txt de exportación de asientos lo puedan sacar en XLS con el nuevo formato para Bejerman Web"/>
    <s v="Río Negro"/>
    <s v="Gamma"/>
    <m/>
    <m/>
    <x v="3"/>
    <m/>
    <s v="MARZO"/>
    <m/>
    <m/>
    <m/>
    <m/>
    <m/>
    <n v="40"/>
    <m/>
    <m/>
    <m/>
    <m/>
    <m/>
    <m/>
    <s v="Por hacer"/>
    <e v="#VALUE!"/>
    <e v="#REF!"/>
  </r>
  <r>
    <s v="MAN-00014048"/>
    <x v="0"/>
    <m/>
    <d v="2026-01-30T00:00:00"/>
    <s v="Gamma | CHECKINGACCOUNT – Caídas de servicio"/>
    <s v="Se adjunta log y captura de pantalla con los horarios de las caidas. Se detectaron dos caídas del servicio CHECKINGACCOUNT del aplicativo Gamma, una el viernes 23/01 pasado alrededor de las 00:00 hs y otra el viernes 30/01, en un horario similar._x000a_Se solicita análisis del incidente, causa raíz y acciones correctivas/preventivas."/>
    <s v="Todas las provincias"/>
    <s v="Gamma"/>
    <m/>
    <m/>
    <x v="6"/>
    <m/>
    <m/>
    <m/>
    <m/>
    <m/>
    <m/>
    <m/>
    <n v="0"/>
    <m/>
    <m/>
    <m/>
    <m/>
    <m/>
    <m/>
    <s v="Implementación"/>
    <s v="Sin fecha comprometida"/>
    <e v="#REF!"/>
  </r>
  <r>
    <s v="MAN-12357"/>
    <x v="2"/>
    <m/>
    <d v="2025-12-16T00:00:00"/>
    <s v="Modulo de Caja - Permitir cargar la fecha de pago del resumen"/>
    <s v="Lotería solicita lo antes posible que en el modulo CAJA exista la opción de elegir fecha de pago, a los fines de incorporar cobros manuales con fechas anteriores a la fecha actual del sistema._x000a_Tiene relación directa con el MAN ID716 - Tesoreria - Fecha valor en cobros manuales"/>
    <s v="Corrientes"/>
    <s v="Gamma"/>
    <m/>
    <m/>
    <x v="3"/>
    <m/>
    <m/>
    <m/>
    <m/>
    <m/>
    <m/>
    <m/>
    <n v="36"/>
    <m/>
    <m/>
    <m/>
    <m/>
    <m/>
    <m/>
    <s v="Por hacer"/>
    <s v="Sin fecha comprometida"/>
    <e v="#REF!"/>
  </r>
  <r>
    <s v="  MAN - 000466_x000a_SF 14508"/>
    <x v="0"/>
    <s v="Alta"/>
    <s v="15/9/2025"/>
    <s v="Gamma-LR-No entran los movimientos en las liquidaciones"/>
    <s v="Es necesario cambiar manualmente el estado de liquidación de los días domingos, desmarcando el estado “liquidado” y configurándolo en false."/>
    <s v="Todas las provincias"/>
    <s v="Gamma"/>
    <s v="Mantenimiento"/>
    <n v="7"/>
    <x v="2"/>
    <d v="2026-01-31T00:00:00"/>
    <s v="MARZO"/>
    <m/>
    <s v="El problema sigue. El paliativo es no configurar el domingo hasta el dia que lo vas a liquidar. (El martes mismo que liquidan) Bajaría la prioridad.  Hay que documentar. Solución que otra provincia no impacte en la que no tiene actividad."/>
    <m/>
    <s v="LR - GAMMA - CASO 8134 - No entran los movimientos en las liquidaciones - 1.2.DOC"/>
    <m/>
    <n v="13"/>
    <m/>
    <m/>
    <m/>
    <m/>
    <m/>
    <m/>
    <s v="Por hacer"/>
    <e v="#VALUE!"/>
    <e v="#REF!"/>
  </r>
  <r>
    <s v="MAN-00008136"/>
    <x v="0"/>
    <s v="Alta"/>
    <s v="15/9/2025"/>
    <s v="Gamma-T.L.P.- Agregar modulo de homologación._x000a_Caso 8136"/>
    <s v="Homologación de Imputación y Código Contable para el servicio Discount_x000a_Para que nuevos movimientos puedan ser ingresados mediante el servicio, deben insertarse registros en la BD-Discount, tabla Homologation_imputation"/>
    <s v="Todas las provincias"/>
    <s v="Gamma"/>
    <s v="Mantenimiento"/>
    <n v="8"/>
    <x v="2"/>
    <d v="2026-01-31T00:00:00"/>
    <s v="MARZO"/>
    <m/>
    <m/>
    <m/>
    <s v="Caso 8136 - Homologación de códigos contables en DISCON - 1.1.docx"/>
    <m/>
    <n v="68"/>
    <s v="Jimena"/>
    <m/>
    <m/>
    <m/>
    <m/>
    <m/>
    <s v="Por hacer"/>
    <e v="#VALUE!"/>
    <e v="#REF!"/>
  </r>
  <r>
    <s v="00008135"/>
    <x v="2"/>
    <s v="Alta"/>
    <s v="15/9/2025"/>
    <s v="Gamma-T.L.P.-ABM para reglas"/>
    <s v="a. Cambios de alícuotas, nuevos conceptos o creación de nuevas zonas que impacten en los cálculos requieren la creación de nuevas reglas en BD Calculator, de forma manual._x000a_b. Generación de reglas particulares según necesidad específica."/>
    <s v="Todas las provincias"/>
    <s v="Gamma"/>
    <s v="Mantenimiento"/>
    <n v="10"/>
    <x v="2"/>
    <d v="2026-01-31T00:00:00"/>
    <s v="MARZO"/>
    <m/>
    <s v="Cumple con los parámetros de la dirección. En desarrolo  ABM de comisiones. No hay ABM de impuestos (faltarían los impuestos)"/>
    <m/>
    <s v="https://tecnoaccionsa.sharepoint.com/:w:/s/GAMMA.2024/IQAdK3QuBWdcQLY7heyCwY-hAet-gDt7lWKMOA3O1k2O1zw?e=j9Sbue"/>
    <m/>
    <n v="51"/>
    <s v="Marcos"/>
    <m/>
    <m/>
    <m/>
    <m/>
    <m/>
    <s v="Por hacer"/>
    <e v="#VALUE!"/>
    <e v="#REF!"/>
  </r>
  <r>
    <s v="MAN-511"/>
    <x v="0"/>
    <s v="Media"/>
    <d v="2025-06-04T00:00:00"/>
    <d v="2025-06-04T00:00:00"/>
    <s v="Jujuy Gamma Desde contable comentan que para el periodo de mayo, no es posible descargar las declaraciones juradas y las constancias de lo que se genera en impuestos a las Ganancias y lo que se genera para el cobro de IIBB. Está mal la información como el formato._x000a__x000a_Por lo que teniendo fecha de vencimiento de presentación hasta este viernes 06/06/25, solicitan la corrección urgente de la misma._x000a__x000a_Por lo que solicito un Jira que permita ver y solucionar este tema. Luis Rodriguez como Mario están al tanto del problema."/>
    <s v="Jujuy"/>
    <s v="Gamma"/>
    <s v="Mantenimiento"/>
    <n v="11"/>
    <x v="2"/>
    <m/>
    <s v="MARZO"/>
    <m/>
    <s v=" Está Ingresos Brutos. Falta GANANCIAS. HACER OTRO TICKET CON EL ERROR ESPECIFICO PARA GANANCIAS!!!!!!!!!"/>
    <m/>
    <m/>
    <n v="2"/>
    <n v="41"/>
    <s v="Paolo"/>
    <m/>
    <m/>
    <m/>
    <m/>
    <m/>
    <s v="Por hacer"/>
    <e v="#VALUE!"/>
    <e v="#REF!"/>
  </r>
  <r>
    <s v="7855"/>
    <x v="0"/>
    <s v="Media"/>
    <d v="2025-11-09T00:00:00"/>
    <s v="Duplicados en reporte Resumen de Obligaciones"/>
    <s v="Problema en el Excel exportado en el proceso de Liquidación, es decir en el Reporte Resumen de Obligaciones._x000a_Duplicado la Agencia 10"/>
    <s v="Corrientes"/>
    <s v="Gamma"/>
    <s v="Mantenimiento"/>
    <n v="12"/>
    <x v="2"/>
    <m/>
    <m/>
    <m/>
    <s v="Registros duplicados de obligación de pagos para la agencia 10_x000a_Análisis:_x000a_Se detectó que el endpoint que consulta las obligaciones de cobros y pagos durante una preliquidación devuelve registros duplicados para la agencia 10. La causa se debe a que en la tabla banking_accounts existen dos registros asociados a la misma agencia, de los cuales uno se encuentra en estado deleted._x000a_La duplicación se produce porque, para la generación del reporte, la información se extrae desde dos bases de datos distintas (Agencies y Checking_accounts). De ambas se obtienen los resúmenes y los datos complementarios de las agencias (CUIT, CBU, etc.), lo que provoca la inconsistencia._x000a_Solución propuesta:_x000a_Modificar los scripts de consulta de manera que el endpoint:_x000a_Considere únicamente los registros de banking_accounts cuyo campo deleted sea NULL._x000a_Filtre adicionalmente por el campo organization_id correspondiente tanto en la base de datos Agencies como en Checking_accounts"/>
    <s v="Ver esfuerzo. "/>
    <s v="MAN-7855 - COR - GAMMA - Duplicados reporte Resumen de Obligaciones - 1.0.docx"/>
    <m/>
    <n v="14"/>
    <s v="Jimena"/>
    <m/>
    <m/>
    <m/>
    <m/>
    <m/>
    <s v="Por hacer"/>
    <s v="Sin fecha comprometida"/>
    <e v="#REF!"/>
  </r>
  <r>
    <s v="MAN - 000093          10708_x000a_"/>
    <x v="0"/>
    <s v="Alta"/>
    <d v="2025-11-03T00:00:00"/>
    <s v="Error en reporte 104 - Gamma._x000a_Caso SF 00010708 MAN-573"/>
    <s v="Lotería reclama un error en el reporte 104, que desde hoy aparece (aparentemente a causa de la implementación del viernes 31-10-25)._x000a_En la selección de agencias para emitir reportes, el sistema muestra en pantalla el reporte con otros números de agencia que no existen siquiera._x000a_El área de fiscalización contable reclama por estár haciendo controles por el mes de Octubre."/>
    <s v="Jujuy"/>
    <s v="Gamma"/>
    <s v="Mantenimiento"/>
    <n v="13"/>
    <x v="2"/>
    <m/>
    <m/>
    <m/>
    <s v="Sería de bajo esfuerzo solucionarlo. Ver con Tejerina"/>
    <m/>
    <s v="MAN 0483 - Error en reporte 104 - 1.0.docx"/>
    <m/>
    <n v="14"/>
    <s v="Alejandro"/>
    <m/>
    <m/>
    <m/>
    <m/>
    <m/>
    <s v="Por hacer"/>
    <s v="Sin fecha comprometida"/>
    <e v="#REF!"/>
  </r>
  <r>
    <s v="MAN-483"/>
    <x v="0"/>
    <s v="Alta"/>
    <d v="2025-05-28T00:00:00"/>
    <s v="JUY-Gamma Reporte movimientos de la lotería por la agencia 998  Ver Caso 6675"/>
    <s v="Luego de revisar un poco los reportes, se encontró que los movimientos de la lotería por la agencia 998 por pago de premios por tesorería o de otra agencia, se están perdiendo por no registrarse._x000a_            Por lo que los reportes tienen faltante de información._x000a__x000a_            Solicitamos revisar el problema y sugerir una solución a la misma, para poder presentar los reportes a lotería antes de fin de mes."/>
    <s v="Jujuy"/>
    <s v="Gamma"/>
    <s v="Mantenimiento"/>
    <n v="14"/>
    <x v="2"/>
    <m/>
    <m/>
    <m/>
    <s v="Este es por el 104. Detallar bien que se quiere."/>
    <s v="Consenso con Fabiana"/>
    <m/>
    <m/>
    <n v="34"/>
    <s v="Tejerina"/>
    <m/>
    <m/>
    <m/>
    <m/>
    <m/>
    <s v="Por hacer"/>
    <s v="Sin fecha comprometida"/>
    <e v="#REF!"/>
  </r>
  <r>
    <s v="MAN - 000061_x000a_"/>
    <x v="0"/>
    <s v="Alta"/>
    <d v="2025-10-23T00:00:00"/>
    <s v="BD propia de NOA no sincroniza con agencias del GAMMA (Prioridad ALTA). Caso SF 00010300"/>
    <s v="Al modificar los datos de una agencia existente o crear una nueva en GAMMA, NOA no actualiza la información.Para Priorizar"/>
    <s v="Todas las provincias"/>
    <s v="NOA"/>
    <s v="Mantenimiento"/>
    <n v="15"/>
    <x v="2"/>
    <d v="2025-12-01T00:00:00"/>
    <s v="MARZO"/>
    <m/>
    <s v="Estaría para desplegar el lunes?"/>
    <s v="Se desplegó?  Implementado?"/>
    <m/>
    <n v="1"/>
    <n v="4"/>
    <n v="1"/>
    <m/>
    <n v="4"/>
    <m/>
    <m/>
    <m/>
    <s v="Por hacer"/>
    <e v="#VALUE!"/>
    <e v="#REF!"/>
  </r>
  <r>
    <s v="MAN-00012574"/>
    <x v="0"/>
    <s v="Media"/>
    <d v="2025-11-26T00:00:00"/>
    <s v="NOA- Generación Archivo Entregas "/>
    <s v="Lotería utiliza . sacan el reporte de siga en preimpresos&gt; generación de archivos para entregas._x000a_EN NOA/Procesamiento de archivos/Ventas Telekino - Archivo de Salida (No Funciona o no esta desarrollado)"/>
    <s v="Corrientes"/>
    <s v="NOA"/>
    <m/>
    <n v="16"/>
    <x v="2"/>
    <m/>
    <s v="MARZO"/>
    <m/>
    <m/>
    <m/>
    <s v="NOA - MAN 12574 - Generación archivo de entregas - 1.0.docx"/>
    <m/>
    <n v="41"/>
    <s v="Paolo"/>
    <m/>
    <m/>
    <m/>
    <m/>
    <m/>
    <s v="Por hacer"/>
    <e v="#VALUE!"/>
    <e v="#REF!"/>
  </r>
  <r>
    <s v="MAN - 000094_x000a_10705"/>
    <x v="0"/>
    <s v="Alta"/>
    <d v="2025-11-03T00:00:00"/>
    <s v="*Resúmenes de crédito con fecha errónea de vencimiento*_x000a_Reporte resumen de obligaciones solo figura total a cobrar. Caso SF 00010705"/>
    <s v="En la liquidación del día Domingo 2 de noviembre, en el paso &quot;Resumen de Obligaciones&quot; en pantalla vemos tanto &quot;Total a Pagar&quot; como &quot;Total a cobrar&quot; sin embargo al exportar el Excel solo figura total a cobrar, falta que se visualice en el archivo de Excel la información correspondiente a total a pagar."/>
    <s v="Corrientes"/>
    <s v="Gamma"/>
    <s v="Mantenimiento"/>
    <n v="17"/>
    <x v="2"/>
    <m/>
    <s v="MARZO"/>
    <m/>
    <s v="Ocurrió solo una vez luego de una actualización de Gamma y solo ocurrió en Corrientes. No se sabe que pasó. Se supone que fue algo colateral de esa implementación en particular. Se recomienda observa si vuelve a ocurrir alguna vez. Corriente asumiría que este de desestime si no se repite."/>
    <m/>
    <m/>
    <m/>
    <n v="4"/>
    <s v="Jimena"/>
    <m/>
    <m/>
    <m/>
    <m/>
    <m/>
    <s v="Por hacer"/>
    <e v="#VALUE!"/>
    <e v="#REF!"/>
  </r>
  <r>
    <s v="558"/>
    <x v="1"/>
    <s v="Alta"/>
    <d v="2025-05-23T00:00:00"/>
    <s v="Investigar funcionamiento de los procesos de depuración"/>
    <s v="Analisis en Desarrollo. Proceso de depuración. Luego Infra corre depuración a pedido."/>
    <s v="Todas las provincias"/>
    <s v="Gamma"/>
    <s v="Mantenimiento"/>
    <n v="18"/>
    <x v="2"/>
    <m/>
    <m/>
    <m/>
    <m/>
    <m/>
    <m/>
    <m/>
    <n v="8"/>
    <s v="Tejerina"/>
    <m/>
    <m/>
    <m/>
    <m/>
    <m/>
    <s v="Por hacer"/>
    <s v="Sin fecha comprometida"/>
    <e v="#REF!"/>
  </r>
  <r>
    <s v="595"/>
    <x v="1"/>
    <s v="Alta"/>
    <d v="2025-06-06T00:00:00"/>
    <s v="planificar depuraciones"/>
    <s v="Analisis en Desarrollo. Proceso de depuración. Luego Infra corre depuración a pedido."/>
    <s v="Todas las provincias"/>
    <s v="Gamma"/>
    <s v="Mantenimiento"/>
    <n v="19"/>
    <x v="2"/>
    <m/>
    <m/>
    <m/>
    <m/>
    <m/>
    <m/>
    <m/>
    <n v="4"/>
    <s v="Tejerina"/>
    <m/>
    <m/>
    <m/>
    <m/>
    <m/>
    <s v="Por hacer"/>
    <s v="Sin fecha comprometida"/>
    <e v="#REF!"/>
  </r>
  <r>
    <s v="MAN-71"/>
    <x v="0"/>
    <s v="Media"/>
    <d v="2025-01-03T00:00:00"/>
    <s v="SLA GAMMA MAN-9524 Modulo Contabilidad-Generacion de constancias no guarda nro de presentacion en tablas._x000a_Caso 6637."/>
    <m/>
    <s v="Salta"/>
    <s v="Gamma"/>
    <s v="Mantenimiento"/>
    <n v="1"/>
    <x v="2"/>
    <m/>
    <s v="MARZO"/>
    <d v="2025-11-06T00:00:00"/>
    <s v="Sabrina indicó en el correo del 14/11/2025 que este sigue abierto. Que es un PROBLEMA de Media y el responsable interno es Santiago. Ver con Santiago y Luis. Estaría resuelto."/>
    <m/>
    <m/>
    <n v="1"/>
    <n v="4"/>
    <s v="Tejerina"/>
    <m/>
    <m/>
    <m/>
    <m/>
    <m/>
    <s v="Por hacer"/>
    <e v="#VALUE!"/>
    <e v="#REF!"/>
  </r>
  <r>
    <s v="00009746"/>
    <x v="0"/>
    <s v="Alta"/>
    <s v="14/10/2025"/>
    <s v="Caso 9746- COR-Gamma -Declaración Jurada IIBB"/>
    <s v="El archivo txt generado por GAMMA no contiene el CUIT de lotería ni el periodo._x000a_Adjunto imagen de como genera en gamma y como lo debería generar."/>
    <s v="Corrientes"/>
    <s v="Gamma"/>
    <s v="Mantenimiento"/>
    <n v="20"/>
    <x v="2"/>
    <m/>
    <m/>
    <d v="2025-11-06T00:00:00"/>
    <s v="Quedó algo que se pedirá en otro caso de SF. Este se cierra. QUE SE CIERRE. LO VALIDEN!!!"/>
    <m/>
    <m/>
    <m/>
    <n v="6"/>
    <s v="Alejandro"/>
    <m/>
    <m/>
    <m/>
    <m/>
    <m/>
    <s v="Por hacer"/>
    <s v="Sin fecha comprometida"/>
    <e v="#REF!"/>
  </r>
  <r>
    <s v="MAN-00011429"/>
    <x v="0"/>
    <s v="Media"/>
    <d v="2025-11-18T00:00:00"/>
    <s v="Juj- Gamma- Listado 144"/>
    <s v="El reporte 144, los movimientos de la agencia 998 no aparece. Lotería realiza los pagos de premios menores y mayores en la institución con la Sunmi 998-0-1. Por lo que el sistema debe reflejar los movimientos de dinero implicados en estas acciones."/>
    <s v="Jujuy"/>
    <s v="Gamma"/>
    <s v="Mantenimiento"/>
    <n v="21"/>
    <x v="2"/>
    <m/>
    <m/>
    <m/>
    <s v="Lo revisamos con Luis Rodriguez y José Candia:  agregar al filtro agencias del reporte 104 y 144 la opción de seleccionar todas las agencias. Que tenga un check para incluir tambien los no liquidables.Y debe permitir seleccionar más de 10 agencias "/>
    <m/>
    <m/>
    <m/>
    <n v="4"/>
    <s v="Tejerina"/>
    <m/>
    <m/>
    <m/>
    <m/>
    <m/>
    <s v="Por hacer"/>
    <s v="Sin fecha comprometida"/>
    <e v="#REF!"/>
  </r>
  <r>
    <s v="00009735"/>
    <x v="0"/>
    <s v="Alta"/>
    <d v="2025-10-13T00:00:00"/>
    <s v="No salen los caducos en la liquidacion"/>
    <s v="Durante la liquidación de estas fechas, Loto Plus del 9/10 y Telekino TJ del 11/10 no salieron en la liquidados los caducos en GAMMA._x000a_Se debe dar solución al endpoint de sorteos y adjuducaciones y con eso se resuelve de forma definitiva. El EndPoint de Sorteo y Adjudicación, debería identificar cuales son las novedades y mandar a Gamma solo eso. Gamma no está interpretando la información._x000a_ "/>
    <s v="Jujuy"/>
    <s v="Gamma"/>
    <s v="Mantenimiento"/>
    <n v="22"/>
    <x v="2"/>
    <m/>
    <s v="MARZO"/>
    <m/>
    <s v="Relacionado con 11646 (Duplicado)"/>
    <s v="Está hecho?"/>
    <s v="MAN-9735 y 11646 - Null sobrescribe adjudicación y premios - 1.1.pdf"/>
    <m/>
    <n v="8"/>
    <s v="Tejerina"/>
    <m/>
    <m/>
    <m/>
    <m/>
    <m/>
    <s v="Por hacer"/>
    <e v="#VALUE!"/>
    <e v="#REF!"/>
  </r>
  <r>
    <s v="MAN-00011646"/>
    <x v="0"/>
    <s v="Media"/>
    <d v="2025-11-25T00:00:00"/>
    <s v="Gamma-No trajo caducos Q6 y Brinco"/>
    <s v="En la preliquidacion del día sábado 22 del-11 . No Aparecieron los caducos que el sistema trae automáticamente correspondientes al Quini 6 y Brinco. Este error ya sucedió._x000a_Se soluciono incorporando los caducos de estos juegos por archivo desde el modulo Descuentos y Bonificaciones._x000a_Se aclara que no se realizaron modificaciones de calendario de sorteo en SAA de estos juegos."/>
    <s v="Corrientes"/>
    <s v="Gamma"/>
    <m/>
    <n v="23"/>
    <x v="2"/>
    <m/>
    <s v="MARZO"/>
    <m/>
    <s v="Solo pasa cuando se cambia una caducidad en un sorteo ya cerrado. (Luis) Pero dicen que no ha cambiado nada.Es de baja probabilidad de impacto alto si no avisaron. Deben tener un procedimiento escrito para avisar que se ha cambiado la caducidad de un sorteo (Jujuy manda mail)"/>
    <m/>
    <s v="COR - GAMMA - MAN 11456 - Error al incorporar archivo de banco - 2.0.docx"/>
    <s v="Sería más complicado. Ver con Tejerina. Podría ser SAA. Hay que poner inteligencia"/>
    <n v="8"/>
    <s v="Paolo"/>
    <m/>
    <m/>
    <m/>
    <m/>
    <m/>
    <s v="Por hacer"/>
    <e v="#VALUE!"/>
    <e v="#REF!"/>
  </r>
  <r>
    <s v="MAN-00011480"/>
    <x v="0"/>
    <s v="Baja"/>
    <d v="2025-11-19T00:00:00"/>
    <s v="TLP-Gamma-Reporte 21"/>
    <s v="Análisis preliminar recopilatorio:_x000a__x000a_Cuando se da de alta un PDV asociado a una Organización, el proceso impacta sobre la tabla organizations y establece el campo name en NULL; es decir, el registro se crea con el id correspondiente, pero el nombre de la organización no se genera._x000a__x000a_ _x000a__x000a_Impacto:_x000a__x000a_A nivel Gamma: No se observan efectos funcionales._x000a__x000a_A nivel reportes: El inconveniente afecta el Reporte 21 de La Rioja, ya que este reporte obtiene el nombre de la organización desde la tabla mencionada._x000a__x000a_Entorno: El error se presenta en el ambiente de Producción."/>
    <s v="Todas las provincias"/>
    <s v="Gamma"/>
    <m/>
    <n v="24"/>
    <x v="2"/>
    <m/>
    <m/>
    <m/>
    <s v="Solo afecta al reporte 21  en La Rioja. Es un reporte a demanda cuando alguna agencia tiene un credito a favor. (Paga más premios de lo que vendió)"/>
    <m/>
    <s v="https://tecnoaccionsa.sharepoint.com/:w:/s/GAMMA.2024/IQD2qcHLL_06QYw0_0yapXa_AUEIYj9A4MEgsv4dNHtxtXE?e=I2LkXT"/>
    <s v="Estima luis que no es mucho esfuerzo"/>
    <n v="8"/>
    <s v="Alejandro"/>
    <m/>
    <m/>
    <m/>
    <m/>
    <m/>
    <s v="Por hacer"/>
    <s v="Sin fecha comprometida"/>
    <e v="#REF!"/>
  </r>
  <r>
    <s v="MAN-00011546"/>
    <x v="0"/>
    <s v="Baja"/>
    <d v="2025-11-20T00:00:00"/>
    <s v="Gamma- Error al incorporar archivo de banco"/>
    <s v="Se verifica que cuando se reprocesa se produce un error en los resultados, luego de la carga del archivo bancario (se adjunta captura de pantalla)._x000a_Solución propuesta: volver a cargar el archivo, no reprocesar"/>
    <s v="Corrientes"/>
    <s v="Gamma"/>
    <m/>
    <n v="25"/>
    <x v="2"/>
    <m/>
    <m/>
    <m/>
    <m/>
    <m/>
    <s v="MAN 11456 - Error al incorporar archivo de banco - 2.1.pdf"/>
    <s v="No sería complicado"/>
    <n v="16"/>
    <s v="Jimena"/>
    <m/>
    <m/>
    <m/>
    <m/>
    <m/>
    <s v="Por hacer"/>
    <s v="Sin fecha comprometida"/>
    <e v="#REF!"/>
  </r>
  <r>
    <s v="367"/>
    <x v="1"/>
    <m/>
    <d v="2025-02-01T00:00:00"/>
    <s v="checking_account inestable con Eureka"/>
    <s v="el ms se comporta de manera inestable con Eureka"/>
    <s v="Todas las provincias"/>
    <s v="Gamma"/>
    <s v="Mantenimiento"/>
    <m/>
    <x v="2"/>
    <m/>
    <m/>
    <m/>
    <m/>
    <s v="Hay que involucrar a Infra antes de Desarrollo. Empezar con una reunión conjunta."/>
    <m/>
    <m/>
    <n v="16"/>
    <s v="Tejerina"/>
    <m/>
    <m/>
    <m/>
    <m/>
    <m/>
    <s v="Por hacer"/>
    <s v="Sin fecha comprometida"/>
    <e v="#REF!"/>
  </r>
  <r>
    <s v="MAN-668 SF15881"/>
    <x v="0"/>
    <m/>
    <d v="2026-04-10T00:00:00"/>
    <s v="SC - Gamma Reporte 103 modificado luego de despliegue"/>
    <s v="Después de la implementación del 6/4/26 el reporte 103 perdió las columnas propias que tenia 1 columna para los debitos y la otra para los creditos y sus totales para cada columna en el debe y en la columna haber. Ahora sale todo en una misma columna. La loteria de Santa Cruz pide que los debitos y los creditos tenga su propia columna como antes. Y los archivos exportados en el reporte sea con permisos de edición no como sale ahora que lo hace solo con permisos de lectura."/>
    <s v="Santa Cruz"/>
    <s v="Gamma"/>
    <s v="SAC"/>
    <n v="3"/>
    <x v="3"/>
    <m/>
    <m/>
    <m/>
    <m/>
    <m/>
    <m/>
    <m/>
    <m/>
    <m/>
    <m/>
    <m/>
    <m/>
    <m/>
    <m/>
    <m/>
    <m/>
    <m/>
  </r>
  <r>
    <s v="MAN-620"/>
    <x v="2"/>
    <s v="Media"/>
    <d v="2025-07-18T00:00:00"/>
    <s v="SLA- Solicitud API sincronizar SAA-GAMMA"/>
    <s v="Se solicita habilitación Api para sincronizar SAA-Gamma, sobre todo tema relacionado con las agencias activas y su identificación comercial. Cuit-cuil/cambios de domicilios etc"/>
    <s v="Salta"/>
    <s v="Gamma"/>
    <s v="SAC"/>
    <n v="999"/>
    <x v="3"/>
    <m/>
    <m/>
    <m/>
    <s v="Hay que ver si esto es de Gamma o Mundo SAA y satelites. Sabrina indicó en el correo del 14/11/2025 que este sigue abierto. Que es un REQUERIMIENTO de Media y el responsable interno es Franco ¿Esto debería hacer sincroagencias?Preguntar a Marino."/>
    <m/>
    <m/>
    <m/>
    <n v="40"/>
    <m/>
    <m/>
    <m/>
    <m/>
    <m/>
    <m/>
    <s v="Por hacer"/>
    <s v="Sin fecha comprometida"/>
    <e v="#REF!"/>
  </r>
  <r>
    <s v="00008137"/>
    <x v="2"/>
    <s v="Media"/>
    <s v="15/9/2025"/>
    <s v="Gamma-T.L.P.- Permitir borrar Códigos Contables"/>
    <s v="En caso de errores de creación de códigos contables por parte de la Lotería (especialmente en el tipo de código contable), las correcciones solo pueden realizarse desde las tablas"/>
    <s v="Todas las provincias"/>
    <s v="Gamma"/>
    <s v="SAC"/>
    <n v="999"/>
    <x v="3"/>
    <m/>
    <m/>
    <m/>
    <s v="Se puede borrar si nunca se uso. Y si se uso no se puede editar el tipo de código contable. Baja prioridad."/>
    <m/>
    <m/>
    <s v="Borrar/modificar"/>
    <n v="40"/>
    <s v="Paolo"/>
    <m/>
    <m/>
    <m/>
    <m/>
    <m/>
    <s v="Por hacer"/>
    <s v="Sin fecha comprometida"/>
    <e v="#REF!"/>
  </r>
  <r>
    <s v="MAN-665 SF15922"/>
    <x v="0"/>
    <m/>
    <d v="2026-04-08T00:00:00"/>
    <s v="SLA - GAMMA - Duplicidad de Cancelación de Débitos"/>
    <s v="Para los casos en que SDE y SLA tengan un mismo número de resumen para una misma agencia, el cobro realizado en SDE también impacta en la de SLA._x000a_Ej. la Agencia 6 de SDE con el resumen 33488 que corresponde a la liquidación del día 15/02/2026. La de SLA que tiene el mismo número de resumen y agencia corresponde al día 02/06/2024."/>
    <s v="Salta"/>
    <s v="Gamma"/>
    <s v="SAC"/>
    <n v="5"/>
    <x v="3"/>
    <m/>
    <m/>
    <m/>
    <m/>
    <m/>
    <m/>
    <m/>
    <m/>
    <m/>
    <m/>
    <m/>
    <m/>
    <m/>
    <m/>
    <m/>
    <m/>
    <m/>
  </r>
  <r>
    <s v="MAN-00012734   MAN-00013568 ver correo 13568"/>
    <x v="0"/>
    <s v="Media"/>
    <d v="2025-12-19T00:00:00"/>
    <s v="LR-NOA Problemas para cargar remito proveedor de Telekino "/>
    <s v="error al cargar los remitos de los sorteos de Telekino. Se requiere intervención de sistema para desbloquear la carga._x000a_Hay que ejecutar este scripts en BD-ta_business :_x000a__x000a_ _x000a__x000a_ta_business:_x000a__x000a_ _x000a__x000a_update raffles set coupons_amount_per_bundle=1_x000a__x000a_where organization_id =3 and game_id =8_x000a__x000a_and &quot;number&quot; in (2405,_x000a__x000a_2406,_x000a__x000a_2407,_x000a__x000a_2408);"/>
    <s v="La Rioja"/>
    <s v="NOA"/>
    <s v="SAC"/>
    <n v="999"/>
    <x v="3"/>
    <m/>
    <m/>
    <m/>
    <m/>
    <m/>
    <m/>
    <m/>
    <n v="8"/>
    <s v="Marcos"/>
    <m/>
    <m/>
    <m/>
    <m/>
    <m/>
    <s v="Por hacer"/>
    <s v="Sin fecha comprometida"/>
    <e v="#REF!"/>
  </r>
  <r>
    <s v="MAN-669 SF15900"/>
    <x v="2"/>
    <m/>
    <d v="2026-04-10T00:00:00"/>
    <s v="SLA - Gamma Reporte PDV para cambio alícuotas masivas"/>
    <s v="Se necesita se genere un reporte de PDV para cambio alícuotas masivas. El reporte debe tener los siguientes campos:_x000a_PDV - CUIT - LOCALIDAD - IIBB - TISSH"/>
    <s v="Salta"/>
    <s v="Gamma"/>
    <s v="SAC"/>
    <m/>
    <x v="3"/>
    <m/>
    <m/>
    <m/>
    <m/>
    <m/>
    <m/>
    <m/>
    <m/>
    <m/>
    <m/>
    <m/>
    <m/>
    <m/>
    <m/>
    <m/>
    <m/>
    <m/>
  </r>
  <r>
    <s v="MAN-670 SF15939"/>
    <x v="2"/>
    <m/>
    <d v="2026-04-10T00:00:00"/>
    <s v="COR - Gamma Archivos de cobros bancarios-Backproces"/>
    <s v="Realizaron Backprocess de archivos de cobros bancarios cuyos movimientos ya se habían liquidado y luego procesaron un nuevo archivo sobre resúmenes ya cancelados cuyos saldos ya estaban liquidados y generando un desbalance entre movimiento de saldos y movimientos de cancelaciones._x000a_No se debe hacer backprocess de archivos de cobros procesados cuando ya salieron los movimientos generados (saldo y/o cancelaciones) en alguna liquidación"/>
    <s v="Corrientes"/>
    <s v="Gamma"/>
    <s v="SAC"/>
    <m/>
    <x v="3"/>
    <m/>
    <m/>
    <m/>
    <m/>
    <m/>
    <m/>
    <m/>
    <m/>
    <m/>
    <m/>
    <m/>
    <m/>
    <m/>
    <m/>
    <m/>
    <m/>
    <m/>
  </r>
  <r>
    <n v="10453"/>
    <x v="0"/>
    <s v="Alta"/>
    <d v="2024-12-06T00:00:00"/>
    <s v="Ordenar los datos de pantalla de recuperación PW._x000a_Caso 6646."/>
    <s v="Ordenar los datos de pantalla de recuperación password"/>
    <s v="Salta"/>
    <s v="Abaco"/>
    <s v="SAC"/>
    <m/>
    <x v="3"/>
    <m/>
    <m/>
    <m/>
    <s v="Responsable Interno: Napoleón. Sabrina priorizo como requerimiento pendiente de Alta prioridad en el correo del 14/11/2025"/>
    <m/>
    <s v="SAL - LOTEMOVIL - MAN-592 Contraseña vencida - CASO-10453 Mail de recuperacion - ver 1.1.docx"/>
    <m/>
    <n v="4"/>
    <s v="Marcos"/>
    <m/>
    <m/>
    <m/>
    <m/>
    <m/>
    <s v="Por hacer"/>
    <s v="Sin fecha comprometida"/>
    <e v="#REF!"/>
  </r>
  <r>
    <s v="MAN-121"/>
    <x v="0"/>
    <s v="Media"/>
    <d v="2025-01-14T00:00:00"/>
    <s v="SLA GAMMA MAN-9527 Modulo Contabilidad-Diferencias en cálculo de retenciones. Caso 6639."/>
    <m/>
    <s v="Salta"/>
    <s v="Gamma"/>
    <s v="SAC"/>
    <n v="4"/>
    <x v="3"/>
    <m/>
    <s v="MARZO"/>
    <m/>
    <s v="Sabrina indicó en el correo del 14/11/2025 que este sigue abierto. Que es un PROBLEMA de Media y el responsable interno es Santiago"/>
    <m/>
    <m/>
    <n v="1"/>
    <n v="24"/>
    <s v="Jimena"/>
    <m/>
    <m/>
    <m/>
    <m/>
    <m/>
    <s v="Por hacer"/>
    <e v="#VALUE!"/>
    <e v="#REF!"/>
  </r>
  <r>
    <s v="MAN-128"/>
    <x v="0"/>
    <s v="Alta"/>
    <d v="2025-01-14T00:00:00"/>
    <s v="SLA GAMMA MAN-9560 Descuentos y bonificaciones - uso del modulo de manera independiente para la carga de movimientos_x000a_Caso 6640 fue cerrado. Hay que abrir en SF un caso vinculado a MAN-128 y MAN-9560 para pedir solucion final"/>
    <m/>
    <s v="Salta"/>
    <s v="Gamma"/>
    <s v="SAC"/>
    <n v="6"/>
    <x v="3"/>
    <m/>
    <s v="MARZO"/>
    <m/>
    <s v="Juan Manuel lo tiene como cerrado el 30/09/2024. Con implementaciones. Preguntar a SAC que revise esto. No está en desarrollo. Sabrina dice que está pendiente en el correo del 14/11/2025 el responsable interno es Franco y es de prioridad alta."/>
    <s v="Lo tiene Desarrollo"/>
    <m/>
    <n v="3"/>
    <n v="8"/>
    <s v="Tejerina"/>
    <m/>
    <m/>
    <m/>
    <m/>
    <m/>
    <s v="Por hacer"/>
    <e v="#VALUE!"/>
    <e v="#REF!"/>
  </r>
  <r>
    <s v="MAN-127"/>
    <x v="2"/>
    <s v="Media"/>
    <d v="2025-01-14T00:00:00"/>
    <s v="SLA GAMMA MAN-9556 Motor de Calculos - FrontEnd._x000a_Caso 6648."/>
    <m/>
    <s v="Salta"/>
    <s v="Gamma"/>
    <s v="SAC"/>
    <m/>
    <x v="3"/>
    <m/>
    <m/>
    <m/>
    <s v="Sabrina indicó en el correo del 14/11/2025 que este sigue abierto. Que es un REQUERIMIENTO de Media y el responsable interno es Santiago"/>
    <s v="FE - Carga manual descuentos y bonificaciones - 1.5.docx"/>
    <m/>
    <m/>
    <n v="80"/>
    <s v="Alejandro"/>
    <m/>
    <m/>
    <m/>
    <m/>
    <m/>
    <s v="Por hacer"/>
    <s v="Sin fecha comprometida"/>
    <e v="#REF!"/>
  </r>
  <r>
    <s v="MAN-130"/>
    <x v="2"/>
    <s v="Baja"/>
    <d v="2025-01-14T00:00:00"/>
    <s v="SLA ABACO MAN-9581  Menú “Control de Cajas” , agregar la posibilidad de filtrar por un rango de fechas._x000a_Caso 6649."/>
    <m/>
    <s v="Salta"/>
    <s v="Abaco"/>
    <s v="SAC"/>
    <m/>
    <x v="3"/>
    <m/>
    <m/>
    <m/>
    <s v="Sabrina indicó en el correo del 14/11/2025 que este sigue abierto. Que es un REQUERIMIENTO de Baja y el responsable interno es Napoleon"/>
    <s v="SAL - ABACO - CASO 6649 - Agregar rango fechas- 1.1.docx"/>
    <m/>
    <m/>
    <n v="8"/>
    <m/>
    <m/>
    <m/>
    <m/>
    <m/>
    <m/>
    <s v="Por hacer"/>
    <s v="Sin fecha comprometida"/>
    <e v="#REF!"/>
  </r>
  <r>
    <s v="MAN-131"/>
    <x v="2"/>
    <s v="Media"/>
    <d v="2025-01-14T00:00:00"/>
    <s v="SLA ABACO MAN-9574 Listado de premios caducos que sea por fecha de caducidad en lotería y no de emisión._x000a_Caso 6650."/>
    <m/>
    <s v="Salta"/>
    <s v="Abaco"/>
    <s v="SAC"/>
    <m/>
    <x v="3"/>
    <m/>
    <s v="MARZO"/>
    <m/>
    <s v="Sabrina indicó en el correo del 14/11/2025 que este sigue abierto. Que es un REQUERIMIENTO de Media y el responsable interno es Napoleon"/>
    <m/>
    <m/>
    <m/>
    <n v="8"/>
    <s v="Paolo"/>
    <m/>
    <m/>
    <m/>
    <m/>
    <m/>
    <s v="Por hacer"/>
    <e v="#VALUE!"/>
    <e v="#REF!"/>
  </r>
  <r>
    <s v="MAN-132"/>
    <x v="2"/>
    <s v="Media"/>
    <d v="2025-01-14T00:00:00"/>
    <s v="SLA ABACO MAN-9580 Control de ventas en Abaco, ( nuevo)._x000a_Caso 6651."/>
    <m/>
    <s v="Salta"/>
    <s v="Abaco"/>
    <s v="SAC"/>
    <m/>
    <x v="3"/>
    <m/>
    <m/>
    <m/>
    <s v="Sabrina indicó en el correo del 14/11/2025 que este sigue abierto. Que es un REQUERIMIENTO de Media y el responsable interno es Napoleon"/>
    <m/>
    <m/>
    <m/>
    <n v="8"/>
    <m/>
    <m/>
    <m/>
    <m/>
    <m/>
    <m/>
    <s v="Por hacer"/>
    <s v="Sin fecha comprometida"/>
    <e v="#REF!"/>
  </r>
  <r>
    <s v="MAN-136"/>
    <x v="2"/>
    <s v="Media"/>
    <d v="2025-01-14T00:00:00"/>
    <s v="SLA ABACO MAN-9571 Smartphone panel responsive._x000a_Caso 6654."/>
    <s v="|Recomiendo seguir mejorando la visualización para celulares|"/>
    <s v="Salta"/>
    <s v="Abaco"/>
    <s v="SAC"/>
    <m/>
    <x v="3"/>
    <m/>
    <m/>
    <m/>
    <s v="Sabrina indicó en el correo del 14/11/2025 que este sigue abierto. Que es un REQUERIMIENTO de Baja y el responsable interno es Napoleon"/>
    <m/>
    <m/>
    <m/>
    <n v="40"/>
    <m/>
    <m/>
    <m/>
    <m/>
    <m/>
    <m/>
    <s v="Por hacer"/>
    <s v="Sin fecha comprometida"/>
    <e v="#REF!"/>
  </r>
  <r>
    <s v="MAN-313"/>
    <x v="2"/>
    <s v="Baja"/>
    <d v="2025-03-26T00:00:00"/>
    <s v="SAL-Panel de agentes -  modificar el Open Graph._x000a_Caso 6655."/>
    <s v="solicitarles cargar ticket con la posibilidad de modificar el Open Graph del Panel de Agentes ( https://panelsalta.lotemovil.com.ar/ ) , esto a los fines de emprolijar la comunicación con los puntos de venta._x000a__x000a_Cuando compartimos el enlace de nuestro panel en WhatsApp / Redes sociales , la imagen y descripción que aparecen en la vista previa no son las correctas. Esto ocurre porque faltan o están mal configuradas las etiquetas Open Graph en la página."/>
    <s v="Salta"/>
    <s v="Abaco"/>
    <s v="SAC"/>
    <m/>
    <x v="3"/>
    <m/>
    <m/>
    <m/>
    <s v="Sabrina indicó en el correo del 14/11/2025 que este sigue abierto. Que es un REQUERIMIENTO de Baja y el responsable interno es Napoleon"/>
    <m/>
    <m/>
    <s v="ya está resuelto. confirmar con SAC"/>
    <n v="0"/>
    <m/>
    <m/>
    <m/>
    <m/>
    <m/>
    <m/>
    <s v="Por hacer"/>
    <s v="Sin fecha comprometida"/>
    <e v="#REF!"/>
  </r>
  <r>
    <s v="MAN-395 6685"/>
    <x v="2"/>
    <s v="Media"/>
    <d v="2025-05-06T00:00:00"/>
    <s v="JUY-GAMMA Modificacion de comprobante de caja"/>
    <s v="Lotería está solicitando en el módulo de caja, cuando el comprobante que emite el sistema una vez cobrado o pagado está totalizado en números, pero no expresado en letras como corresponde a ese tipo de comprobantes."/>
    <s v="Jujuy"/>
    <s v="Gamma"/>
    <s v="SAC"/>
    <m/>
    <x v="3"/>
    <m/>
    <m/>
    <m/>
    <m/>
    <m/>
    <m/>
    <m/>
    <n v="8"/>
    <m/>
    <m/>
    <m/>
    <m/>
    <m/>
    <m/>
    <s v="Por hacer"/>
    <s v="Sin fecha comprometida"/>
    <e v="#REF!"/>
  </r>
  <r>
    <s v="MAN-508"/>
    <x v="2"/>
    <s v="Alta"/>
    <d v="2025-06-03T00:00:00"/>
    <s v="JUY-Gamma desarrollar módulo para  para el cobro de la cuota societaria."/>
    <s v="Jujuy - Gamma_x000a_Este es un cálculo y descuento que en SIGA se hacía de forma automática (Cod.30)._x000a_Para GAMMA se debe calcular manualmente, cobrando a las agencias afiliadas $107 por cada sorteo de tómbola en los que participa diariamente._x000a_Los reportes de gamma no proveen ese detalle y la info se busca en SAA para elaborar los descuentos."/>
    <s v="Jujuy"/>
    <s v="Gamma"/>
    <s v="SAC"/>
    <m/>
    <x v="3"/>
    <m/>
    <s v="MARZO"/>
    <m/>
    <m/>
    <m/>
    <m/>
    <m/>
    <n v="24"/>
    <m/>
    <m/>
    <m/>
    <m/>
    <m/>
    <m/>
    <s v="Por hacer"/>
    <e v="#VALUE!"/>
    <e v="#REF!"/>
  </r>
  <r>
    <s v="MAN-542                     GAMMA - 000507_x000a_"/>
    <x v="2"/>
    <s v="Media"/>
    <d v="2025-06-12T00:00:00"/>
    <s v="JUY-GAMMA desarrollar sistema que evite preliquidar en simultaneo."/>
    <s v="JUY-GAMMA Se necesita que el sistema no permita realizar liquidaciones en simultaneo"/>
    <s v="Jujuy"/>
    <s v="Gamma"/>
    <s v="SAC"/>
    <m/>
    <x v="3"/>
    <m/>
    <m/>
    <m/>
    <m/>
    <m/>
    <m/>
    <s v="ya está resuelto. confirmar con SAC"/>
    <n v="0"/>
    <m/>
    <m/>
    <m/>
    <m/>
    <m/>
    <m/>
    <s v="Por hacer"/>
    <s v="Sin fecha comprometida"/>
    <e v="#REF!"/>
  </r>
  <r>
    <s v="MAN-546        MAN - 000510_x000a_"/>
    <x v="3"/>
    <s v="Media"/>
    <d v="2025-06-17T00:00:00"/>
    <s v="JUY-GAMMA - análisis de archivo bancario para interfaz"/>
    <s v="JUY-GAMMA - análisis de archivo bancario para interfaz"/>
    <s v="Jujuy"/>
    <s v="Gamma"/>
    <s v="SAC"/>
    <m/>
    <x v="3"/>
    <m/>
    <m/>
    <m/>
    <m/>
    <m/>
    <m/>
    <s v="ya está resuelto. confirmar con SAC"/>
    <n v="0"/>
    <m/>
    <m/>
    <m/>
    <m/>
    <m/>
    <m/>
    <s v="Por hacer"/>
    <s v="Sin fecha comprometida"/>
    <e v="#REF!"/>
  </r>
  <r>
    <s v="MAN-562"/>
    <x v="2"/>
    <s v="Alta"/>
    <d v="2025-06-27T00:00:00"/>
    <s v="LR-GAMMA Solicitud de modificacion del reporte 103"/>
    <s v="LR-GAMMA Reporte 103: Si bien permite la exportación del mismo, es necesario agregar en los filtros la posibilidad de filtrar por &quot;fecha de proceso&quot; (de pago) ya que este reporte es el que utiliza la gente de caja/tesorería para exportar únicamente los pagos realizados en el dia."/>
    <s v="La Rioja"/>
    <s v="Gamma"/>
    <s v="SAC"/>
    <m/>
    <x v="3"/>
    <m/>
    <d v="2025-11-14T00:00:00"/>
    <m/>
    <s v="Está en QA porque no pone la fecha de pago de los resumenes con obligaciones de pago. Lo tiene desarrollo y ya lo está trabajando."/>
    <m/>
    <m/>
    <n v="4"/>
    <n v="8"/>
    <s v="Marcos"/>
    <m/>
    <m/>
    <m/>
    <m/>
    <m/>
    <s v="Por hacer"/>
    <n v="186"/>
    <e v="#REF!"/>
  </r>
  <r>
    <s v="MAN-573 "/>
    <x v="2"/>
    <s v="Alta"/>
    <d v="2025-07-01T00:00:00"/>
    <s v="SLA-GAMMA Solicitud de menú para autogestion de los reportes de cierre contable._x000a_Caso 6657."/>
    <s v="SLA-GAMMA Solicitan tener en el menu los siguientes reportes:                                            *Liquidaciones GAMMA: listado de movimientos liquidados en el rango de fechas solicitados._x000a_Columnas: agencia, imputación, código, descripción, partida (debito/crédito), total del rango de fechas, fecha/s._x000a__x000a_Debe devolver los importes debitados/acreditados.                                                   *No homologados: detalle de movimientos no homologados en el período consultado.                                                "/>
    <s v="Salta "/>
    <s v="Gamma"/>
    <s v="SAC"/>
    <n v="2"/>
    <x v="3"/>
    <m/>
    <s v="MARZO"/>
    <m/>
    <s v="Ver reporte 104. Caso 10708 es el caso vinculado. Sabrina indicó en el correo del 14/11/2025 que este sigue abierto. Que es un REQUERIMIENTO de Alta y el responsable interno es Santiago ¿Que se hace hoy para suplanntar esto?"/>
    <m/>
    <s v="https://tecnoaccionsa.sharepoint.com/:w:/s/GAMMA.2024/IQD96kNAde83TKR4nagcaF9KAQ_hUf99DHz0b6ddOhwXql4?e=IlRhoT   https://tecnoaccionsa.sharepoint.com/:w:/s/GAMMA.2024/IQA8cuN34mqXQqamingZSo7FAZ7qR1y5sMJqtEfrhmbRg8s?e=7ITwfs    https://tecnoaccionsa.sharepoint.com/:w:/s/GAMMA.2024/IQAg8dx3M4CST79BvEY914SqARYqlqKCsSusVR-sotEsioI?e=6HO6RR   https://tecnoaccionsa.sharepoint.com/:w:/s/GAMMA.2024/IQAPX6KPnap6Sq8qVQN7gS5NATmX793LnMobo9QD9lqa2Mo?e=bwmESs"/>
    <m/>
    <n v="100"/>
    <s v="Tejerina"/>
    <m/>
    <m/>
    <m/>
    <m/>
    <m/>
    <s v="Por hacer"/>
    <e v="#VALUE!"/>
    <e v="#REF!"/>
  </r>
  <r>
    <s v="MAN-576"/>
    <x v="2"/>
    <s v="Media"/>
    <d v="2025-07-02T00:00:00"/>
    <s v="LR-NOA Modificacion en remitos de salida"/>
    <s v="LR-NOA Remitos de salida. permitir asignar a un mismo producto varios lotes."/>
    <s v="La Rioja"/>
    <s v="NOA"/>
    <s v="SAC"/>
    <m/>
    <x v="3"/>
    <m/>
    <m/>
    <m/>
    <m/>
    <m/>
    <m/>
    <s v="esto va en contra de definiciones regulatorias e integridad del circuito"/>
    <n v="0"/>
    <m/>
    <m/>
    <m/>
    <m/>
    <m/>
    <m/>
    <s v="Por hacer"/>
    <s v="Sin fecha comprometida"/>
    <e v="#REF!"/>
  </r>
  <r>
    <s v="MAN-577"/>
    <x v="2"/>
    <s v="Media"/>
    <d v="2025-07-02T00:00:00"/>
    <s v="LR-NOA  Mejora en modulo de pagos TK"/>
    <s v="LR-NOA Modulo de pagos TK, se solicita se pueda utilizar lector de codigos de barras."/>
    <s v="La Rioja"/>
    <s v="NOA"/>
    <s v="SAC"/>
    <m/>
    <x v="3"/>
    <m/>
    <m/>
    <m/>
    <s v="No está ni planificado. En por hacer."/>
    <m/>
    <m/>
    <n v="1"/>
    <n v="4"/>
    <n v="1"/>
    <m/>
    <m/>
    <m/>
    <m/>
    <m/>
    <s v="Por hacer"/>
    <s v="Sin fecha comprometida"/>
    <e v="#REF!"/>
  </r>
  <r>
    <s v="MAN-582"/>
    <x v="2"/>
    <s v="Media"/>
    <d v="2025-07-04T00:00:00"/>
    <s v="SAL-GAMMA Anulación retiro no figura en GAMMA._x000a_Caso 6658."/>
    <s v="SAL-GAMMA El día 20/06/2025 esperábamos encontrar un código 070 ANULACION SOLICITUD DE RETIRO por $ 3.000 en el PDV 12. Sin embargo, el mismo no se liquidó."/>
    <s v="Salta"/>
    <s v="Gamma"/>
    <s v="SAC"/>
    <m/>
    <x v="3"/>
    <m/>
    <m/>
    <d v="2025-10-27T00:00:00"/>
    <s v="Sabrina indicó en el correo del 14/11/2025 que este sigue abierto. Que es un REQUERIMIENTO de Media y el responsable interno es Franco"/>
    <m/>
    <m/>
    <m/>
    <n v="16"/>
    <s v="Jimena"/>
    <m/>
    <m/>
    <m/>
    <m/>
    <m/>
    <s v="Por hacer"/>
    <s v="Sin fecha comprometida"/>
    <e v="#REF!"/>
  </r>
  <r>
    <s v="MAN-584"/>
    <x v="2"/>
    <s v="Media"/>
    <d v="2025-07-08T00:00:00"/>
    <s v="SAL-GAMMA No funciona el boton de reprocesar. _x000a_Caso  6641."/>
    <s v="SAL-GAMMA No esta funcionando el boton de reprocesar en el panel de auditoria(TESORERIA/PANEL DE AUDITORIA/ACCIONES ????? )"/>
    <s v="Salta"/>
    <s v="Gamma"/>
    <s v="SAC"/>
    <m/>
    <x v="3"/>
    <m/>
    <m/>
    <m/>
    <s v="Este comentario no es de este ticket: No hay error. Hay un botón que se llama recalcular que no se sacó del frontend. Perdió uso. Hay que sacarlo al botón.(Comentario de Luis) Horacio lo verá con el cliente.Sabrina indicó en el correo del 14/11/2025 que este sigue abierto. Que es un REQUERIMIENTO de Media y el responsable interno es Franco"/>
    <m/>
    <m/>
    <n v="1"/>
    <n v="4"/>
    <s v="Marcos"/>
    <m/>
    <m/>
    <m/>
    <m/>
    <m/>
    <s v="Por hacer"/>
    <s v="Sin fecha comprometida"/>
    <e v="#REF!"/>
  </r>
  <r>
    <s v="MAN - 000043_x000a_9781"/>
    <x v="2"/>
    <s v="Alta"/>
    <s v="14/10/2025"/>
    <s v="Exportación de información de cada Lote._x000a_Caso SF 00009781"/>
    <s v="Solicitamos un botón para descargar / exportar / imprimir los detalles de puntos de ventas e imputación, en el módulo Descuentos y Bonificaciones, opción &quot;Panel de auditoría&quot;"/>
    <s v="Corrientes"/>
    <s v="Gamma"/>
    <s v="SAC"/>
    <m/>
    <x v="3"/>
    <m/>
    <m/>
    <m/>
    <m/>
    <m/>
    <m/>
    <m/>
    <n v="8"/>
    <m/>
    <m/>
    <m/>
    <m/>
    <m/>
    <m/>
    <s v="Por hacer"/>
    <s v="Sin fecha comprometida"/>
    <e v="#REF!"/>
  </r>
  <r>
    <s v="00009676  Gamma - 000052_x000a_"/>
    <x v="2"/>
    <s v="Alta"/>
    <s v="15/10/2025"/>
    <s v="COR-Lotemovil- Terminos y Condiciones"/>
    <s v="Solicitamos que este disponible desde el perfil Agencia una opción en donde puedan leer, consultar y/o descargar en cualquier momento las políticas de privacidad que aceptaron."/>
    <s v="Corrientes"/>
    <s v="Abaco"/>
    <s v="SAC"/>
    <m/>
    <x v="3"/>
    <m/>
    <m/>
    <m/>
    <m/>
    <m/>
    <m/>
    <m/>
    <n v="8"/>
    <m/>
    <m/>
    <m/>
    <m/>
    <m/>
    <m/>
    <s v="Por hacer"/>
    <s v="Sin fecha comprometida"/>
    <e v="#REF!"/>
  </r>
  <r>
    <s v="00009747  Gamma - 000051_x000a_ID719"/>
    <x v="2"/>
    <s v="Alta"/>
    <s v="15/10/2025"/>
    <s v="COR-Gamma- Campo Agencia en Listado de Movimientos Manuales"/>
    <s v="En el modulo de movimientos manuales necesitamos que tanto en el FE de gamma como en el archivo exportado se visualice la agencia asignada al movimiento incorporado._x000a_Adjunto imagen representativa de ambas necesidades"/>
    <s v="Corrientes"/>
    <s v="Gamma"/>
    <s v="SAC"/>
    <m/>
    <x v="3"/>
    <m/>
    <m/>
    <m/>
    <m/>
    <m/>
    <m/>
    <m/>
    <n v="16"/>
    <s v="Marcos"/>
    <m/>
    <m/>
    <m/>
    <m/>
    <m/>
    <s v="Por hacer"/>
    <s v="Sin fecha comprometida"/>
    <e v="#REF!"/>
  </r>
  <r>
    <s v="00009748"/>
    <x v="2"/>
    <s v="Alta"/>
    <s v="15/10/2025"/>
    <s v="COR-Gamma- Movimientos en Descuento y Bonificaciones."/>
    <s v="Solicitamos que en panel de auditoria de los archivos incorporados, los ordene por numero de lote mas reciente primero y que se incorpore una columna con la Imputación."/>
    <s v="Corrientes"/>
    <s v="Gamma"/>
    <s v="SAC"/>
    <m/>
    <x v="3"/>
    <m/>
    <m/>
    <m/>
    <m/>
    <s v="Estaría Hecho ver con SAC"/>
    <m/>
    <m/>
    <n v="4"/>
    <s v="Tejerina"/>
    <m/>
    <m/>
    <m/>
    <m/>
    <m/>
    <s v="Por hacer"/>
    <s v="Sin fecha comprometida"/>
    <e v="#REF!"/>
  </r>
  <r>
    <s v="00008122"/>
    <x v="0"/>
    <m/>
    <s v="15/9/2025"/>
    <s v="Gamma-T.L.P.-Errores durante pre-liquidación - Bloqueante a la liquidacion"/>
    <s v="En algunas cancelaciones de preliquidaciones, el proceso no se completa de forma correcta."/>
    <s v="Todas las provincias"/>
    <s v="Gamma"/>
    <s v="SAC"/>
    <m/>
    <x v="3"/>
    <m/>
    <s v="MARZO"/>
    <m/>
    <m/>
    <m/>
    <m/>
    <s v="resuelto con procedimiento"/>
    <n v="0"/>
    <m/>
    <m/>
    <m/>
    <m/>
    <m/>
    <m/>
    <s v="Por hacer"/>
    <e v="#VALUE!"/>
    <e v="#REF!"/>
  </r>
  <r>
    <s v="00008243"/>
    <x v="2"/>
    <m/>
    <s v="16/9/2025"/>
    <s v="Liquidación diaria de los cobros a las agencias"/>
    <s v="Lotería requiere la liquidación diaria de los cobros a las agencias por las ventas en cada sorteo diario._x000a_Esto se genera a mano diariamente de lunes a domingo, porque GAMMA no cuenta con un módulo de cobros programados y de montos específicos._x000a_Se deben generar los archivos para DISCOUNT y aplicarlos para su correcta liquidación"/>
    <s v="Jujuy"/>
    <s v="Gamma"/>
    <s v="SAC"/>
    <m/>
    <x v="3"/>
    <m/>
    <m/>
    <m/>
    <m/>
    <m/>
    <m/>
    <s v="en qa en prueba"/>
    <n v="0"/>
    <m/>
    <m/>
    <m/>
    <m/>
    <m/>
    <m/>
    <s v="Por hacer"/>
    <s v="Sin fecha comprometida"/>
    <e v="#REF!"/>
  </r>
  <r>
    <s v="00008393"/>
    <x v="0"/>
    <m/>
    <s v="22/9/2025"/>
    <s v="Gamma- COR- Problemas en Preliquidación"/>
    <s v="Ver con Infra. Se solicito un reinicio automatico de servicios"/>
    <s v="Corrientes"/>
    <s v="Gamma"/>
    <s v="SAC"/>
    <m/>
    <x v="3"/>
    <m/>
    <m/>
    <m/>
    <m/>
    <m/>
    <m/>
    <m/>
    <n v="0"/>
    <m/>
    <m/>
    <m/>
    <m/>
    <m/>
    <m/>
    <s v="Por hacer"/>
    <s v="Sin fecha comprometida"/>
    <e v="#REF!"/>
  </r>
  <r>
    <s v="00006924"/>
    <x v="2"/>
    <m/>
    <s v="26/8/2025"/>
    <s v="SLA-Lotemovil - Control de Caja"/>
    <s v="Descripción:_x000a_Actualmente, en el Panel de Agentes, al realizar la consulta de CONTROL DE CAJA, no se está aplicando la deducción de impuestos correspondiente en los juegos de terceros (Telekino, Quini 6, Loto, etc.)._x000a__x000a_Para los premios mayores a $1.333, corresponde un descuento impositivo._x000a__x000a_En la sección Cuenta Corriente, este descuento se refleja correctamente._x000a_Sin embargo, en Control de Caja no aparece la deducción, lo que genera una inconsistencia en la visualización._x000a_Requerimiento:_x000a_Que el Control de Caja muestre los importes netos de premios (es decir, ya descontando los impuestos) en línea con lo que se refleja en Cuenta Corriente._x000a__x000a_Impacto:_x000a__x000a_Inconsistencia entre secciones (Control de Caja vs Cuenta Corriente)._x000a_Confusión para agentes al momento de controlar su cierre."/>
    <s v="Salta"/>
    <s v="Abaco"/>
    <s v="SAC"/>
    <m/>
    <x v="3"/>
    <m/>
    <m/>
    <m/>
    <m/>
    <m/>
    <m/>
    <s v="Sabrina indicó en el correo del 14/11/2025 que este sigue abierto. Que es un REQUERIMIENTO de Media y el responsable interno es Napoleon"/>
    <n v="8"/>
    <m/>
    <m/>
    <m/>
    <m/>
    <m/>
    <m/>
    <s v="Por hacer"/>
    <s v="Sin fecha comprometida"/>
    <e v="#REF!"/>
  </r>
  <r>
    <s v="MAN-000100"/>
    <x v="2"/>
    <m/>
    <d v="2025-10-23T00:00:00"/>
    <s v="No se puede crear remitos de entrada con un número ya existente. (Prioridad baja)_x000a_Caso SF 00010301"/>
    <s v="Es deseable que no se repita el mismo número de remito para el mismo juego, sin embargo, tampoco lo permite para juegos distintos. Es práctica común utilizar el número de sorteo como número de remito y luego de un tiempo estos empiezan a repetirse."/>
    <s v="Todas las provincias"/>
    <s v="NOA"/>
    <s v="SAC"/>
    <m/>
    <x v="3"/>
    <m/>
    <m/>
    <m/>
    <m/>
    <m/>
    <m/>
    <m/>
    <n v="16"/>
    <m/>
    <m/>
    <m/>
    <m/>
    <m/>
    <m/>
    <s v="Por hacer"/>
    <s v="Sin fecha comprometida"/>
    <e v="#REF!"/>
  </r>
  <r>
    <s v="MAN - 000095_x000a_"/>
    <x v="2"/>
    <m/>
    <d v="2025-10-23T00:00:00"/>
    <s v="No permite repetir nombre de juegos en diferentes organizaciones (Prioridad baja) _x000a_Caso SF 00010303"/>
    <s v="Al querer crear un juego común a varias provincias, como el TELEKINO, NOA muestra un error. Esto se soluciona agregando las iniciales de la provincia, pero no es lo correcto. "/>
    <s v="Todas las provincias"/>
    <s v="NOA"/>
    <s v="SAC"/>
    <m/>
    <x v="3"/>
    <m/>
    <m/>
    <m/>
    <m/>
    <m/>
    <m/>
    <m/>
    <n v="16"/>
    <m/>
    <m/>
    <m/>
    <m/>
    <m/>
    <m/>
    <s v="Por hacer"/>
    <s v="Sin fecha comprometida"/>
    <e v="#REF!"/>
  </r>
  <r>
    <s v="00010318                      MAN - 000074_x000a_"/>
    <x v="1"/>
    <m/>
    <d v="2025-10-24T00:00:00"/>
    <m/>
    <s v="Se presentan de forma semanal (2 a 4 veces, aproximadamente), por lo general GAME, GAMMABFF, CHECKINGACCOUNT eventualmente, USERS, AGENCYS._x000a_"/>
    <s v="Jujuy"/>
    <s v="Gamma"/>
    <s v="SAC"/>
    <m/>
    <x v="3"/>
    <m/>
    <m/>
    <m/>
    <m/>
    <m/>
    <m/>
    <s v="Resuelto"/>
    <n v="0"/>
    <m/>
    <m/>
    <m/>
    <m/>
    <m/>
    <m/>
    <s v="Por hacer"/>
    <s v="Sin fecha comprometida"/>
    <e v="#REF!"/>
  </r>
  <r>
    <s v="00009894"/>
    <x v="2"/>
    <m/>
    <d v="2025-10-16T00:00:00"/>
    <s v="SC-Gamma- LU Loteria Unificada con retencion de impuesto al premio"/>
    <s v="La loteria se hace cargo de la retención  de impuesto al juego al premio que sea del mismo valor al cupon. Para que el apostador no cobre menos que el cupon apostado. Esto lo viene haciendo bien el SIGA, pero en el GAMMA no lo hace."/>
    <s v="Santa Cruz"/>
    <s v="Gamma"/>
    <s v="SAC"/>
    <m/>
    <x v="3"/>
    <m/>
    <s v="MARZO"/>
    <m/>
    <s v="JM pasó esto a Mantenimiento de Gamma"/>
    <m/>
    <m/>
    <m/>
    <n v="32"/>
    <s v="Jimena"/>
    <m/>
    <m/>
    <m/>
    <m/>
    <m/>
    <s v="Por hacer"/>
    <e v="#VALUE!"/>
    <e v="#REF!"/>
  </r>
  <r>
    <s v="00009950"/>
    <x v="0"/>
    <m/>
    <d v="2025-10-17T00:00:00"/>
    <s v="SC GAMMA - Balanceo cta cte archivo resumen vencido._x000a_Mismo caso que en COR 00010257"/>
    <s v="Cuando se incorpora un archivo bancario cancelando un resumen vencido el sistema no refleja correctamente el balanceo en cta cte. Si cambia correctamente  el estado del mismo."/>
    <s v="Santa Cruz"/>
    <s v="Gamma"/>
    <s v="SAC"/>
    <m/>
    <x v="3"/>
    <m/>
    <d v="2025-11-14T00:00:00"/>
    <m/>
    <m/>
    <m/>
    <m/>
    <m/>
    <n v="16"/>
    <s v="Jimena"/>
    <m/>
    <m/>
    <m/>
    <m/>
    <m/>
    <s v="Por hacer"/>
    <n v="186"/>
    <e v="#REF!"/>
  </r>
  <r>
    <s v="764"/>
    <x v="1"/>
    <m/>
    <d v="2025-08-28T00:00:00"/>
    <s v="liquidaciones a 11:30 aproximadamente, tienen mucha demora y generan doble calculo hasta las 13hs aproximadamente"/>
    <s v="LR: está asociado a la cantidad de datos en PRD y hay que evaluar depuraciones. Planificar actividad para octubre"/>
    <s v="Todas las provincias"/>
    <s v="Gamma"/>
    <s v="SAC"/>
    <m/>
    <x v="3"/>
    <m/>
    <m/>
    <m/>
    <m/>
    <m/>
    <m/>
    <s v="Resuelto"/>
    <n v="0"/>
    <m/>
    <m/>
    <m/>
    <m/>
    <m/>
    <m/>
    <s v="Por hacer"/>
    <s v="Sin fecha comprometida"/>
    <e v="#REF!"/>
  </r>
  <r>
    <s v="00011038"/>
    <x v="0"/>
    <m/>
    <d v="2025-11-10T00:00:00"/>
    <s v="Abaco - Error en módulo de Medios Digitales"/>
    <s v="Lista de resultados con demora: Al listar los movimientos de “Modo”, el endpoint que busca los detalles de los movimientos no filtra por fecha, devolviendo todos los registros disponibles para el PDV seleccionado."/>
    <s v="Corrientes"/>
    <s v="Abaco"/>
    <s v="SAC"/>
    <m/>
    <x v="3"/>
    <m/>
    <m/>
    <m/>
    <m/>
    <m/>
    <m/>
    <s v="hecho"/>
    <n v="0"/>
    <m/>
    <m/>
    <m/>
    <m/>
    <m/>
    <m/>
    <s v="Por hacer"/>
    <s v="Sin fecha comprometida"/>
    <e v="#REF!"/>
  </r>
  <r>
    <s v="00011039"/>
    <x v="2"/>
    <m/>
    <d v="2025-11-10T00:00:00"/>
    <s v="Abaco - Módulo Medios Digitales"/>
    <s v="En el menú “Medios Digitales”, la vista de FE no pagina los resultados de las búsquedas realizadas, generando una lista interminable cuando existen muchos movimientos."/>
    <s v="Corrientes"/>
    <s v="Abaco"/>
    <s v="SAC"/>
    <m/>
    <x v="3"/>
    <m/>
    <m/>
    <m/>
    <m/>
    <m/>
    <m/>
    <m/>
    <n v="8"/>
    <m/>
    <m/>
    <m/>
    <m/>
    <m/>
    <m/>
    <s v="Por hacer"/>
    <s v="Sin fecha comprometida"/>
    <e v="#REF!"/>
  </r>
  <r>
    <s v="00010775"/>
    <x v="2"/>
    <m/>
    <d v="2025-11-10T00:00:00"/>
    <s v="NOA-Falta El valor Neto para calculo de la comision Escalonada"/>
    <s v="El problema es que no está el dato del NETO (diferencia entre las ventas y las devoluciones) de las imputaciones que llevan comision escalonada. Actualmente el sistema hace el calculo por separado lo que genera inconsistencia en el resultado final._x000a_Ejemplo si se vende 1100 cartones (escalon mas alto) y se devuelven 200.( escalon mas bajo). El calculo final deberia aplicarse a 800 cartones por el escalon del medio._x000a_La sgte comision escalonada es por cantidad de venta de cartones. A mayor cantidad de cartones mayor es el porcentaje_x000a_Del 1 al 400 cartones es el 18 %_x000a_Del 401 al 1000 el 20%_x000a_Y de 1001 cartones vendidos en adelante es el 22% de todos los juegos como Telebingo, rebingo minibingo._x000a_La comisión deberían respetar la del NETO final al momento de calcula la comision escalonada del los cartones vendidos."/>
    <s v="Santa Cruz"/>
    <s v="NOA"/>
    <s v="SAC"/>
    <m/>
    <x v="3"/>
    <m/>
    <m/>
    <m/>
    <m/>
    <m/>
    <m/>
    <m/>
    <n v="40"/>
    <m/>
    <m/>
    <m/>
    <m/>
    <m/>
    <m/>
    <s v="Por hacer"/>
    <s v="Sin fecha comprometida"/>
    <e v="#REF!"/>
  </r>
  <r>
    <s v="MAN-00011121"/>
    <x v="2"/>
    <m/>
    <d v="2025-11-11T00:00:00"/>
    <s v="Resumen Cta Cte. Código 586 – Cancelación Débito del Unificado"/>
    <s v="Actualmente se coloca el importe del resumen procesado, que suma al código 10 del unificado (Saldo del sorteo anterior), generando un efecto neutro._x000a_Se sugiere eliminar este mecanismo y que el código 10 del unificado quede solo compuesto por el saldo del resumen anterior."/>
    <s v="Corrientes"/>
    <s v="Gamma"/>
    <s v="SAC"/>
    <m/>
    <x v="3"/>
    <m/>
    <m/>
    <m/>
    <m/>
    <m/>
    <m/>
    <s v="hecho"/>
    <n v="0"/>
    <m/>
    <m/>
    <m/>
    <m/>
    <m/>
    <m/>
    <s v="Por hacer"/>
    <s v="Sin fecha comprometida"/>
    <e v="#REF!"/>
  </r>
  <r>
    <s v="MAN-00011272"/>
    <x v="2"/>
    <m/>
    <d v="2025-11-17T00:00:00"/>
    <s v="COR-Gamma -Modificacion fecha de registro "/>
    <s v="Se solicita que, al procesar la cancelación de uno o varios resúmenes desde el módulo de_x000a_Tesorería o Caja, tanto el saldo como la cancelación se liquiden utilizando la fecha en_x000a_la que el usuario realizó el proceso._x000a_El objetivo es ajustar el comportamiento del sistema para que refleje la operación contable_x000a_real y coincida con la operatoria diaria de Tesorería._x000a_Se adjunta un pdf con la explicacion completa."/>
    <s v="Corrientes"/>
    <s v="Gamma"/>
    <s v="SAC"/>
    <m/>
    <x v="3"/>
    <m/>
    <m/>
    <m/>
    <m/>
    <m/>
    <s v="https://tecnoaccionsa.sharepoint.com/:w:/s/GAMMA.2024/IQAJ_y_lBO7mSqcbWTvZPjBRAe5ZiQZiUAM7gLQf4kP6nZk?e=52UqbY"/>
    <m/>
    <n v="16"/>
    <s v="? Buscar"/>
    <m/>
    <m/>
    <m/>
    <m/>
    <m/>
    <s v="Por hacer"/>
    <s v="Sin fecha comprometida"/>
    <e v="#REF!"/>
  </r>
  <r>
    <s v="MAN-00011379"/>
    <x v="2"/>
    <m/>
    <d v="2025-11-17T00:00:00"/>
    <s v="Juj-Gamma - Reporte Cuenta Corriente - GAMMA"/>
    <s v="Lotería solicita tener la opción de exportar la información que devuelve el módulo, que está funcionando."/>
    <s v="Jujuy"/>
    <s v="Gamma"/>
    <s v="SAC"/>
    <m/>
    <x v="3"/>
    <m/>
    <m/>
    <m/>
    <m/>
    <m/>
    <m/>
    <m/>
    <n v="8"/>
    <s v="Marcos"/>
    <m/>
    <m/>
    <m/>
    <m/>
    <m/>
    <s v="Por hacer"/>
    <s v="Sin fecha comprometida"/>
    <e v="#REF!"/>
  </r>
  <r>
    <s v="MAN-00011431"/>
    <x v="2"/>
    <m/>
    <d v="2025-11-18T00:00:00"/>
    <s v="Juj- Gamma- Permitir cobros en caja durante la preliquidacion"/>
    <s v="Se requiere permitir cobros de días anteriores con lanzador abierto (preliquidación en curso) de liquidaciones cerradas. A causa de la implementaron desde Noviembre de multas a las agencias por pagos fuera de término."/>
    <s v="Jujuy"/>
    <s v="Gamma"/>
    <s v="SAC"/>
    <m/>
    <x v="3"/>
    <m/>
    <m/>
    <m/>
    <m/>
    <s v="Reingeniería de procesos"/>
    <m/>
    <m/>
    <n v="600"/>
    <m/>
    <m/>
    <m/>
    <m/>
    <m/>
    <m/>
    <s v="Por hacer"/>
    <s v="Sin fecha comprometida"/>
    <e v="#REF!"/>
  </r>
  <r>
    <s v="MAN-00011430"/>
    <x v="2"/>
    <m/>
    <d v="2025-11-18T00:00:00"/>
    <s v="Juj-Gamma - Impuestos"/>
    <s v="En los Excel exportados de retenciones de impuestos IIBB y Ganancias carecen de totales por columnas y orden numérico de aparición de agencias, requiriendo manipulación manual."/>
    <s v="Jujuy"/>
    <s v="Gamma"/>
    <s v="SAC"/>
    <m/>
    <x v="3"/>
    <m/>
    <m/>
    <m/>
    <m/>
    <m/>
    <m/>
    <m/>
    <n v="24"/>
    <s v="Marcos"/>
    <m/>
    <m/>
    <m/>
    <m/>
    <m/>
    <s v="Por hacer"/>
    <s v="Sin fecha comprometida"/>
    <e v="#REF!"/>
  </r>
  <r>
    <s v="MAN-00011423"/>
    <x v="2"/>
    <m/>
    <d v="2025-11-18T00:00:00"/>
    <s v="Juj-Gamma - Nuevo Reporte en Gamma Listado 107. Consulta de cuenta corriente. Resumen"/>
    <s v="Crear nuevo reporte que permita generar información consolidada, filtrada por rango de fechas, juegos y números de sorteos. Fundamental para el área de fiscalización que rinde a la provincia."/>
    <s v="Jujuy"/>
    <s v="Gamma"/>
    <s v="SAC"/>
    <m/>
    <x v="3"/>
    <m/>
    <m/>
    <m/>
    <m/>
    <m/>
    <m/>
    <m/>
    <n v="60"/>
    <s v="Alejandro"/>
    <m/>
    <m/>
    <m/>
    <m/>
    <m/>
    <s v="Por hacer"/>
    <s v="Sin fecha comprometida"/>
    <e v="#REF!"/>
  </r>
  <r>
    <s v="MAN-00011424"/>
    <x v="2"/>
    <m/>
    <d v="2025-11-18T00:00:00"/>
    <s v="Juj-Gamma - Nuevo Reporte   Pedido de reporte codigo 32 deudores retenciones de servicios"/>
    <s v="Crear reporte de movimientos liquidados conteniendo columnas de (agencia, código, imputación e importe) ordenados por número de agencia, fundamental para el seguimiento contable por conceptos (comisiones, premios, estímulos, etc.)."/>
    <s v="Jujuy"/>
    <s v="Gamma"/>
    <s v="SAC"/>
    <m/>
    <x v="3"/>
    <m/>
    <s v="MARZO"/>
    <m/>
    <m/>
    <m/>
    <m/>
    <m/>
    <n v="60"/>
    <s v="Alejandro"/>
    <m/>
    <m/>
    <m/>
    <m/>
    <m/>
    <s v="Por hacer"/>
    <e v="#VALUE!"/>
    <e v="#REF!"/>
  </r>
  <r>
    <s v="MAN-00012627"/>
    <x v="2"/>
    <m/>
    <d v="2025-12-17T00:00:00"/>
    <s v="Panel Agentes- Buzon"/>
    <s v="Lotería Solicita de que los agencieros dispongan en la APP LOTE MOVIL (Nuevo) de la posibilidad de descargar los certificados de retención de ingresos brutos sufrida por parte del ILCC de modo de hacer un control cruzado al momento de realizar su presentación de declaración jurada determinativa del mencionado impuesto"/>
    <s v="Corrientes"/>
    <s v="Panel Agentes-Abaco"/>
    <s v="SAC"/>
    <m/>
    <x v="3"/>
    <m/>
    <m/>
    <m/>
    <m/>
    <m/>
    <m/>
    <m/>
    <n v="60"/>
    <s v="Alejandro"/>
    <m/>
    <m/>
    <m/>
    <m/>
    <m/>
    <s v="Por hacer"/>
    <s v="Sin fecha comprometida"/>
    <e v="#REF!"/>
  </r>
  <r>
    <s v="13227"/>
    <x v="2"/>
    <s v="Alta"/>
    <d v="2026-01-06T00:00:00"/>
    <s v="CORR GAMA Boleta de deposito Mejoras"/>
    <s v="Importe y vencimiento:_x000a_Agregar la fecha de vencimiento al lado del importe a pagar._x000a_Código 586 – Cancelación Débito del Unificado:Actualmente se coloca el importe del resumen procesado, que suma al código 10 del unificado (Saldo del sorteo anterior), generando un efecto neutro._x000a_Eliminar este mecanismo y que el código 10 del unificado quede solo compuesto por el saldo del resumen anterior."/>
    <s v="Corrientes"/>
    <s v="Gamma"/>
    <s v="Mantenimiento"/>
    <n v="1"/>
    <x v="9"/>
    <m/>
    <d v="2026-02-13T00:00:00"/>
    <m/>
    <s v="Analizar como impacta en otras provincias."/>
    <m/>
    <s v="Caso 13227 - Resumen de Ag – Correc vencimy saldo cta cte - 1.0.docx"/>
    <m/>
    <n v="68"/>
    <m/>
    <m/>
    <m/>
    <s v="?"/>
    <m/>
    <m/>
    <s v="Cerrado"/>
    <n v="95"/>
    <e v="#REF!"/>
  </r>
  <r>
    <s v="10541"/>
    <x v="0"/>
    <m/>
    <d v="2025-10-30T00:00:00"/>
    <s v="No se genera Reporte 103"/>
    <s v="No se puede generar reporte 103, provocado por el proceso de cambio de titularidad de agentes. Así mismo genera error en el módulo Alerta (no visualiza las mismas)."/>
    <s v="Corrientes"/>
    <s v="Gamma"/>
    <m/>
    <m/>
    <x v="9"/>
    <m/>
    <m/>
    <m/>
    <m/>
    <m/>
    <m/>
    <s v="Replicar en UAT"/>
    <m/>
    <m/>
    <m/>
    <m/>
    <s v="?"/>
    <m/>
    <m/>
    <s v="Cerrado"/>
    <s v="Sin fecha comprometida"/>
    <e v="#REF!"/>
  </r>
  <r>
    <s v="MAN-00014096"/>
    <x v="0"/>
    <m/>
    <d v="2026-02-02T00:00:00"/>
    <s v="Gamma COR- Error en liquidacion"/>
    <s v="Inician la preliquidación da error de cálculo. Se realizo BP y volvió a dar el mismo error. (error de memoria)"/>
    <s v="Corrientes"/>
    <s v="Gamma"/>
    <m/>
    <m/>
    <x v="9"/>
    <m/>
    <m/>
    <m/>
    <m/>
    <m/>
    <m/>
    <m/>
    <m/>
    <m/>
    <m/>
    <m/>
    <m/>
    <m/>
    <m/>
    <s v="Cerrado"/>
    <s v="Sin fecha comprometida"/>
    <e v="#REF!"/>
  </r>
  <r>
    <s v="MAN-00014170"/>
    <x v="0"/>
    <m/>
    <d v="2026-02-03T00:00:00"/>
    <s v="Gamma- User - Caída del servicio"/>
    <s v="A primeras horas del día (00:05) se verificó un reinicio automático por parte del servicio USER, misma situación durante la mañana. Jujuy y Corrientes comunicaron no poder acceder. El servicio USER tenia un uso casi del total de la capacidad"/>
    <s v="Todas las provincias"/>
    <s v="Gamma"/>
    <m/>
    <m/>
    <x v="9"/>
    <m/>
    <m/>
    <m/>
    <m/>
    <m/>
    <m/>
    <m/>
    <m/>
    <m/>
    <m/>
    <m/>
    <m/>
    <m/>
    <m/>
    <s v="Cerrado"/>
    <s v="Sin fecha comprometida"/>
    <e v="#REF!"/>
  </r>
  <r>
    <s v="MAN-658 SF15876"/>
    <x v="0"/>
    <m/>
    <d v="2026-04-07T00:00:00"/>
    <s v="TLP - GAMMA - Reporte de resumen de obligaciones SIN CBU"/>
    <s v="Luego de la implementación de GAMMA, el reporte de resumen de obligaciones sale sin CBU, se relaciona con las modificaciones de los MAN 893 MAN 894"/>
    <s v="Salta"/>
    <s v="Gamma"/>
    <m/>
    <m/>
    <x v="9"/>
    <m/>
    <m/>
    <d v="2026-04-10T00:00:00"/>
    <m/>
    <m/>
    <s v="Si bien es a todas las provincias, está afectando particularmente a Salta, el reporte de resumen de obligaciones sale sin CBU y se agrega que los importes no están en formato numero."/>
    <m/>
    <m/>
    <m/>
    <m/>
    <m/>
    <m/>
    <m/>
    <m/>
    <m/>
    <m/>
    <m/>
  </r>
  <r>
    <s v="MAN-662 SF15902"/>
    <x v="0"/>
    <m/>
    <d v="2026-04-08T00:00:00"/>
    <s v="SLA - GAMMA - Error al generar archivo txt pago banco en la Liquidación"/>
    <s v="Después de la implementación en GAMMA del día 6/4/26, el archivo txt pago banco que se genera durante la liquidación lo hace por el lote completo incluido los pdv que no poseen cbu."/>
    <s v="Salta"/>
    <s v="Gamma"/>
    <m/>
    <m/>
    <x v="9"/>
    <m/>
    <m/>
    <d v="2026-04-10T00:00:00"/>
    <m/>
    <m/>
    <m/>
    <m/>
    <m/>
    <m/>
    <m/>
    <m/>
    <m/>
    <m/>
    <m/>
    <m/>
    <m/>
    <m/>
  </r>
  <r>
    <s v="MAN-666 SF15955"/>
    <x v="0"/>
    <m/>
    <d v="2026-04-08T00:00:00"/>
    <s v="SLA - Gamma - Errores en el proceso de liquidación"/>
    <s v="Cuando a un PDV se le genera un crédito, Lotería transfiere el saldo resultante entre débitos y créditos con el objetivo de que el punto de venta pueda afrontar el pago de premios. Una vez realizada la transferencia de fondos, procedemos a marcar dicha operación como &quot;pagada&quot;, permitiendo así que el sistema la cancele correctamente."/>
    <s v="Salta"/>
    <s v="Gamma"/>
    <m/>
    <m/>
    <x v="9"/>
    <m/>
    <m/>
    <d v="2026-04-10T00:00:00"/>
    <m/>
    <m/>
    <m/>
    <m/>
    <m/>
    <m/>
    <m/>
    <m/>
    <m/>
    <m/>
    <m/>
    <m/>
    <m/>
    <m/>
  </r>
  <r>
    <s v="00008131"/>
    <x v="0"/>
    <s v="Alta"/>
    <s v="15/9/2025"/>
    <s v="Gamma-T.L.P-Cambios de intervalos de liquidación de lotes Discount"/>
    <s v="Ante la solicitud de la Lotería para establecer fechas específicas de liquidación de lotes, se requiere manipular manualmente las fechas en la tabla Header de BD-Discount."/>
    <s v="Todas las provincias"/>
    <s v="Gamma"/>
    <s v="Mantenimiento"/>
    <m/>
    <x v="9"/>
    <d v="2026-01-31T00:00:00"/>
    <s v="MARZO"/>
    <m/>
    <s v="Lo piden una vez por mes en Salta. La idea es que exista la opción de fecha &quot;inicio&quot; a fecha &quot;hasta&quot;."/>
    <m/>
    <s v="TOD – GAM – Cambios de intervalos de liquidación de lotes Discount - 1.0.docx"/>
    <m/>
    <n v="55"/>
    <s v="Jimena + Alejandro"/>
    <m/>
    <m/>
    <m/>
    <m/>
    <m/>
    <s v="Cerrado"/>
    <e v="#VALUE!"/>
    <e v="#REF!"/>
  </r>
  <r>
    <s v="MAN-592"/>
    <x v="0"/>
    <s v="Alta"/>
    <d v="2025-07-10T00:00:00"/>
    <s v="SLA-ABACO Mostrar cuando la contraseña esta vencida y ofrecer cambiarla._x000a_Caso 6659."/>
    <s v="SLA-ABACO Al momento de caducar la contraseña no lo indica, solo muestra error &quot; credenciales invalidas&quot;. Debería ofrecer cambiarla para evitar confusión e indicar los caracteres aceptados. "/>
    <s v="Salta"/>
    <s v="Abaco"/>
    <s v="Mantenimiento"/>
    <m/>
    <x v="9"/>
    <m/>
    <s v="MARZO"/>
    <m/>
    <s v="Sabrina indicó en el correo del 14/11/2025 que este sigue abierto. Que es un REQUERIMIENTO de Alta y el responsable interno es Napoleon"/>
    <m/>
    <s v="SAL - LOTEMOVIL - MAN-592 Contraseña vencida - CASO-10453 Mail de recuperacion - ver 1.1.docx"/>
    <m/>
    <n v="41"/>
    <s v="Jimena + Alejandro"/>
    <m/>
    <m/>
    <m/>
    <m/>
    <m/>
    <s v="Cerrado"/>
    <e v="#VALUE!"/>
    <e v="#REF!"/>
  </r>
  <r>
    <s v="MAN-69"/>
    <x v="0"/>
    <s v="Media"/>
    <d v="2025-01-03T00:00:00"/>
    <s v="SLA GAMMA MAN-9516 No genera resumenes para algunas agencias."/>
    <s v="Cuando el PDV solo tiene movimientos de CSA en su cuenta corriente para la fecha a liquidar, no se genera un resumen para el PDV,_x000a_Ejemplo prod salta:_x000a_·Fecha a liquidar 16/01/25_x000a_·PDV 451_x000a_·Movimientos a liquidar CSA $1200 - IVA CSA $252_x000a_Finaliza la liquidación sin resumen para el PDV 451, los movimientos se marcan como liquidados."/>
    <s v="Salta"/>
    <s v="Gamma"/>
    <s v="SAC"/>
    <m/>
    <x v="9"/>
    <m/>
    <m/>
    <d v="2025-11-14T00:00:00"/>
    <m/>
    <m/>
    <m/>
    <m/>
    <m/>
    <m/>
    <m/>
    <m/>
    <m/>
    <m/>
    <m/>
    <s v="Cerrado"/>
    <s v="Sin fecha comprometida"/>
    <e v="#REF!"/>
  </r>
  <r>
    <s v="MAN-135"/>
    <x v="0"/>
    <s v="Baja"/>
    <d v="2025-01-14T00:00:00"/>
    <s v="SLA ABACO MAN-9570 Menú “Premios” el listado Resumen no esta mostrando los premios mayores._x000a_Caso 6647."/>
    <m/>
    <s v="Salta"/>
    <s v="Abaco"/>
    <s v="SAC"/>
    <m/>
    <x v="9"/>
    <m/>
    <m/>
    <d v="2025-11-14T00:00:00"/>
    <s v="Desestimado pr sabrina Amarilla en correo del 14/11/2025"/>
    <m/>
    <m/>
    <m/>
    <m/>
    <m/>
    <m/>
    <m/>
    <m/>
    <m/>
    <m/>
    <s v="Cerrado"/>
    <s v="Sin fecha comprometida"/>
    <e v="#REF!"/>
  </r>
  <r>
    <s v="MAN-386"/>
    <x v="0"/>
    <s v="Media"/>
    <d v="2025-05-05T00:00:00"/>
    <s v="JUY-GAMMA Error en Reporte 103"/>
    <s v="El área de contabilidad está reportando que no puede sacar el informe en Excel y, que en PDF no permite filtrar agencias, solo muestra todas en desorden sin agrupar o que el informe se saca de a una por una las agencias._x000a_Para la labor que realizan es un impedimento operativo. Se corre SCRIPT &quot;Reporte103-Jujuy-Ctes-Gamma.sql&quot;"/>
    <s v="Jujuy"/>
    <s v="Gamma"/>
    <s v="SAC"/>
    <m/>
    <x v="9"/>
    <m/>
    <d v="2025-10-31T00:00:00"/>
    <d v="2025-11-06T00:00:00"/>
    <s v="Se ejecuta un script. Se le da formato y se les pasa listados a Corrientes y a Jujuy. Ver listado &quot;Reporte103-Jujuy-Ctes-Gamma.sql&quot;Para desplegar en UAT según Luis R"/>
    <s v="comento que el listado esta ordenado por numero de liquidación, por lo que para reducir la cantidad de PDV en el reporte se recomienda que:_x000a_Para la emisión mensual:_x000a_se emita el reporte por sucursal, permitiendo con esto reducir la cantidad de PDV listados_x000a_Para los reportes emitidos diariamente, no sería necesario ningún filtro ya que el reporte no es extenso."/>
    <m/>
    <n v="1"/>
    <n v="1"/>
    <n v="1"/>
    <m/>
    <m/>
    <m/>
    <m/>
    <m/>
    <s v="Cerrado"/>
    <n v="6"/>
    <e v="#REF!"/>
  </r>
  <r>
    <s v="00010425"/>
    <x v="0"/>
    <s v="Alta"/>
    <d v="2025-10-28T00:00:00"/>
    <s v="COR-Abaco No se visualizan premios de Quini6, Loto ni Telekino MAN-814"/>
    <s v="Se observa que el nuevo lotemovil en el modulo premios para cualquier fecha no esta figurando los premios de Quini6, Telekino, Loto Plus"/>
    <s v="Corrientes"/>
    <s v="Abaco"/>
    <s v="Mantenimiento"/>
    <m/>
    <x v="9"/>
    <d v="2025-11-07T00:00:00"/>
    <d v="2025-11-20T00:00:00"/>
    <d v="2025-11-20T00:00:00"/>
    <s v="Se pasó a UAT. Pendiente de Pruebas de testing y luego, si todo ok se pasa a Fabian Figueroa Hay novedades? Fabian Figueroa. 13/11/2025: Probando con FF, LR,GD,CB"/>
    <m/>
    <m/>
    <m/>
    <m/>
    <m/>
    <m/>
    <m/>
    <m/>
    <m/>
    <m/>
    <s v="Cerrado"/>
    <n v="0"/>
    <e v="#REF!"/>
  </r>
  <r>
    <s v="MAN-00011111"/>
    <x v="2"/>
    <s v="Alta"/>
    <d v="2025-11-11T00:00:00"/>
    <s v="Lotemovil- Visualizacion de PDV"/>
    <s v="Lotería solicita eliminar del panel de Agentes los puntos de ventas que NO Se encuentran activos. En pantalla principal se visualizan activos e inactivos._x000a_Se adjunta dos imágenes descriptivas."/>
    <s v="Corrientes"/>
    <s v="Abaco"/>
    <s v="SAC"/>
    <m/>
    <x v="9"/>
    <m/>
    <d v="2025-11-14T00:00:00"/>
    <m/>
    <s v="jm: esto fue implementado en diciembre durante el soporte a ctes. validar con FF / RA"/>
    <m/>
    <m/>
    <m/>
    <n v="4"/>
    <s v="Paolo"/>
    <m/>
    <m/>
    <m/>
    <m/>
    <m/>
    <s v="Cerrado"/>
    <n v="186"/>
    <e v="#REF!"/>
  </r>
  <r>
    <n v="9544"/>
    <x v="0"/>
    <s v="Media"/>
    <d v="2024-07-16T00:00:00"/>
    <s v="Bk process bancario (pagos) - cancela a medias._x000a_Caso 6642."/>
    <s v="Bk process bancario (pagos) - cancela a medias"/>
    <s v="Salta"/>
    <s v="Gamma"/>
    <s v="SAC"/>
    <m/>
    <x v="9"/>
    <m/>
    <m/>
    <d v="2025-10-26T00:00:00"/>
    <s v="Funcionó bien según FR en el último Back process"/>
    <m/>
    <m/>
    <m/>
    <m/>
    <m/>
    <m/>
    <m/>
    <m/>
    <m/>
    <m/>
    <s v="Cerrado"/>
    <s v="Sin fecha comprometida"/>
    <e v="#REF!"/>
  </r>
  <r>
    <n v="10212"/>
    <x v="0"/>
    <s v="Media"/>
    <d v="2024-12-06T00:00:00"/>
    <s v="Preliquidación los tiempos de respuesta cada vez se incrementan._x000a_Caso 6645."/>
    <s v="Preliquidación los tiempos de respuesta cada vez se incrementan"/>
    <s v="Salta"/>
    <s v="Gamma"/>
    <s v="SAC"/>
    <m/>
    <x v="9"/>
    <m/>
    <m/>
    <d v="2025-10-07T00:00:00"/>
    <m/>
    <m/>
    <m/>
    <m/>
    <m/>
    <m/>
    <m/>
    <m/>
    <m/>
    <m/>
    <m/>
    <s v="Cerrado"/>
    <s v="Sin fecha comprometida"/>
    <e v="#REF!"/>
  </r>
  <r>
    <s v="MAN-134"/>
    <x v="0"/>
    <s v="Baja"/>
    <d v="2025-01-14T00:00:00"/>
    <s v="SLA ABACO MAN-9573 Depósitos y retiros Lotline._x000a_Caso 6653."/>
    <m/>
    <s v="Salta"/>
    <s v="Abaco"/>
    <s v="SAC"/>
    <m/>
    <x v="9"/>
    <m/>
    <m/>
    <d v="2025-11-14T00:00:00"/>
    <s v="Desestimado pr sabrina Amarilla en correo del 14/11/2025"/>
    <m/>
    <m/>
    <m/>
    <m/>
    <m/>
    <m/>
    <m/>
    <m/>
    <m/>
    <m/>
    <s v="Cerrado"/>
    <s v="Sin fecha comprometida"/>
    <e v="#REF!"/>
  </r>
  <r>
    <s v="MAN-418"/>
    <x v="0"/>
    <s v="Media"/>
    <d v="2025-05-12T00:00:00"/>
    <s v="SAL-Gamma Leyenda Mov no homologados(falso positivo). _x000a_Caso 6618,"/>
    <s v="Salta - Gamma - Preliquidacion                                                                                                              Muestra un mensaje de error indicando que hay movimientos sin homologar y no es real( no lo hace siempre, aunque ultimamente se esta repitiendo mas)                                                                                                                       Asegurar que cuando da el error sea real                                                          Gamma muestra que hay mov no homologados y al consultar con SAP nos dice que no hay mov no homologados esto dificulta la operación diaria ya que tenemos que consultar permanentemente perdiendo tiempo tanto el nuestro como el de ellos."/>
    <s v="Salta"/>
    <s v="Gamma"/>
    <s v="SAC"/>
    <m/>
    <x v="9"/>
    <d v="2025-11-07T00:00:00"/>
    <m/>
    <d v="2025-11-02T00:00:00"/>
    <s v="Se requiere un botón de omitir hoy y que esta acción solo ignore el movimiento de la fecha. Omitir para siempre y que esta acción ignore siempre estos movimientos. Requiere que se analice y nos reunamos con Luis Rodriguez. Hoy se hace un update en tabla conversion de la bae de datos ETL. Previamente debe crear el código contable."/>
    <m/>
    <m/>
    <m/>
    <m/>
    <m/>
    <m/>
    <m/>
    <m/>
    <m/>
    <m/>
    <s v="Cerrado"/>
    <s v="Sin fecha comprometida"/>
    <e v="#REF!"/>
  </r>
  <r>
    <s v="MAN-429"/>
    <x v="0"/>
    <s v="Alta"/>
    <d v="2025-05-13T00:00:00"/>
    <s v="Juy-Abaco Listado de CC dificil de interpretar"/>
    <s v="Jujuy - Abaco - Listado de CC                                                                                  Desde las agencias reclaman que el formato del listado de CC salen en 2 archivos y es dificil de interpretar                                                                   Necesitan que sea igual al que genera Gamma"/>
    <s v="Jujuy"/>
    <s v="Abaco"/>
    <s v="SAC"/>
    <m/>
    <x v="9"/>
    <m/>
    <m/>
    <m/>
    <m/>
    <m/>
    <m/>
    <m/>
    <m/>
    <m/>
    <m/>
    <m/>
    <m/>
    <m/>
    <m/>
    <s v="Cerrado"/>
    <s v="Sin fecha comprometida"/>
    <e v="#REF!"/>
  </r>
  <r>
    <s v="MAN-447"/>
    <x v="0"/>
    <s v="Alta"/>
    <d v="2025-05-19T00:00:00"/>
    <s v="JUY-Gamma Luego de preliquidar no aparecen el resto de los codigos. (Caso 6671) / (Caso 1740)"/>
    <s v="Tuvimos problemas para liquidar los juegos poceados (Quini, Brinco y Telekino TJ) en GAMMA._x000a_Luego de preliquidar solo se muestran los cód. 35 de estos juegos, faltando los demás códigos como recaudación, premios, impuestos, etc"/>
    <s v="Jujuy"/>
    <s v="Gamma"/>
    <s v="Mantenimiento"/>
    <m/>
    <x v="9"/>
    <m/>
    <m/>
    <d v="2025-12-17T00:00:00"/>
    <s v="Pedir a Horacio que se cierre!!! (Fabian Romero)"/>
    <s v="Hay que validar que se desplegó bien el Saaservice. Ultima versión. Horacio."/>
    <m/>
    <m/>
    <m/>
    <m/>
    <m/>
    <m/>
    <m/>
    <m/>
    <m/>
    <s v="Cerrado"/>
    <s v="Sin fecha comprometida"/>
    <e v="#REF!"/>
  </r>
  <r>
    <s v="MAN-448"/>
    <x v="0"/>
    <s v="Media"/>
    <d v="2025-05-19T00:00:00"/>
    <s v="JUY-Abaco Falta de datos de PDV Caso 6673"/>
    <s v="Tenemos el reclamo de agencias por falta de datos cuando se visualiza información de premios de algunos PDV en el nuevo Lotemovil Panel._x000a__x000a_No se visualizan como concentradora, pero cuando se elige el PDV en cuestión si se ven los datos._x000a__x000a_Esto generó desconfianza y optaron por consultar los datos en el viejo lotemovil."/>
    <s v="Jujuy"/>
    <s v="Abaco"/>
    <s v="SAC"/>
    <m/>
    <x v="9"/>
    <m/>
    <m/>
    <d v="2025-10-27T00:00:00"/>
    <m/>
    <m/>
    <m/>
    <m/>
    <m/>
    <m/>
    <m/>
    <m/>
    <m/>
    <m/>
    <m/>
    <s v="Cerrado"/>
    <s v="Sin fecha comprometida"/>
    <e v="#REF!"/>
  </r>
  <r>
    <s v="MAN-451"/>
    <x v="0"/>
    <s v="Media"/>
    <d v="2025-05-20T00:00:00"/>
    <s v="Juy-Abaco  Juego BetWarrior no se despliega el detalle de movimientos._x000a_Caso 6622."/>
    <s v="La Ag 156 en la que señala que para el Juego BetWarrior no se despliega el detalle de movimientos que llega al saldo de -$55.200,00. Las agencias no saben que se les esta cobrando, o que deben cobrarles a sus subagentes, ya que no distingue recaudacion de premios,"/>
    <s v="Jujuy"/>
    <s v="Abaco"/>
    <s v="SAC"/>
    <m/>
    <x v="9"/>
    <m/>
    <m/>
    <d v="2025-10-27T00:00:00"/>
    <m/>
    <m/>
    <m/>
    <m/>
    <m/>
    <m/>
    <m/>
    <m/>
    <m/>
    <m/>
    <m/>
    <s v="Cerrado"/>
    <s v="Sin fecha comprometida"/>
    <e v="#REF!"/>
  </r>
  <r>
    <s v="MAN-484"/>
    <x v="0"/>
    <s v="Alta"/>
    <d v="2025-05-28T00:00:00"/>
    <s v="JUY-Gamma Reporte de asientos que se exporta en Excel (Caso 6676)"/>
    <s v="Jujuy - Gamma El reporte de asientos que se exporta en Excel, en las columnas con los importes debe o haber, el formato del mismo es de cadena de caracteres combinados con números y símbolos, que impiden ser operados.                                        Dificulta operar auditorías o controles. Lotería solicita cambiarlos a números."/>
    <s v="Jujuy"/>
    <s v="Gamma"/>
    <s v="SAC"/>
    <m/>
    <x v="9"/>
    <d v="2025-11-06T00:00:00"/>
    <m/>
    <d v="2025-11-06T00:00:00"/>
    <s v="Rodrigo validó que funciona en producción."/>
    <m/>
    <m/>
    <n v="1"/>
    <n v="1"/>
    <n v="1"/>
    <m/>
    <m/>
    <m/>
    <m/>
    <m/>
    <s v="Cerrado"/>
    <s v="Sin fecha comprometida"/>
    <e v="#REF!"/>
  </r>
  <r>
    <s v="MAN-488"/>
    <x v="0"/>
    <s v="Alta"/>
    <d v="2025-05-29T00:00:00"/>
    <s v="Jujuy - Gamma Diferencia de caja._x000a_Caso 6678."/>
    <s v="Jujuy - Gamma desde tesorería reportan que en caja, el día de ayer a la agencia 187 se le hizo un cobro por un monto contemplando un importe por debajo del redondeo a $100, por lo que al darse cuenta el cajero, solicitó a la tesorera su anulación para volver a cobrarlo._x000a__x000a_El día de hoy GAMMA arrastró ese saldo mínimo como crédito para la agencia cuando &quot;no debería haberlo hecho&quot; porque se deshizo el primer cobro."/>
    <s v="Jujuy"/>
    <s v="Gamma"/>
    <s v="SAC"/>
    <m/>
    <x v="9"/>
    <d v="2025-11-10T00:00:00"/>
    <m/>
    <d v="2025-11-11T00:00:00"/>
    <s v="Rodrigo debe validar que funciona en producción."/>
    <m/>
    <m/>
    <m/>
    <m/>
    <m/>
    <m/>
    <m/>
    <m/>
    <m/>
    <m/>
    <s v="Cerrado"/>
    <s v="Sin fecha comprometida"/>
    <e v="#REF!"/>
  </r>
  <r>
    <s v="MAN-524"/>
    <x v="0"/>
    <s v="Alta"/>
    <d v="2025-06-09T00:00:00"/>
    <s v="JUY-NOA No permite confirmar la carga del premio. Caso 6494."/>
    <s v="JUY - NOA Lotería reportó que en la carga de premios de los cartones de juegos instantáneos de Las Vegas en NOA, http://10.10.23.151:4003/_x000a_el sistema da error cuando se intenta confirmar, dado que en la carga del cupón muestra el monto del premio, pero no se puede confirmar la carga del mismo."/>
    <s v="Jujuy"/>
    <s v="NOA"/>
    <s v="SAC"/>
    <m/>
    <x v="9"/>
    <m/>
    <m/>
    <d v="2025-10-15T00:00:00"/>
    <m/>
    <m/>
    <m/>
    <m/>
    <m/>
    <m/>
    <m/>
    <m/>
    <m/>
    <m/>
    <m/>
    <s v="Cerrado"/>
    <s v="Sin fecha comprometida"/>
    <e v="#REF!"/>
  </r>
  <r>
    <s v="MAN-543   Duplicado con MAN-11424"/>
    <x v="2"/>
    <s v="Media"/>
    <d v="2025-06-13T00:00:00"/>
    <s v="JUY-GAMMA Pedido de reporte codigo 32 deudores retenciones de servicios"/>
    <s v="JUY-GAMMA tenemos el pedido de un reporte que GAMMA no provee._x000a_Es el detalle de cobros por código, agencias, fecha de imputación y monto._x000a_Adjunto una planilla de referencia como muestra."/>
    <s v="Jujuy"/>
    <s v="Gamma"/>
    <s v="SAC"/>
    <m/>
    <x v="9"/>
    <m/>
    <m/>
    <m/>
    <m/>
    <m/>
    <m/>
    <m/>
    <m/>
    <m/>
    <m/>
    <m/>
    <m/>
    <m/>
    <m/>
    <s v="Cerrado"/>
    <s v="Sin fecha comprometida"/>
    <e v="#REF!"/>
  </r>
  <r>
    <s v="MAN-557"/>
    <x v="0"/>
    <s v="Media"/>
    <d v="2025-06-24T00:00:00"/>
    <s v="SAL-ABACO Agregar buzón de comunicación"/>
    <s v="SAL-ABACO La solución debe contemplar un buzón de salida (para enviar información desde Lotería a los PDV) y un buzón de entrada (para recibir información desde los PDV), con funcionalidades de segmentación, gestión documental, trazabilidad y control de accesos por rol. Se adjunta el correo con todos los detalles solicitados."/>
    <s v="Salta "/>
    <s v="Notificaciones"/>
    <s v="SAC"/>
    <m/>
    <x v="9"/>
    <m/>
    <m/>
    <d v="2025-11-14T00:00:00"/>
    <s v="Desestimado pr sabrina Amarilla en correo del 14/11/2025"/>
    <m/>
    <m/>
    <m/>
    <m/>
    <m/>
    <m/>
    <m/>
    <m/>
    <m/>
    <m/>
    <s v="Cerrado"/>
    <s v="Sin fecha comprometida"/>
    <e v="#REF!"/>
  </r>
  <r>
    <s v="MAN-575                  Duplicado con 11424"/>
    <x v="2"/>
    <s v="Media"/>
    <d v="2025-07-02T00:00:00"/>
    <s v="JUY-GAMMA Reporte de Cobranzas Modo"/>
    <s v="JUY-GAMMA solicitan poder conocer en los reportes los movimientos discriminados por agencia, que por sentido común debería disponer el sistema."/>
    <s v="Jujuy"/>
    <s v="Gamma"/>
    <s v="SAC"/>
    <m/>
    <x v="9"/>
    <m/>
    <m/>
    <m/>
    <m/>
    <m/>
    <m/>
    <m/>
    <m/>
    <m/>
    <m/>
    <m/>
    <m/>
    <m/>
    <m/>
    <s v="Cerrado"/>
    <s v="Sin fecha comprometida"/>
    <e v="#REF!"/>
  </r>
  <r>
    <s v="MAN-593"/>
    <x v="0"/>
    <s v="Media"/>
    <d v="2025-07-10T00:00:00"/>
    <s v="SLA-ABACO Agregar filtro ranking de PDV a sub agencias._x000a_Caso 6660."/>
    <s v="SLA-ABACO Para ranking por PDV no hay filtro de sub-agencia"/>
    <s v="Salta"/>
    <s v="Abaco"/>
    <s v="SAC"/>
    <m/>
    <x v="9"/>
    <m/>
    <m/>
    <d v="2025-11-14T00:00:00"/>
    <s v="Desestimado pr sabrina Amarilla en correo del 14/11/2025"/>
    <m/>
    <m/>
    <m/>
    <m/>
    <m/>
    <m/>
    <m/>
    <m/>
    <m/>
    <m/>
    <s v="Cerrado"/>
    <s v="Sin fecha comprometida"/>
    <e v="#REF!"/>
  </r>
  <r>
    <s v="MAN-594"/>
    <x v="0"/>
    <s v="Media"/>
    <d v="2025-07-10T00:00:00"/>
    <s v="SLA-ABACO Mostrar premios al ingresar con sub agencia._x000a_Caso 6661."/>
    <s v="SLA-ABACO Al ingresar como sub agencia ejemplo 134-1 no muestra premios"/>
    <s v="Salta"/>
    <s v="Abaco"/>
    <s v="SAC"/>
    <m/>
    <x v="9"/>
    <m/>
    <m/>
    <d v="2025-11-14T00:00:00"/>
    <m/>
    <m/>
    <m/>
    <m/>
    <m/>
    <m/>
    <m/>
    <m/>
    <m/>
    <m/>
    <m/>
    <s v="Cerrado"/>
    <s v="Sin fecha comprometida"/>
    <e v="#REF!"/>
  </r>
  <r>
    <s v="MAN-599"/>
    <x v="0"/>
    <s v="Baja"/>
    <d v="2025-07-11T00:00:00"/>
    <s v="SAL-ABACO Reemplazo de nomenclaturas en el Panel._x000a_Caso 6662."/>
    <s v="SAL-ABACO                                                        1. Comisión_x000a__x000a_Dentro de las pestañas de cada juego, unificar los campos “comisión” y “comisión adicional” en un único valor._x000a_En el desplegable correspondiente, reflejar el porcentaje total de comisión que aplica para cada PDV._x000a_3. Cuenta Corriente_x000a__x000a_Reemplazar la leyenda “cancelación de débito” por “pago ingresado fuera de término”._x000a_Reemplazar “cancelación de crédito” por “Saldo a favor anterior”.(entendemos es una transferencia que no se realizo)_x000a_En el campo CSA, incluir el porcentaje de IVA aplicado._x000a_En el ítem TISSH inscripto, reflejar el porcentaje correspondiente._x000a_Cambiar la denominación “contribución solidaria” por “aporte a cámara/ Caltosa” y sumar el porcentaje aplicado._x000a_En el caso de retención de ingresos brutos, mostrar el porcentaje retenido."/>
    <s v="Salta"/>
    <s v="Abaco"/>
    <s v="SAC"/>
    <m/>
    <x v="9"/>
    <m/>
    <m/>
    <d v="2025-11-14T00:00:00"/>
    <s v="Desestimado pr sabrina Amarilla en correo del 14/11/2025"/>
    <m/>
    <m/>
    <m/>
    <m/>
    <m/>
    <m/>
    <m/>
    <m/>
    <m/>
    <m/>
    <s v="Cerrado"/>
    <s v="Sin fecha comprometida"/>
    <e v="#REF!"/>
  </r>
  <r>
    <s v="MAN-650  Duplicado con 11379"/>
    <x v="2"/>
    <s v="Media"/>
    <d v="2025-08-11T00:00:00"/>
    <s v="JUY-GAMMA Mejorar el reporte &quot;Estado de cuenta corriente&quot;"/>
    <s v="JUY-GAMMA Se solicita que el listado &quot;Estado de cuenta corriente&quot; el cual muestra la información global del asunto, permita tambien exportar la informacion en PDF y Excel. "/>
    <s v="Jujuy"/>
    <s v="Gamma"/>
    <s v="SAC"/>
    <m/>
    <x v="9"/>
    <m/>
    <m/>
    <m/>
    <m/>
    <m/>
    <m/>
    <m/>
    <m/>
    <m/>
    <m/>
    <m/>
    <m/>
    <m/>
    <m/>
    <s v="Cerrado"/>
    <s v="Sin fecha comprometida"/>
    <e v="#REF!"/>
  </r>
  <r>
    <s v="Caso-6850"/>
    <x v="0"/>
    <s v="Media"/>
    <d v="2025-08-25T00:00:00"/>
    <s v="SAL-GAMMA reporte de Agencieros a fecha de cierre de cada mes, que arroje el saldo deudor/acreedor"/>
    <s v="Se precisa contar con un reporte de Agencieros a fecha de cierre de cada mes, que arroje el saldo deudor/acreedor según corresponda, por lo cual, debería contemplar la ultima refinanciación, su estado (si esta cobrado/o pendiente) y los saldos pendientes según cada caso, para llegar de esa manera a conformar el saldo correcto."/>
    <s v="Salta "/>
    <s v="Gamma"/>
    <s v="SAC"/>
    <m/>
    <x v="9"/>
    <m/>
    <m/>
    <d v="2025-09-03T00:00:00"/>
    <s v="Se hará un ticket vinculado para que no se tenga que mandar reporte todos los meses desde SAC. ¿O SERÄ que re resuelve con el 104??) "/>
    <m/>
    <m/>
    <m/>
    <m/>
    <m/>
    <m/>
    <m/>
    <m/>
    <m/>
    <m/>
    <s v="Cerrado"/>
    <s v="Sin fecha comprometida"/>
    <e v="#REF!"/>
  </r>
  <r>
    <s v="Caso-6924 vinculado a ...??"/>
    <x v="0"/>
    <s v="Media"/>
    <d v="2025-08-26T00:00:00"/>
    <s v="SAL-ABACO Aplicar deducciones en Control de Caja"/>
    <s v="SAL-ABACO aplicar la deducción de impuestos correspondiente en los juegos de terceros (Telekino, Quini 6, Loto, etc.)."/>
    <s v="Salta "/>
    <s v="Abaco"/>
    <s v="SAC"/>
    <m/>
    <x v="9"/>
    <m/>
    <m/>
    <m/>
    <s v="Duplicado en ila 78 de este backlog"/>
    <m/>
    <m/>
    <m/>
    <m/>
    <m/>
    <m/>
    <m/>
    <m/>
    <m/>
    <m/>
    <s v="Cerrado"/>
    <s v="Sin fecha comprometida"/>
    <e v="#REF!"/>
  </r>
  <r>
    <s v="00007754"/>
    <x v="0"/>
    <s v="Alta"/>
    <d v="2025-12-09T00:00:00"/>
    <s v="Liquidación de juegos poceados (Quini, Brinco y Telekino)"/>
    <s v="Lotería realiza recaudación de estos hasta el sábado, los sorteos al ser el domingo impiden que GAMMA los pueda procesar, por lo que se requiere la intervención manual en el sistema cada domingo para adecuar el funcionamiento del mismo y poder así liquidar un día lunes. Esto se hace todas las semanas."/>
    <s v="Jujuy"/>
    <s v="Gamma"/>
    <s v="SAC"/>
    <m/>
    <x v="9"/>
    <m/>
    <m/>
    <d v="2025-09-12T00:00:00"/>
    <m/>
    <m/>
    <m/>
    <m/>
    <m/>
    <m/>
    <m/>
    <m/>
    <m/>
    <m/>
    <m/>
    <s v="Cerrado"/>
    <s v="Sin fecha comprometida"/>
    <e v="#REF!"/>
  </r>
  <r>
    <s v="00009775"/>
    <x v="0"/>
    <s v="Alta"/>
    <s v="14/10/2025"/>
    <s v="COR-Proceso Cancelar Preliquidacion."/>
    <s v="Al cancelar la preliquidacion no vuelve atrás los saldos vencidos."/>
    <s v="Corrientes"/>
    <s v="Gamma"/>
    <s v="SAC"/>
    <m/>
    <x v="9"/>
    <m/>
    <d v="2025-10-31T00:00:00"/>
    <d v="2025-11-06T00:00:00"/>
    <s v="Resuelto en QA y listo para desplegar en UAT. Pruebas pendientes de UAT.Debe correrse un script para que la Lotería de Corrientes lo vea solucionado desmarcando impuestos "/>
    <m/>
    <m/>
    <n v="1"/>
    <n v="1"/>
    <n v="1"/>
    <m/>
    <m/>
    <m/>
    <m/>
    <m/>
    <s v="Cerrado"/>
    <n v="6"/>
    <e v="#REF!"/>
  </r>
  <r>
    <s v="00009745"/>
    <x v="0"/>
    <s v="Alta"/>
    <s v="14/10/2025"/>
    <s v="Modificacion Certificado IIBB"/>
    <s v="Solicito que los certificados emitidos en GAMMA se corrijan con los datos correspondientes a Lotería Corrientes._x000a_"/>
    <s v="Corrientes"/>
    <s v="Gamma"/>
    <s v="SAC"/>
    <m/>
    <x v="9"/>
    <m/>
    <d v="2025-10-31T00:00:00"/>
    <d v="2025-11-04T00:00:00"/>
    <s v="Se está probando en QA y es posible que salga esta semana. Ya lo está viendo desarrollo. Implicaba probar el modulo de impuestos._x000a_HB 04/11 Loteria confirmo que con el despliegue realizado el 31/10 quedo funcionando OK. Se adjunto la confirmacion en la carpeta del ticket."/>
    <m/>
    <m/>
    <n v="2"/>
    <n v="8"/>
    <n v="1"/>
    <m/>
    <m/>
    <m/>
    <m/>
    <m/>
    <s v="Cerrado"/>
    <n v="4"/>
    <e v="#REF!"/>
  </r>
  <r>
    <s v="00006643"/>
    <x v="0"/>
    <m/>
    <s v="21/8/2025"/>
    <s v="9578 SAL-Abaco Agregar detalle de pdv que deposita"/>
    <m/>
    <s v="Salta"/>
    <s v="Gamma"/>
    <s v="SAC"/>
    <m/>
    <x v="9"/>
    <m/>
    <m/>
    <d v="2025-11-11T00:00:00"/>
    <s v="Desestimado pr sabrina Amarilla en correo del 14/11/2025"/>
    <m/>
    <m/>
    <m/>
    <m/>
    <m/>
    <m/>
    <m/>
    <m/>
    <m/>
    <m/>
    <s v="Cerrado"/>
    <s v="Sin fecha comprometida"/>
    <e v="#REF!"/>
  </r>
  <r>
    <s v="00008431"/>
    <x v="0"/>
    <m/>
    <s v="22/9/2025"/>
    <s v="NOA/Gamma- LR -NOA -Problemas con la Liquidación Telekino sorteo 2392"/>
    <s v="Se detectó un error en la predistribución de NOA. Si bien la plataforma indicó que el archivo fue aceptado, el proceso no se reflejó en las tablas correspondientes. Para dar continuidad, se procedió a ingresar manualmente todas las entregas del sorteo N.º 2392."/>
    <s v="La Rioja"/>
    <s v="NOA"/>
    <s v="SAC"/>
    <m/>
    <x v="9"/>
    <m/>
    <m/>
    <d v="2025-10-27T00:00:00"/>
    <m/>
    <m/>
    <m/>
    <m/>
    <m/>
    <m/>
    <m/>
    <m/>
    <m/>
    <m/>
    <m/>
    <s v="Cerrado"/>
    <s v="Sin fecha comprometida"/>
    <e v="#REF!"/>
  </r>
  <r>
    <s v="00008787"/>
    <x v="0"/>
    <m/>
    <s v="24/9/2025"/>
    <s v="Reporte de Agencieros mensual"/>
    <s v="Se precisa contar con un reporte de Agencieros a fecha de cierre de cada mes, que arroje el saldo deudor/acreedor según corresponda, por lo cual, debería contemplar la ultima refinanciación, su estado (si esta cobrado/o pendiente) y los saldos pendientes según cada caso, para llegar de esa manera a conformar el saldo correcto."/>
    <s v="Salta"/>
    <s v="Gamma"/>
    <s v="SAC"/>
    <m/>
    <x v="9"/>
    <m/>
    <m/>
    <d v="2025-11-11T00:00:00"/>
    <m/>
    <m/>
    <m/>
    <m/>
    <m/>
    <m/>
    <m/>
    <m/>
    <m/>
    <m/>
    <m/>
    <s v="Cerrado"/>
    <s v="Sin fecha comprometida"/>
    <e v="#REF!"/>
  </r>
  <r>
    <s v="00008938"/>
    <x v="0"/>
    <m/>
    <d v="2025-09-29T00:00:00"/>
    <s v="GAMMA-JUJ-Error al dar de alta un PDV"/>
    <s v="Cuando se completan los datos para el alta de una agencia, al momento de grabar los datos el sistema da error. _x000a_Análisis_x000a__x000a_Se comprobó que el titular que se intenta dar de alta ya existe en la base de datos de Gamma, aunque se encuentra en estado DISCHARGED. Esta situación no debería impedir la creación de un nuevo registro para el mismo titular con estado ACTIVO, considerando que el anterior ya no está vigente._x000a__x000a_Se sugiere que, ante la baja de un titular, se almacene la fecha de baja en el campo deleted de la tabla Holder en la base de datos Agencies. Esta medida permitiría resolver los inconvenientes en el proceso de altas de PDV en escenarios de este tipo._x000a__x000a_Adicionalmente, se observó que al finalizar el proceso de altas la validación de datos bancarios arroja el siguiente error:_x000a__x000a_ _x000a__x000a_&quot;accountHolder&quot;: &quot;el tamaño debe estar entre 1 y 100&quot;_x000a__x000a_Dicho error resulta inconsistente, ya que se trata de un campo no requerido y el valor informado no supera los 100 caracteres._x000a__x000a_Acción requerida_x000a__x000a_Solicitar al área de Desarrollo la revisión y corrección de ambos puntos, a fin de garantizar la correcta gestión de altas de titulares y evitar validaciones erróneas en datos bancarios."/>
    <s v="Jujuy"/>
    <s v="Gamma"/>
    <s v="SAC"/>
    <m/>
    <x v="9"/>
    <m/>
    <m/>
    <m/>
    <m/>
    <m/>
    <m/>
    <m/>
    <m/>
    <m/>
    <m/>
    <m/>
    <m/>
    <m/>
    <m/>
    <s v="Cerrado"/>
    <s v="Sin fecha comprometida"/>
    <e v="#REF!"/>
  </r>
  <r>
    <s v="00010089_x000a_"/>
    <x v="0"/>
    <m/>
    <d v="2025-10-24T00:00:00"/>
    <s v="Abaco -  Error en módulo de Medios Digitales"/>
    <s v="Al ingresar en la pestaña “Medios Digitales” y realizar la búsqueda por Agencia Concentradora, el sistema arroja el error que se muestra en la imagen que se adjunta._x000a__x000a_Como consecuencia, no se cargan los movimientos de las subagencias en dicha pantalla._x000a_Actualmente, solo es posible visualizar los movimientos individuales accediendo a cada subagencia desde el menú “Selección de Punto de Venta”._x000a__x000a_Se solicita revisión y corrección del error para restablecer el funcionamiento habitual del módulo."/>
    <s v="Salta"/>
    <s v="Abaco"/>
    <s v="SAC"/>
    <m/>
    <x v="9"/>
    <m/>
    <m/>
    <d v="2025-10-27T00:00:00"/>
    <m/>
    <m/>
    <m/>
    <m/>
    <m/>
    <m/>
    <m/>
    <m/>
    <m/>
    <m/>
    <m/>
    <s v="Cerrado"/>
    <s v="Sin fecha comprometida"/>
    <e v="#REF!"/>
  </r>
  <r>
    <s v="00010313"/>
    <x v="0"/>
    <m/>
    <d v="2025-10-24T00:00:00"/>
    <s v="COR-Lotemovil- Medios digitales"/>
    <s v="Loteria Solicita  que en el modulo Medios Digitales de Lotemovil (nuevo) traiga la información de los cobros por modo. Por ejemplo la agencia 499 para el dia 18/10 en Lotemovil (el viejo) figura los cobros"/>
    <s v="Corrientes"/>
    <s v="Abaco"/>
    <s v="SAC"/>
    <m/>
    <x v="9"/>
    <d v="2025-11-10T00:00:00"/>
    <d v="2025-11-10T00:00:00"/>
    <d v="2025-12-02T00:00:00"/>
    <m/>
    <m/>
    <m/>
    <m/>
    <m/>
    <m/>
    <m/>
    <m/>
    <m/>
    <m/>
    <m/>
    <s v="Cerrado"/>
    <n v="22"/>
    <e v="#REF!"/>
  </r>
  <r>
    <s v="0009916"/>
    <x v="0"/>
    <m/>
    <d v="2025-10-17T00:00:00"/>
    <s v="ERROR en Archivo de Pagos generados en GAMMA"/>
    <s v="El archivo de pagos generado por gamma en el proceso diario de preliquidacion tiene un CBU que no corresponde con la entidad Lotería Correntina._x000a_Paso información del CBU correspondiente de Lotería Correntina:_x000a_Corrientes - CC - $ - 07099000132192008_x000a_CUIT 33999004909_x000a_CBU 0940099324001321920084_x000a_INSTIT DE LOTERIA Y CAS CTES_x000a__x000a_Se solicita con urgencia corregirlo porque Interbanking lo rechaza. Se adjunta:_x000a_1. Imagen de la diferencia de lo que genera SIGA y lo que genera GAMMA_x000a_2. Archivo txt de siga_x000a_3. Archivo txt de gamma_x000a_4. Error que emite Interbanking"/>
    <s v="Corrientes"/>
    <s v="Gamma"/>
    <s v="SAC"/>
    <m/>
    <x v="9"/>
    <m/>
    <m/>
    <d v="2025-11-06T00:00:00"/>
    <s v="Esta parametría no puede editarse desde la BD, aparentemente las mismas se encuentran en properties"/>
    <m/>
    <m/>
    <m/>
    <m/>
    <m/>
    <m/>
    <m/>
    <m/>
    <m/>
    <m/>
    <s v="Cerrado"/>
    <s v="Sin fecha comprometida"/>
    <e v="#REF!"/>
  </r>
  <r>
    <s v="00010498"/>
    <x v="0"/>
    <m/>
    <d v="2025-10-29T00:00:00"/>
    <s v="Módulo Tesorería - Error en Panel de Auditoría"/>
    <s v="En dicho módulo se controla los archivos de cobros incorporados en gamma que cancela los resúmenes. Al intentar acceder a la opción &quot;Panel de Auditoría&quot; arroja un error: Información null."/>
    <s v="Corrientes"/>
    <s v="Gamma"/>
    <s v="SAC"/>
    <m/>
    <x v="9"/>
    <d v="2025-11-07T00:00:00"/>
    <d v="2025-10-31T00:00:00"/>
    <d v="2025-11-04T00:00:00"/>
    <s v="Aun en analisis por parte de FR.  Solución transitoria la ejecuta SAC. Pero la solución definitiva se debe pedir mediante una solicitud a Mantenimiento Gamma._x000a_HB 04/11 Loteria confirmo que con el despliegue realizado el 31/10 quedo funcionando OK. Se adjunto la confirmacion en la carpeta del ticket."/>
    <m/>
    <m/>
    <m/>
    <m/>
    <m/>
    <m/>
    <m/>
    <m/>
    <m/>
    <m/>
    <s v="Cerrado"/>
    <n v="4"/>
    <e v="#REF!"/>
  </r>
  <r>
    <s v="0010399"/>
    <x v="0"/>
    <m/>
    <d v="2025-10-27T00:00:00"/>
    <s v="Modificación de Vencimientos en resúmenes._x000a_Caso abierto por lo mismo 10196,"/>
    <s v="Se solicita que se modifique los vencimientos de los resúmenes que figuran en el archivo adjunto Excel, esto se debe a que el modulo en donde se configura el vencimiento especial GAMMA no esta tomando tal configuración (Caso 10196, abierto hasta el momento). Mientras dicho requerimiento no se resuelva se pedirá nuevamente próximos días nuevas moficiaciones de vencimientos"/>
    <s v="Corrientes"/>
    <s v="Gamma"/>
    <s v="SAC"/>
    <m/>
    <x v="9"/>
    <m/>
    <m/>
    <d v="2025-11-05T00:00:00"/>
    <s v="En manos de SAC ver con Horacio. Solo corrección de Datos"/>
    <m/>
    <m/>
    <m/>
    <m/>
    <m/>
    <m/>
    <m/>
    <m/>
    <m/>
    <m/>
    <s v="Cerrado"/>
    <s v="Sin fecha comprometida"/>
    <e v="#REF!"/>
  </r>
  <r>
    <s v="MAN-487"/>
    <x v="0"/>
    <m/>
    <d v="2025-05-29T00:00:00"/>
    <s v="Todas las prov - Gamma revision de microservicios._x000a_Caso 10318.(Juan Manuel lo pasó como ID 589)"/>
    <s v="Se solicita revisión de los microservicios de ecosistema GAMMA (checkingaccount, agencies, gammabff, etc) sobre los recusos utilizados. Por ejemplo, pudimos detectar que checkingaccount todas las noches 00hs, tiene picos en uso de cpu del 200% durante 3minutos, luego de esto el uso de red y lectura/escritura incrementa (nunca vuelven a bajar). Queremos saber si existen otros microservicios en la misma condición."/>
    <s v="Todas las provincias"/>
    <s v="Gamma"/>
    <s v="Mantenimiento"/>
    <m/>
    <x v="9"/>
    <d v="2025-11-28T00:00:00"/>
    <d v="2025-11-20T00:00:00"/>
    <d v="2025-12-19T00:00:00"/>
    <s v="Análisis del problema:_x000a_Se detecta una caída recurrente de los microservicios, generalmente con frecuencia semanal. Los servicios más afectados son:_x000a_GAME, GAMMABFF, CHECKINGACCOUNT_x000a__x000a_De forma eventual:_x000a_USERS, AGENCYS, LOGSERVER_x000a__x000a_Recientemente:_x000a_DISCOUNT_x000a_Causa identificada (inmediata): Falta de memoria en los procesos._x000a_Posible solución:_x000a_Incrementar la asignación de memoria a los microservicios. Esta medida sería temporal mientras se identifica la causa mediata._x000a_Alternativa planteada:_x000a_Eliminar la limitación actual en el consumo de memoria (configurada inicialmente para garantizar estabilidad). Aunque se realizaron aumentos previos, no resultaron definitivos ante las recientes caídas. De considerarse, sería necesario ejecutar un Garbage Collector por microservicio para controlar el consumo de recursos._x000a_Incidencias registradas (Caso en Salesforce 10318). Se implementó el 20/11. Al 25/11 no se reportaron caidas de microservicios._x000a_"/>
    <s v="Gustavo Duarte: Se hicieron correcciones en los siguientes microservicios:                                                         - gamma-bff_x000a_- game_x000a_- discount_x000a_- checkingaccount_x000a_- agency_x000a_- logserver_x000a_- user _x000a_Se modificó limite de memoria de los servicios en el archivo docker-compose.yaml. Y se reconfiguró el Dockerfile para que ejecute el jar de otra manera._x000a_ Por favor verifiquen que gamma-uat funciona normalmente._x000a_ Si está todo bien, tienen que subir los cambios al repo correspondiente desde el server para que guarde los cambios en el docker-compose.yaml y Dockerfile de los servicios en cuestión.Yo puedo modificar lo que hice en UAT. Pero despues los que puedan pushear los cambios al repo tiene que ser alguno que sepa._x000a_ "/>
    <m/>
    <m/>
    <m/>
    <m/>
    <m/>
    <m/>
    <m/>
    <m/>
    <m/>
    <s v="Cerrado"/>
    <n v="29"/>
    <e v="#REF!"/>
  </r>
  <r>
    <s v="MAN-000072"/>
    <x v="0"/>
    <m/>
    <d v="2025-10-27T00:00:00"/>
    <s v="Modificación de Vencimientos en resúmenes._x000a_Caso abierto por lo mismo 10196(se esta correigiendo con envios de listados manuales)._x000a_Caso SF 10399"/>
    <s v="Se solicita que se modifique los vencimientos de los resúmenes que figuran en el archivo adjunto Excel, esto se debe a que el modulo en donde se configura el vencimiento especial GAMMA no esta tomando tal configuración (Caso 10196, abierto hasta el momento). Mientras dicho requerimiento no se resuelva se pedirá nuevamente próximos días nuevas moficiaciones de vencimientos"/>
    <s v="Corrientes"/>
    <s v="Gamma"/>
    <s v="SAC"/>
    <m/>
    <x v="9"/>
    <m/>
    <m/>
    <d v="2025-11-05T00:00:00"/>
    <m/>
    <m/>
    <m/>
    <m/>
    <m/>
    <m/>
    <m/>
    <m/>
    <m/>
    <m/>
    <m/>
    <s v="Cerrado"/>
    <s v="Sin fecha comprometida"/>
    <e v="#REF!"/>
  </r>
  <r>
    <s v="00010312         MAN-065"/>
    <x v="2"/>
    <s v="Alta"/>
    <d v="2025-10-24T00:00:00"/>
    <s v="COR-Lotemovil-Depositos y retiros"/>
    <s v="Se solicita que en Lotemovil (https://panelcorrientes.lotemovil.com.ar/) el modulo Online se despliegue un submenu con la opción “Depositos y Retiros” y que en esta opción se visualice toda la información referente a los depósitos y retiros diarios, tal cual lo trae en el Lotemovil anterior ([https://cnq.lotemovil.com.ar](https://cnq.lotemovil.com.ar/)) se adjunta imagen de ejemplo de la agencia 499 en el cual tiene un deposito para el subagente 12 el monto de $5.000 en el dia 18/10 ."/>
    <s v="Corrientes"/>
    <s v="Abaco"/>
    <s v="Mantenimiento"/>
    <m/>
    <x v="9"/>
    <m/>
    <d v="2026-02-13T00:00:00"/>
    <m/>
    <m/>
    <m/>
    <s v="CASO 10312 - Lotline - consulta de depósitos y retiros diarios - 1.0.docx"/>
    <m/>
    <n v="34"/>
    <s v="Paolo"/>
    <s v="15% diseño - 25% soporte - 15% QA - 10%UAT 5% PROD"/>
    <m/>
    <s v="?"/>
    <m/>
    <m/>
    <s v="Cerrado"/>
    <n v="95"/>
    <e v="#REF!"/>
  </r>
  <r>
    <s v="MAN-00011271"/>
    <x v="2"/>
    <s v="Alta"/>
    <d v="2025-11-17T00:00:00"/>
    <s v="COR-Gamma- Modificacion listado 103"/>
    <s v="Se solicita incorporar un nuevo tipo de estado dentro de las opciones de filtrado del_x000a_Reporte 103, denominado: “Cobrado Fuera de Término”_x000a_El objetivo es permitir que el reporte identifique y liste todos los resúmenes cuyo_x000a_pago/cobro se produjo después de la fecha de vencimiento, dentro del rango “desde” y_x000a_“hasta” seleccionado por el usuario._x000a_Se adjunta pdf con informacion completa del caso."/>
    <s v="Corrientes"/>
    <s v="Gamma"/>
    <s v="Mantenimiento"/>
    <m/>
    <x v="9"/>
    <m/>
    <d v="2026-02-13T00:00:00"/>
    <m/>
    <m/>
    <m/>
    <s v="https://tecnoaccionsa.sharepoint.com/:w:/s/GAMMA.2024/IQAJ_y_lBO7mSqcbWTvZPjBRAe5ZiQZiUAM7gLQf4kP6nZk?e=52UqbY"/>
    <m/>
    <n v="27"/>
    <s v="Alejandro"/>
    <m/>
    <m/>
    <s v="?"/>
    <m/>
    <m/>
    <s v="Cerrado"/>
    <n v="95"/>
    <e v="#REF!"/>
  </r>
  <r>
    <s v="MAN-00012346"/>
    <x v="0"/>
    <s v="Media"/>
    <d v="2025-12-17T00:00:00"/>
    <s v="Panel Agentes- No se visualiza monto en forma correcta"/>
    <s v="Lotería solicita corrección en resumen de cuenta para el agenciero, No aparecen números enteros.._x000a_Se adjunta imagen descripriva "/>
    <s v="Corrientes"/>
    <s v="Panel Agentes-Abaco"/>
    <m/>
    <m/>
    <x v="9"/>
    <m/>
    <d v="2026-02-13T00:00:00"/>
    <m/>
    <m/>
    <m/>
    <s v="MAN-12346 - GAMMA - Resumen de cuenta agen correc de numeros enter - 1.0.docx"/>
    <m/>
    <n v="7"/>
    <s v="Marcos"/>
    <m/>
    <m/>
    <s v="?"/>
    <m/>
    <m/>
    <s v="Cerrado"/>
    <n v="95"/>
    <e v="#REF!"/>
  </r>
  <r>
    <s v="MAN-00011426"/>
    <x v="2"/>
    <s v="Media"/>
    <d v="2025-11-18T00:00:00"/>
    <s v="JUJ- Gamma - Listado 103 - Modificacion"/>
    <s v="El Reporte 103, carece de total general al pie del reporte."/>
    <s v="Jujuy"/>
    <s v="Gamma"/>
    <s v="Mantenimiento"/>
    <m/>
    <x v="9"/>
    <m/>
    <d v="2026-02-13T00:00:00"/>
    <m/>
    <m/>
    <m/>
    <s v="Reporte 103 – Cambios funcionales y operativos - 1.1.docx"/>
    <m/>
    <n v="7"/>
    <s v="Marcos"/>
    <m/>
    <m/>
    <s v="?"/>
    <m/>
    <m/>
    <s v="Cerrado"/>
    <n v="95"/>
    <e v="#REF!"/>
  </r>
  <r>
    <s v="Man-0011126"/>
    <x v="2"/>
    <m/>
    <d v="2026-01-05T00:00:00"/>
    <s v="COR-Gamma- Modificacion listado 103- Filtro para procesos. Reporte de Cobros"/>
    <s v="Se solicita un reporte en excel a ser enviado por mail a partir de mañana con los siguientes campos:_x000a_F. Creacion_x000a_F. Emisión_x000a_F. Imputación_x000a_F. Cobro_x000a_PDV (ag)_x000a_Resumen_x000a_Importe_x000a_User_x000a__x000a_El mismo debe ser emitido una vez que el Area de Tesorería procese el/los archivos bancarios de cobros_x000a_El area de sistema avisa a los técnicos de gamma en que momento emitir dicho reporte._x000a_En asunto colocar &quot;Resumen de Cobros procesados dia XXXXXXXX y enviarse a las siguientes cuentas:_x000a_tesoreria@loteriacorrentina.gov.ar_x000a_celeste.barreiro@loteriacorrentina.gov.ar_x000a_andres.escalante@loteriacorrentina.gov.ar_x000a_cesar.gimenez@loteriacorrentina.gov.ar"/>
    <s v="Corrientes"/>
    <s v="Gamma"/>
    <m/>
    <m/>
    <x v="9"/>
    <m/>
    <d v="2026-02-13T00:00:00"/>
    <m/>
    <m/>
    <m/>
    <s v="Reporte 103 – Cambios funcionales y operativos - 1.1.docx"/>
    <m/>
    <n v="102"/>
    <m/>
    <m/>
    <m/>
    <s v="?"/>
    <m/>
    <m/>
    <s v="Cerrado"/>
    <n v="95"/>
    <e v="#REF!"/>
  </r>
  <r>
    <s v="9066"/>
    <x v="2"/>
    <m/>
    <d v="2026-09-29T00:00:00"/>
    <s v="Listado de Numeros de Resumenes - 103 acumulado por rango de fechas"/>
    <s v="Loteria, solicita un listado en Excel a todos los numeros de resumenes de todas las agencias desde el 1/09 al 29/09. Que contenga Fecha de Emision, Resumen, Punto de Venta, Saldo, Concepto (debito/credito), loteria solicita este informe diariamente a las 11hs. "/>
    <s v="Corrientes"/>
    <s v="Gamma"/>
    <m/>
    <m/>
    <x v="9"/>
    <m/>
    <d v="2026-02-13T00:00:00"/>
    <m/>
    <m/>
    <m/>
    <s v="Reporte 103 – Cambios funcionales y operativos - 1.0.docx"/>
    <m/>
    <n v="54"/>
    <m/>
    <m/>
    <m/>
    <s v="?"/>
    <m/>
    <m/>
    <s v="Cerrado"/>
    <n v="95"/>
    <e v="#REF!"/>
  </r>
  <r>
    <s v="11229"/>
    <x v="2"/>
    <m/>
    <d v="2025-11-13T00:00:00"/>
    <s v="COR-GAMMA - Reporte 103 Resumenes Actualizados con fecha de cobro"/>
    <s v="Se solicita un reporte en excel a ser enviado por mail con los siguientes campos:_x000a_PDV (ag)_x000a_Resumen_x000a_Fecha emision_x000a_Vencimiento_x000a_Pago_x000a_Importe (saldo)_x000a_partida_x000a__x000a_El area de sistema avisa a los técnicos de gamma en que momento emitir dicho reporte. ya que el mismo debe ser emitido una vez que el Area de Tesorería procese el/los archivos bancarios de cobros_x000a_Enviarse a las siguientes cuentas, asunto del mail Reporte 103 - Actualizado:_x000a_tesoreria@loteriacorrentina.gov.ar_x000a_celeste.barreiro@loteriacorrentina.gov.ar_x000a_andres.escalante@loteriacorrentina.gov.ar_x000a_cesar.gimenez@loteriacorrentina.gov.ar"/>
    <s v="Corrientes"/>
    <s v="Gamma"/>
    <m/>
    <m/>
    <x v="9"/>
    <m/>
    <d v="2026-02-13T00:00:00"/>
    <m/>
    <m/>
    <m/>
    <s v="Reporte 103 – Cambios funcionales y operativos - 1.1.docx"/>
    <m/>
    <n v="80"/>
    <m/>
    <m/>
    <m/>
    <s v="?"/>
    <m/>
    <m/>
    <s v="Cerrado"/>
    <n v="95"/>
    <e v="#REF!"/>
  </r>
  <r>
    <s v="MAN-13069"/>
    <x v="2"/>
    <s v="Alta"/>
    <d v="2025-12-30T00:00:00"/>
    <s v="JUJ-Gamma No esta el filtro por cajero en reporte 103"/>
    <s v="Luego del despliegue de Gamma para Corrientes del 29/12 desaparecio la opcion de filtrar por cajero en el reporte 103"/>
    <s v="Jujuy"/>
    <s v="Gamma"/>
    <m/>
    <m/>
    <x v="9"/>
    <m/>
    <d v="2026-02-13T00:00:00"/>
    <m/>
    <s v="Lo verá José candia con el cliente Jujuy. Podría ser desestimado si les conforma otra solución."/>
    <s v="HAbria que armar un nuevo listado para arqueo de caja"/>
    <s v="Reporte 103 – Cambios funcionales y operativos - 1.1.docx"/>
    <m/>
    <n v="68"/>
    <s v="Jimena"/>
    <m/>
    <m/>
    <s v="?"/>
    <m/>
    <m/>
    <s v="Cerrado"/>
    <n v="95"/>
    <e v="#REF!"/>
  </r>
  <r>
    <s v="MAN-00013192"/>
    <x v="0"/>
    <s v="Media"/>
    <d v="2026-01-05T00:00:00"/>
    <s v="Cor- Gamma - Preliquidación - Servicios caidos, no volvio atras la preliquidacion (Caso original 13181-Cerrado)"/>
    <s v="Hoy estaban realizando la pre liquidación del día sábado cuan do visualizo que estaban caídos dos servicios del panel de gama. ( LOGSERVER y GAMMA BFF)._x000a_se reinician los servicios y continúan con la preliquidacion. Pero gamma no vuelve atrás y duplica las recaudaciones de LOTO PLUS , LOTO 5 y QUINIELA."/>
    <s v="Corrientes"/>
    <s v="Gamma"/>
    <m/>
    <m/>
    <x v="9"/>
    <m/>
    <d v="2026-02-13T00:00:00"/>
    <m/>
    <m/>
    <m/>
    <m/>
    <m/>
    <n v="136"/>
    <m/>
    <m/>
    <m/>
    <s v="?"/>
    <m/>
    <m/>
    <s v="Cerrado"/>
    <n v="95"/>
    <e v="#REF!"/>
  </r>
  <r>
    <s v="MAN-00011876"/>
    <x v="2"/>
    <s v="Media"/>
    <d v="2025-12-01T00:00:00"/>
    <s v="Caso 00011876 COR- Panel Agentes"/>
    <s v="Lotería Solicita ampliar los tiempos de renovación de usuario y contraseña en el panel de agentes, , o bien que aparezca la leyenda Olvide Mi Contraseña. Para poder restáuralas"/>
    <s v="Corrientes"/>
    <s v="Lotemovil"/>
    <s v="Mantenimiento"/>
    <m/>
    <x v="9"/>
    <m/>
    <d v="2026-02-13T00:00:00"/>
    <m/>
    <m/>
    <m/>
    <m/>
    <m/>
    <n v="27"/>
    <m/>
    <m/>
    <m/>
    <s v="?"/>
    <m/>
    <m/>
    <s v="Cerrado"/>
    <n v="95"/>
    <e v="#REF!"/>
  </r>
  <r>
    <s v="MAN-00011427"/>
    <x v="2"/>
    <m/>
    <d v="2025-11-18T00:00:00"/>
    <s v="Juj-Gamma - Listado 104"/>
    <s v="Reporte 104 no permite seleccionar agencias por tramos. Ej: (01–214) ni seleccionar todas para desmarcar algunas y además limita a 10 agencias simultáneas la selección particular."/>
    <s v="Jujuy"/>
    <s v="Gamma"/>
    <s v="Mantenimiento"/>
    <m/>
    <x v="9"/>
    <m/>
    <m/>
    <m/>
    <m/>
    <s v="Requiere reingeniería"/>
    <m/>
    <m/>
    <n v="600"/>
    <m/>
    <m/>
    <m/>
    <m/>
    <m/>
    <m/>
    <s v="Cerrado"/>
    <s v="Sin fecha comprometida"/>
    <e v="#REF!"/>
  </r>
  <r>
    <s v="MAN-72"/>
    <x v="0"/>
    <s v="Media"/>
    <d v="2025-01-03T00:00:00"/>
    <s v="SLA GAMMA MAN-9561 Comisiones Betwarrior._x000a_Caso 6638."/>
    <s v="Calculaba comisión pero no calculaba el impuesto. Debe probarlos FFigueroa con Ralbitre."/>
    <s v="Salta"/>
    <s v="Gamma"/>
    <s v="Mantenimiento"/>
    <n v="9"/>
    <x v="6"/>
    <d v="2025-11-12T00:00:00"/>
    <s v="MARZO"/>
    <m/>
    <s v="En proceso de prueba UAT. SAC tendrá que cargar las reglas en prod. Probará Fabián Figueroa. Cuando carguen la configuración comenzaría a Calcular. Esto debe ser hecho antes del 30/11/2025. Compromiso de probarlo antes del 12/11/2025. JM no lo está siguiendo. No esté en el proyecto. En el correo del 14/11/2025 Sabrina lo puso como pendiente de Prioridad media y el responsable interno es Franco."/>
    <m/>
    <m/>
    <n v="2"/>
    <n v="8"/>
    <s v="Jimena"/>
    <m/>
    <m/>
    <m/>
    <m/>
    <m/>
    <s v="Implementación"/>
    <e v="#VALUE!"/>
    <e v="#REF!"/>
  </r>
  <r>
    <s v="MAN-682 SF16038"/>
    <x v="0"/>
    <m/>
    <d v="2026-04-13T00:00:00"/>
    <s v="Fecha de vencimiento en resumen de GAMMA Corrientes_x000a_"/>
    <s v="Se detecto que el nuevo campo agrado en el resumen que refleja la fecha de vencimiento del resumen no toma la fecha de vencimiento del resumen sino que toma la fecha de vencimiento del evento del calendario, provoca que los resúmenes con vencimientos especiales cuya fecha difiere de la indicada en el evento, haga que se visualice mal las fechas en el nuevo campo incorporado."/>
    <s v="Corrientes"/>
    <s v="Gamma"/>
    <m/>
    <m/>
    <x v="9"/>
    <m/>
    <m/>
    <m/>
    <m/>
    <m/>
    <m/>
    <m/>
    <m/>
    <m/>
    <m/>
    <m/>
    <m/>
    <m/>
    <m/>
    <m/>
    <m/>
    <m/>
  </r>
  <r>
    <s v="MAN-694 16050"/>
    <x v="0"/>
    <m/>
    <d v="2026-04-13T00:00:00"/>
    <s v="Gamma - Error Cobro CSA domingos"/>
    <s v="Se encontró un nuevo error en GAMMA donde se esta cobrando CSA a los pdv el domingo a pesar que en la configuración general establece otra cosa que es exceptuar los feriados y domingos. Se adjunta imagen configuración._x000a_"/>
    <s v="Salta"/>
    <s v="Gamma"/>
    <m/>
    <m/>
    <x v="9"/>
    <m/>
    <m/>
    <m/>
    <m/>
    <m/>
    <m/>
    <m/>
    <m/>
    <m/>
    <m/>
    <m/>
    <m/>
    <m/>
    <m/>
    <m/>
    <m/>
    <m/>
  </r>
  <r>
    <s v="MAN-719 16366"/>
    <x v="0"/>
    <m/>
    <d v="2026-04-23T00:00:00"/>
    <s v="Gamma- DyB"/>
    <s v="En SIGA hoy en día cargan un archivo de D&amp;B que contiene diferentes códigos de descuentos, en Gamma se deben generar un archivo por código a realizar descuento"/>
    <s v="Santiago del Estero"/>
    <s v="Gamma"/>
    <m/>
    <m/>
    <x v="1"/>
    <m/>
    <m/>
    <m/>
    <m/>
    <s v="Desarrollado - Jimena"/>
    <m/>
    <m/>
    <n v="120"/>
    <s v="Verdad: 12"/>
    <m/>
    <m/>
    <m/>
    <m/>
    <m/>
    <m/>
    <m/>
    <m/>
  </r>
  <r>
    <s v="MAN-722 16367"/>
    <x v="0"/>
    <m/>
    <d v="2026-04-23T00:00:00"/>
    <s v="Gamma- DyB"/>
    <s v="En SIGA hoy en dia cargan un archivo donde indican un numero de porcentaje para que el sistema realice un calculo (Garantia, Embargo judicial, etc), a su vez, colocan en el archivo un importe de tope para descuento._x000a_GAMMA no acepta este tipo de archivos y no aplica calculos desde d&amp;b."/>
    <s v="Santiago del Estero"/>
    <s v="Gamma"/>
    <m/>
    <m/>
    <x v="1"/>
    <m/>
    <m/>
    <m/>
    <m/>
    <s v="Desarrollado - Jimena"/>
    <m/>
    <m/>
    <n v="160"/>
    <s v="Verdad: 12"/>
    <m/>
    <m/>
    <m/>
    <m/>
    <m/>
    <m/>
    <m/>
    <m/>
  </r>
  <r>
    <s v="MAN-00012646"/>
    <x v="0"/>
    <m/>
    <d v="2025-12-17T00:00:00"/>
    <s v="Corr - Gamma Cobros en tesorería resúmenes pendientes"/>
    <s v="Error en registración de cobros por tesorería para resúmenes pendientes,, registra el saldo con fecha de proceso y la cancelación de debito con fecha de vencimiento del resumen._x000a_Los cobros por archivo bancario para resúmenes PENDIENTES, registran saldos con fecha de PROCESO, y la cancelación con fecha del VENCIMIENTO._x000a_Solución: el saldo debe registrarse con fecha de PROCESO._x000a_solución saldo y cancelación con fecha de proceso_x000a_Aclaracion de Luis: error en registración de cobros por tesoreria para resumenes pendientes,, registra el saldo con fecha de proceso y la cancelacion de debito con fecha de vencimiento del resumen_x000a_ _x000a_solucion saldo y cancelacion con fecha de proceso"/>
    <s v="Corrientes"/>
    <s v="Gamma"/>
    <m/>
    <n v="33"/>
    <x v="9"/>
    <m/>
    <m/>
    <m/>
    <s v="verificar si está desplegado bajo sf 12146 el 29-12. HB 12/02 esta mal el #caso           Ver si esta en los casos de febrero"/>
    <m/>
    <m/>
    <m/>
    <n v="16"/>
    <s v="Jimena"/>
    <m/>
    <m/>
    <m/>
    <m/>
    <m/>
    <s v="Cerrado"/>
    <s v="Sin fecha comprometida"/>
    <e v="#REF!"/>
  </r>
  <r>
    <s v="MAN-550 15069"/>
    <x v="2"/>
    <m/>
    <d v="2026-03-09T00:00:00"/>
    <s v="TDF GAMMA Modificacion de archivos contables"/>
    <s v="Los archivos que genera el GAMMA en el modulo contabilidad no les sirve al uso que tienen en TDF. Lo que necesitan es que los archivos del gamma sean como los tenian anteriormente el SIGA. Adjunto los archivos"/>
    <s v="Tierra del Fuego"/>
    <s v="Gamma"/>
    <m/>
    <m/>
    <x v="3"/>
    <m/>
    <m/>
    <m/>
    <m/>
    <m/>
    <m/>
    <m/>
    <n v="40"/>
    <m/>
    <m/>
    <m/>
    <m/>
    <m/>
    <m/>
    <s v="Por hacer"/>
    <s v="Sin fecha comprometida"/>
    <e v="#REF!"/>
  </r>
  <r>
    <s v="16914"/>
    <x v="2"/>
    <m/>
    <d v="2026-05-11T00:00:00"/>
    <s v="Acceso al NOA por VPN_x000a_"/>
    <s v="Estimados buenas tardes por favor le pordran dar acceso a Diego Ruggero y a Marcelo Miranda al Sistema NOA ellos son lo operadores que trabajan con los juegos instantaneos de la Loteria de Tierra del Fuego. Los mail son:_x000a_dcruggero@ipra.gov.ar Diego_x000a_ammiranda@ipra.gov.ar Marcelo"/>
    <s v="Tierra del Fuego"/>
    <s v="NOA"/>
    <m/>
    <m/>
    <x v="2"/>
    <m/>
    <m/>
    <m/>
    <m/>
    <s v="Esto es de INFRA"/>
    <m/>
    <m/>
    <m/>
    <m/>
    <m/>
    <m/>
    <m/>
    <m/>
    <m/>
    <s v="Por hacer"/>
    <s v="Sin fecha comprometida"/>
    <e v="#REF!"/>
  </r>
  <r>
    <m/>
    <x v="4"/>
    <m/>
    <m/>
    <m/>
    <s v="ñ+"/>
    <m/>
    <m/>
    <m/>
    <m/>
    <x v="10"/>
    <m/>
    <m/>
    <m/>
    <m/>
    <m/>
    <m/>
    <m/>
    <m/>
    <m/>
    <m/>
    <m/>
    <m/>
    <m/>
    <m/>
    <s v="Otro"/>
    <s v="Sin fecha comprometida"/>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A563B-0F9D-4E6F-A704-CBCB97F275D2}" name="TablaDinámica1" cacheId="11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J9" firstHeaderRow="1" firstDataRow="2" firstDataCol="1"/>
  <pivotFields count="28">
    <pivotField compact="0" outline="0" showAll="0"/>
    <pivotField axis="axisRow" compact="0" outline="0" showAll="0">
      <items count="6">
        <item x="3"/>
        <item x="0"/>
        <item x="2"/>
        <item x="1"/>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6">
        <item x="8"/>
        <item x="2"/>
        <item x="3"/>
        <item h="1" m="1" x="12"/>
        <item h="1" x="9"/>
        <item m="1" x="11"/>
        <item x="0"/>
        <item m="1" x="14"/>
        <item m="1" x="13"/>
        <item x="6"/>
        <item h="1" x="10"/>
        <item x="4"/>
        <item x="1"/>
        <item x="5"/>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5">
    <i>
      <x/>
    </i>
    <i>
      <x v="1"/>
    </i>
    <i>
      <x v="2"/>
    </i>
    <i>
      <x v="3"/>
    </i>
    <i t="grand">
      <x/>
    </i>
  </rowItems>
  <colFields count="1">
    <field x="10"/>
  </colFields>
  <colItems count="9">
    <i>
      <x/>
    </i>
    <i>
      <x v="1"/>
    </i>
    <i>
      <x v="2"/>
    </i>
    <i>
      <x v="6"/>
    </i>
    <i>
      <x v="9"/>
    </i>
    <i>
      <x v="11"/>
    </i>
    <i>
      <x v="12"/>
    </i>
    <i>
      <x v="13"/>
    </i>
    <i t="grand">
      <x/>
    </i>
  </colItems>
  <dataFields count="1">
    <dataField name="Suma de Desarrollo" fld="18" baseField="0" baseItem="0"/>
  </dataFields>
  <formats count="3">
    <format dxfId="48">
      <pivotArea outline="0" fieldPosition="0">
        <references count="2">
          <reference field="1" count="1" selected="0">
            <x v="2"/>
          </reference>
          <reference field="10" count="1" selected="0">
            <x v="11"/>
          </reference>
        </references>
      </pivotArea>
    </format>
    <format dxfId="49">
      <pivotArea outline="0" fieldPosition="0">
        <references count="2">
          <reference field="1" count="1" selected="0">
            <x v="2"/>
          </reference>
          <reference field="10" count="1" selected="0">
            <x v="1"/>
          </reference>
        </references>
      </pivotArea>
    </format>
    <format dxfId="50">
      <pivotArea outline="0" fieldPosition="0">
        <references count="2">
          <reference field="1" count="1" selected="0">
            <x v="2"/>
          </reference>
          <reference field="10"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B17" totalsRowShown="0">
  <autoFilter ref="A1:B17" xr:uid="{00000000-0009-0000-0100-000001000000}"/>
  <tableColumns count="2">
    <tableColumn id="1" xr3:uid="{00000000-0010-0000-0000-000001000000}" name="Estado"/>
    <tableColumn id="2" xr3:uid="{00000000-0010-0000-0000-000002000000}" name="Descripció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34A93C-34D0-4E24-AB48-D62E9F77D853}" name="Backlog" displayName="Backlog" ref="A1:AC225" totalsRowShown="0" headerRowDxfId="47" headerRowBorderDxfId="45" tableBorderDxfId="46">
  <autoFilter ref="A1:AC225" xr:uid="{5234A93C-34D0-4E24-AB48-D62E9F77D853}">
    <filterColumn colId="10">
      <filters>
        <filter val="En desarrollo"/>
      </filters>
    </filterColumn>
    <filterColumn colId="15">
      <filters>
        <filter val="Desarrollado - Jimena"/>
        <filter val="Desarrollado- Jimena"/>
      </filters>
    </filterColumn>
  </autoFilter>
  <sortState xmlns:xlrd2="http://schemas.microsoft.com/office/spreadsheetml/2017/richdata2" ref="A2:AC222">
    <sortCondition ref="K4:K222"/>
  </sortState>
  <tableColumns count="29">
    <tableColumn id="2" xr3:uid="{95B3510B-F526-46F8-B899-6B73880C5906}" name="Clave del caso" dataDxfId="44"/>
    <tableColumn id="42" xr3:uid="{6CDCA842-3CBD-455F-8086-EF491554FAFA}" name="Evaluación real del caso" dataDxfId="43"/>
    <tableColumn id="1" xr3:uid="{E0D3F638-1B44-47F9-8A06-79AB062D352D}" name="Prioridad real" dataDxfId="42"/>
    <tableColumn id="3" xr3:uid="{CEFE340A-85DD-4719-8815-290558F30074}" name="Fecha alta de la solicitud" dataDxfId="41"/>
    <tableColumn id="4" xr3:uid="{A68617E6-90E1-48FB-BB8F-FCB57D9AA181}" name="Título o Asunto" dataDxfId="40"/>
    <tableColumn id="5" xr3:uid="{4001103F-BA06-4B8E-83DE-6971FF56EE65}" name="Descripción detallada y completa del caso" dataDxfId="39"/>
    <tableColumn id="6" xr3:uid="{9EF8CE69-886A-4C5B-8487-C03D90234C4C}" name="Cliente que solicita" dataDxfId="38"/>
    <tableColumn id="7" xr3:uid="{561128A0-304C-4B08-B7DD-8D4EED2FA8DA}" name="Componente" dataDxfId="37"/>
    <tableColumn id="9" xr3:uid="{BC2BBAA2-E788-46C4-AFF5-F6C352865C67}" name="Area responsable de traccionar" dataDxfId="36"/>
    <tableColumn id="12" xr3:uid="{9FAD83D6-C8E5-4067-AEF5-A1BCAD8C6BFA}" name="OP" dataDxfId="35"/>
    <tableColumn id="13" xr3:uid="{C85FA30F-DFB3-41A7-85BD-D782131D4E27}" name="Estado" dataDxfId="34"/>
    <tableColumn id="15" xr3:uid="{47C510FA-364F-48A2-AEFF-3348F4645298}" name="Fecha Requerida en Producción" dataDxfId="33"/>
    <tableColumn id="16" xr3:uid="{F51A8B57-8DC8-4B0B-B89F-281F4643E747}" name="Fecha comprometida (para UAT)" dataDxfId="32"/>
    <tableColumn id="17" xr3:uid="{8101EC27-EF93-40C8-BE59-C3FFA632CF9C}" name="Fecha Real de Cierre" dataDxfId="31"/>
    <tableColumn id="18" xr3:uid="{60DAEEEE-726A-4F72-BB85-FC3127E259EA}" name="Comentarios Funcionales" dataDxfId="30"/>
    <tableColumn id="19" xr3:uid="{6305EE01-3F6D-4BE0-A27E-79834B06838F}" name="Comentarios Técnicos" dataDxfId="29"/>
    <tableColumn id="40" xr3:uid="{1CEC8648-E206-4317-9320-C65B9DC43A54}" name="Referencia al documento" dataDxfId="28"/>
    <tableColumn id="20" xr3:uid="{A75C510C-D803-43EA-91F7-7C6E47D10278}" name="Análisis" dataDxfId="27"/>
    <tableColumn id="21" xr3:uid="{5E038D6F-A22F-406F-BF33-C5FC1C1435DC}" name="Estimación Desarrollo" dataDxfId="26"/>
    <tableColumn id="8" xr3:uid="{0D8972D9-64A2-4B9A-9B1D-1FC6913CF751}" name="Desarrollo Realidad"/>
    <tableColumn id="22" xr3:uid="{1A697DFF-22DB-4F74-854A-9DBD1D6817D8}" name="QA/UAT" dataDxfId="25"/>
    <tableColumn id="23" xr3:uid="{A20816FF-3B2F-42B2-A5A1-175EE6585B0A}" name="Implementación" dataDxfId="24"/>
    <tableColumn id="24" xr3:uid="{81C48892-81D4-49E4-AE5A-1890ABDCFB5C}" name="Total" dataDxfId="23"/>
    <tableColumn id="34" xr3:uid="{E522816C-81A0-45AD-B7A3-7752A0342379}" name="Visto" dataDxfId="22"/>
    <tableColumn id="35" xr3:uid="{3EA5A661-3D3A-4D1A-B4B9-0EF2EA031C2D}" name="Columna3" dataDxfId="21"/>
    <tableColumn id="36" xr3:uid="{6C1567EC-9870-49EB-917A-5D900057E3A2}" name="Columna4" dataDxfId="20"/>
    <tableColumn id="37" xr3:uid="{5B5B0BC6-EEDB-4E93-A6EB-DE98923F4AD4}" name="Fase" dataDxfId="19">
      <calculatedColumnFormula>_xlfn.XLOOKUP(Backlog[[#This Row],[Estado]],CatEstados[Estado],CatEstados[Fase],"Otro")</calculatedColumnFormula>
    </tableColumn>
    <tableColumn id="38" xr3:uid="{23C8F925-0FEB-433F-962A-65BD1F54785C}" name="Dias_abiertos" dataDxfId="18">
      <calculatedColumnFormula>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calculatedColumnFormula>
    </tableColumn>
    <tableColumn id="39" xr3:uid="{76F0A313-6926-4841-A75D-3B40E768413F}" name="En_plazo" dataDxfId="17">
      <calculatedColumnFormula>IF(OR(#REF!="",NOT(ISNUMBER(Backlog[[#This Row],[Dias_abiertos]]))),"",IF(Backlog[[#This Row],[Dias_abiertos]]&lt;=7,"En plazo",IFERROR(IF(Backlog[[#This Row],[Dias_abiertos]]=_xlfn.XLOOKUP(TRIM(#REF!),CatSLA[Prioridad],CatSLA[SLA_dias],""),"En plazo","Fuera de plazo"),"Sin SLA")))</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95A7CA-0BEC-4238-80D2-B34639EA83A2}" name="CatEstados" displayName="CatEstados" ref="A1:B16" totalsRowShown="0">
  <autoFilter ref="A1:B16" xr:uid="{7195A7CA-0BEC-4238-80D2-B34639EA83A2}"/>
  <tableColumns count="2">
    <tableColumn id="1" xr3:uid="{085A8644-6288-41E1-AAAE-CFC28BE270AA}" name="Estado"/>
    <tableColumn id="2" xr3:uid="{E4006933-0347-489B-B0E2-18FBA024EAB5}" name="Fas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AAD357-6053-433D-AB6F-056C1AED2E33}" name="CatSLA" displayName="CatSLA" ref="D1:E6" totalsRowShown="0">
  <autoFilter ref="D1:E6" xr:uid="{59AAD357-6053-433D-AB6F-056C1AED2E33}"/>
  <tableColumns count="2">
    <tableColumn id="1" xr3:uid="{2CC5E707-6322-4721-9C26-CDB4604B96C1}" name="Prioridad"/>
    <tableColumn id="2" xr3:uid="{AD732DEF-70F8-4414-BC5D-6C03BDD144F5}" name="SLA_dia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BB579E-879B-4B4D-A42D-C780B140E60C}" name="CatTipos" displayName="CatTipos" ref="G1:H5" totalsRowShown="0">
  <autoFilter ref="G1:H5" xr:uid="{37BB579E-879B-4B4D-A42D-C780B140E60C}"/>
  <tableColumns count="2">
    <tableColumn id="1" xr3:uid="{F1AEC630-28AA-4BAF-A77F-2914C7408144}" name="Tipo"/>
    <tableColumn id="2" xr3:uid="{F00DD2D7-AD61-4554-99B2-02216DA271D0}" name="Agrupació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9C79C2-6DE8-4EBA-9279-7366FB6B9604}" name="CatResponsables" displayName="CatResponsables" ref="J1:J7" totalsRowShown="0">
  <autoFilter ref="J1:J7" xr:uid="{E89C79C2-6DE8-4EBA-9279-7366FB6B9604}"/>
  <tableColumns count="1">
    <tableColumn id="1" xr3:uid="{A2C2D6B9-C61A-40BC-AFD5-DFA473B7DB0C}" name="Responsabl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90CEDD-FE33-43E2-9956-7A0195F4C13E}" name="CatAreas" displayName="CatAreas" ref="K1:K7" totalsRowShown="0">
  <autoFilter ref="K1:K7" xr:uid="{9D90CEDD-FE33-43E2-9956-7A0195F4C13E}"/>
  <tableColumns count="1">
    <tableColumn id="1" xr3:uid="{08E1C591-B132-4491-B4E1-93CC4DF8C806}" name="Área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03A375-571A-4ED0-9905-658F08B12422}" name="CatComponentes" displayName="CatComponentes" ref="L1:L7" totalsRowShown="0">
  <autoFilter ref="L1:L7" xr:uid="{0103A375-571A-4ED0-9905-658F08B12422}"/>
  <tableColumns count="1">
    <tableColumn id="1" xr3:uid="{F6D5652B-12AE-4B49-B6FD-54F681EA39EA}" name="Componen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B768B47-FD2D-48BA-A77B-EB1BD274D971}" name="CatFechas" displayName="CatFechas" ref="N1:O3" totalsRowShown="0">
  <autoFilter ref="N1:O3" xr:uid="{AB768B47-FD2D-48BA-A77B-EB1BD274D971}"/>
  <tableColumns count="2">
    <tableColumn id="1" xr3:uid="{8605C20F-94C3-42BA-8804-154E392EE9B9}" name="Parametro"/>
    <tableColumn id="2" xr3:uid="{4784641D-6172-4186-AC2A-96A08DF00D98}" name="valo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725265-06FE-487D-8B0F-E86B2053EABB}" name="Backlog11" displayName="Backlog11" ref="A1:K999" totalsRowShown="0" headerRowDxfId="13" headerRowBorderDxfId="11" tableBorderDxfId="12">
  <autoFilter ref="A1:K999" xr:uid="{B2725265-06FE-487D-8B0F-E86B2053EABB}">
    <filterColumn colId="2">
      <filters>
        <filter val="Requiere autorización explícita de la dirección"/>
        <filter val="Requiere autorización explícita de la dirección. Parecido a 11126"/>
      </filters>
    </filterColumn>
    <filterColumn colId="6">
      <filters>
        <filter val="1"/>
        <filter val="10"/>
        <filter val="11"/>
        <filter val="12"/>
        <filter val="13"/>
        <filter val="14"/>
        <filter val="15"/>
        <filter val="16"/>
        <filter val="17"/>
        <filter val="18"/>
        <filter val="19"/>
        <filter val="2"/>
        <filter val="20"/>
        <filter val="21"/>
        <filter val="22"/>
        <filter val="23"/>
        <filter val="24"/>
        <filter val="25"/>
        <filter val="26"/>
        <filter val="27"/>
        <filter val="28"/>
        <filter val="29"/>
        <filter val="3"/>
        <filter val="30"/>
        <filter val="31"/>
        <filter val="32"/>
        <filter val="33"/>
        <filter val="4"/>
        <filter val="5"/>
        <filter val="6"/>
        <filter val="7"/>
        <filter val="8"/>
        <filter val="9"/>
        <filter val="999"/>
      </filters>
    </filterColumn>
  </autoFilter>
  <tableColumns count="11">
    <tableColumn id="1" xr3:uid="{2117CA22-4A87-4840-BA3C-38BF63A01E3D}" name="Tipo de caso" dataDxfId="10"/>
    <tableColumn id="2" xr3:uid="{A47BCE21-E703-47A1-A6C2-374C6BA2A12C}" name="Clave del caso" dataDxfId="9"/>
    <tableColumn id="41" xr3:uid="{BC2E0BF8-F83F-4F43-9B22-82FC08A9579D}" name="Evaluación de criticidad real" dataDxfId="8">
      <calculatedColumnFormula>#REF!</calculatedColumnFormula>
    </tableColumn>
    <tableColumn id="6" xr3:uid="{DDA44F71-D3BF-4CBA-9B8C-07073AF204E5}" name="Cliente" dataDxfId="7"/>
    <tableColumn id="7" xr3:uid="{D9419FEE-EA5C-4DD9-B890-8FD02F5DABC0}" name="Componente" dataDxfId="6"/>
    <tableColumn id="9" xr3:uid="{6775708D-5312-4669-B7F4-C1A4C5E05B4F}" name="Area" dataDxfId="5"/>
    <tableColumn id="12" xr3:uid="{25A2A9EE-28F5-4265-A12C-983739214F60}" name="OP" dataDxfId="4"/>
    <tableColumn id="13" xr3:uid="{789FDC3F-8E62-4D5E-BFED-07F0D0A46140}" name="Estado" dataDxfId="3"/>
    <tableColumn id="15" xr3:uid="{D467FDBB-C1A6-4249-B6CF-AC616D81DBD5}" name="Fecha Mandatoria" dataDxfId="2"/>
    <tableColumn id="16" xr3:uid="{8CA08BD1-73F3-4F88-940C-2CF4C7DF539A}" name="Fecha comprometida (para UAT)" dataDxfId="1"/>
    <tableColumn id="17" xr3:uid="{0B8449FB-3449-4CA2-ACFB-72EA57B0B291}" name="Fecha Real de Cierr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ecnoaccionsa-my.sharepoint.com/:f:/g/personal/hbraun_tecnoaccion_com_ar/EuefXoQN2H1Os-_8VsvDUrQBWNN1Ebpe6jyBW0OIbB81og?e=9SQTi0" TargetMode="External"/><Relationship Id="rId18" Type="http://schemas.openxmlformats.org/officeDocument/2006/relationships/hyperlink" Target="https://tecnoaccionsa-my.sharepoint.com/:f:/g/personal/hbraun_tecnoaccion_com_ar/EuLZHtnXXG1OvKrYgEKQIBUBhcov8ves1bjMbb6lxk7dQw?e=JAU2DR" TargetMode="External"/><Relationship Id="rId26" Type="http://schemas.openxmlformats.org/officeDocument/2006/relationships/hyperlink" Target="https://tecnoaccionsa-my.sharepoint.com/:f:/g/personal/hbraun_tecnoaccion_com_ar/Eql4QWKHVm1Ks7xQatgwG28B_rsaIF_Z17YWKE6y7Q2MRg?e=xJC3k7" TargetMode="External"/><Relationship Id="rId39" Type="http://schemas.openxmlformats.org/officeDocument/2006/relationships/hyperlink" Target="https://tecnoaccionsa-my.sharepoint.com/:f:/g/personal/hbraun_tecnoaccion_com_ar/EkCgz5Qc-olJmcJWipHs7_UBkp848gbtFIuBhSW_YIqT0g?e=zZOq8r" TargetMode="External"/><Relationship Id="rId21" Type="http://schemas.openxmlformats.org/officeDocument/2006/relationships/hyperlink" Target="https://tecnoaccionsa-my.sharepoint.com/:f:/g/personal/hbraun_tecnoaccion_com_ar/EgxKSJl-pbBClgNBYJU_CIYBCG3KGBXIHcQ5T5kTihT78A?e=cLak4s" TargetMode="External"/><Relationship Id="rId34" Type="http://schemas.openxmlformats.org/officeDocument/2006/relationships/hyperlink" Target="https://tecnoaccionsa-my.sharepoint.com/:f:/g/personal/hbraun_tecnoaccion_com_ar/EiyUZ6HImF9PoGn_cQ-WwsIBnNYy9JesMIqWFFL24HVaZQ?e=nFUJja" TargetMode="External"/><Relationship Id="rId42" Type="http://schemas.openxmlformats.org/officeDocument/2006/relationships/hyperlink" Target="https://tecnoaccionsa-my.sharepoint.com/:f:/g/personal/hbraun_tecnoaccion_com_ar/EmM0wpcE7KlCjd2kXxD1fC4BmNjfZWtdKZ6mkujDxKleGg?e=jguVJR" TargetMode="External"/><Relationship Id="rId47" Type="http://schemas.openxmlformats.org/officeDocument/2006/relationships/hyperlink" Target="https://tecnoaccionsa-my.sharepoint.com/:f:/g/personal/hbraun_tecnoaccion_com_ar/Eu6dsCLCoQZBvWH3h7oAz0sBUtdSJX_r63rr8-3F0rNw3Q?e=KZv0fE" TargetMode="External"/><Relationship Id="rId50" Type="http://schemas.openxmlformats.org/officeDocument/2006/relationships/hyperlink" Target="https://tecnoaccionsa-my.sharepoint.com/:b:/g/personal/hbraun_tecnoaccion_com_ar/ES7OGG5HCgxHtCQLG3nPVasBoG7G_8-uLQzS0Tl7zUdNsg?e=5xtBp5" TargetMode="External"/><Relationship Id="rId7" Type="http://schemas.openxmlformats.org/officeDocument/2006/relationships/hyperlink" Target="https://tecnoaccionsa-my.sharepoint.com/:f:/g/personal/hbraun_tecnoaccion_com_ar/EsHn5qqFk5NOmUh0Qf1HIaQBq_WpVjFtD9IJhYC3gTEPXQ?e=ml46Ab" TargetMode="External"/><Relationship Id="rId2" Type="http://schemas.openxmlformats.org/officeDocument/2006/relationships/hyperlink" Target="https://tecnoaccionsa-my.sharepoint.com/:f:/g/personal/hbraun_tecnoaccion_com_ar/Ep0vL2ddlMtEimsm2dP_3pIBC0TvPzelzpqXEITaLK3bOw?e=dkd4tO" TargetMode="External"/><Relationship Id="rId16" Type="http://schemas.openxmlformats.org/officeDocument/2006/relationships/hyperlink" Target="https://tecnoaccionsa-my.sharepoint.com/:f:/g/personal/hbraun_tecnoaccion_com_ar/Eu88Am5VubRFpO6sLpDY8NsB5YoOMFffpJn5ULiuAhm2ug?e=fl7yiy" TargetMode="External"/><Relationship Id="rId29" Type="http://schemas.openxmlformats.org/officeDocument/2006/relationships/hyperlink" Target="https://tecnoaccionsa-my.sharepoint.com/:f:/g/personal/hbraun_tecnoaccion_com_ar/Epn6-oweeQ5JmEfSkf0VgLgBDQ068CZQjycPcQswpu42Gg?e=Zyt9bw" TargetMode="External"/><Relationship Id="rId11" Type="http://schemas.openxmlformats.org/officeDocument/2006/relationships/hyperlink" Target="https://tecnoaccionsa-my.sharepoint.com/:f:/g/personal/hbraun_tecnoaccion_com_ar/EqJshxwcyF9Ave9jHsiC3fgBe6QdhcOU3zSHLUiy-kLOEA?e=O1Zngb" TargetMode="External"/><Relationship Id="rId24" Type="http://schemas.openxmlformats.org/officeDocument/2006/relationships/hyperlink" Target="https://tecnoaccionsa-my.sharepoint.com/:f:/g/personal/hbraun_tecnoaccion_com_ar/EozlQHRxy_5NkEx7H0zQSkMBlxDqWgqSmfjlhVsfwCxi6g?e=NsvAZJ" TargetMode="External"/><Relationship Id="rId32" Type="http://schemas.openxmlformats.org/officeDocument/2006/relationships/hyperlink" Target="https://tecnoaccionsa-my.sharepoint.com/:f:/g/personal/hbraun_tecnoaccion_com_ar/EsxC-0MLIbZMrdtYmMrUHe0BYePiUXgos01ZJanA6gxxZA?e=QXAjEW" TargetMode="External"/><Relationship Id="rId37" Type="http://schemas.openxmlformats.org/officeDocument/2006/relationships/hyperlink" Target="https://tecnoaccionsa-my.sharepoint.com/:f:/g/personal/hbraun_tecnoaccion_com_ar/EsKM7BlGKCJMnDaQkS5rWpcBT9w1bUFhHV65FYhNCurcxQ?e=JbVYh7" TargetMode="External"/><Relationship Id="rId40" Type="http://schemas.openxmlformats.org/officeDocument/2006/relationships/hyperlink" Target="https://tecnoaccionsa-my.sharepoint.com/:f:/g/personal/hbraun_tecnoaccion_com_ar/EmlvvJ9iqUlKlzrC7bGcsbEBjKmMKxc4YqesJgdud9Fo8w?e=OQJMhf" TargetMode="External"/><Relationship Id="rId45" Type="http://schemas.openxmlformats.org/officeDocument/2006/relationships/hyperlink" Target="https://tecnoaccionsa-my.sharepoint.com/:f:/g/personal/hbraun_tecnoaccion_com_ar/ElPWhqc2hWdPqjV88rA0YS4BVx8mua9hVgGr63D487pTng?e=ENIk6Z" TargetMode="External"/><Relationship Id="rId53" Type="http://schemas.openxmlformats.org/officeDocument/2006/relationships/hyperlink" Target="https://tecnoaccionsa-my.sharepoint.com/:f:/g/personal/hbraun_tecnoaccion_com_ar/Egxgct-USP5HmBW5xU1gNOsBbGHnMuLuzuAsRzpbhN9Qyg?e=3KFbZK" TargetMode="External"/><Relationship Id="rId5" Type="http://schemas.openxmlformats.org/officeDocument/2006/relationships/hyperlink" Target="https://tecnoaccionsa-my.sharepoint.com/:f:/g/personal/hbraun_tecnoaccion_com_ar/EtOtWe-pe5FBlYUD5v5pSekBddrIo-Y160ApfcJQSsEImQ?e=3L4sTM" TargetMode="External"/><Relationship Id="rId10" Type="http://schemas.openxmlformats.org/officeDocument/2006/relationships/hyperlink" Target="https://tecnoaccionsa-my.sharepoint.com/:f:/g/personal/hbraun_tecnoaccion_com_ar/EnhTG_gT1-JEt8L8WP3eEqoBGpKw1rtv_iKsQRZQijuHEw?e=mg7gnJ" TargetMode="External"/><Relationship Id="rId19" Type="http://schemas.openxmlformats.org/officeDocument/2006/relationships/hyperlink" Target="https://tecnoaccionsa-my.sharepoint.com/:f:/g/personal/hbraun_tecnoaccion_com_ar/EhIn6Ly3JChNjVZEF6Er-owBzfuwg2QGCN3X8oAt2GE_oQ?e=VryLSE" TargetMode="External"/><Relationship Id="rId31" Type="http://schemas.openxmlformats.org/officeDocument/2006/relationships/hyperlink" Target="https://tecnoaccionsa-my.sharepoint.com/:f:/g/personal/hbraun_tecnoaccion_com_ar/EvyzXSBMjMhEjzYpF8qiuMUBr23dFSHEjcI0q__LnLjzhQ?e=Rdb2a2" TargetMode="External"/><Relationship Id="rId44" Type="http://schemas.openxmlformats.org/officeDocument/2006/relationships/hyperlink" Target="https://tecnoaccionsa-my.sharepoint.com/:f:/g/personal/hbraun_tecnoaccion_com_ar/EpBJQN2COutGstBxSluODyIBmF2Ih-JGCUUgATuoeP-gaQ?e=PuvM1e" TargetMode="External"/><Relationship Id="rId52" Type="http://schemas.openxmlformats.org/officeDocument/2006/relationships/hyperlink" Target="https://tecnoaccionsa-my.sharepoint.com/:f:/g/personal/hbraun_tecnoaccion_com_ar/EogLV9i8mxJMupwxAE3OaUEBP7NZWt7JkURw38IENjAZDA?e=WlgVjn" TargetMode="External"/><Relationship Id="rId4" Type="http://schemas.openxmlformats.org/officeDocument/2006/relationships/hyperlink" Target="https://tecnoaccionsa-my.sharepoint.com/:f:/g/personal/hbraun_tecnoaccion_com_ar/Em_tYiaKLTxDklE3aEezMoYBob8EbtMt0tCSNtulzzPGjA?e=iwX1V4" TargetMode="External"/><Relationship Id="rId9" Type="http://schemas.openxmlformats.org/officeDocument/2006/relationships/hyperlink" Target="https://tecnoaccionsa-my.sharepoint.com/:f:/g/personal/hbraun_tecnoaccion_com_ar/EvIVO705HeNDquJe4MdmUyQB9Ew971xkTh9H7r_A3CMKQA?e=kaljPJ" TargetMode="External"/><Relationship Id="rId14" Type="http://schemas.openxmlformats.org/officeDocument/2006/relationships/hyperlink" Target="https://tecnoaccionsa-my.sharepoint.com/:f:/g/personal/hbraun_tecnoaccion_com_ar/Eo8CV0r-vJJMnsZFtqhZLfMBdLCiZswzrNdLaydd_pw2AQ?e=QTvWgG" TargetMode="External"/><Relationship Id="rId22" Type="http://schemas.openxmlformats.org/officeDocument/2006/relationships/hyperlink" Target="https://tecnoaccionsa-my.sharepoint.com/:f:/g/personal/hbraun_tecnoaccion_com_ar/ElO63vIsDJ9DsrK8lb0eFpQBlEdUB6fyvWpVKCQiQnDJCg?e=1j3iU2" TargetMode="External"/><Relationship Id="rId27" Type="http://schemas.openxmlformats.org/officeDocument/2006/relationships/hyperlink" Target="https://tecnoaccionsa-my.sharepoint.com/:f:/g/personal/hbraun_tecnoaccion_com_ar/EigMJemLUudIjZWgYpSk7QgBywj1CmRO36CSO2sbnlV16w?e=hfPUIx" TargetMode="External"/><Relationship Id="rId30" Type="http://schemas.openxmlformats.org/officeDocument/2006/relationships/hyperlink" Target="https://tecnoaccionsa-my.sharepoint.com/:f:/g/personal/hbraun_tecnoaccion_com_ar/EsSd297he-lBm53vDLVE45cB2jaS1DHjoS0zpjZCN2cD7A?e=clgIiR" TargetMode="External"/><Relationship Id="rId35" Type="http://schemas.openxmlformats.org/officeDocument/2006/relationships/hyperlink" Target="https://tecnoaccionsa-my.sharepoint.com/:f:/g/personal/hbraun_tecnoaccion_com_ar/ErUp_sOupcpFlND2yQrtFY0BC-T9PhrngChC3LH313n2Cw?e=weou5a" TargetMode="External"/><Relationship Id="rId43" Type="http://schemas.openxmlformats.org/officeDocument/2006/relationships/hyperlink" Target="https://tecnoaccionsa-my.sharepoint.com/:f:/g/personal/hbraun_tecnoaccion_com_ar/EgSnhhx70i1Ls7WLIa8vr6kBDYONW2VNiZYP0o-fKG83Og?e=NjMi6o" TargetMode="External"/><Relationship Id="rId48" Type="http://schemas.openxmlformats.org/officeDocument/2006/relationships/hyperlink" Target="https://tecnoaccionsa-my.sharepoint.com/:f:/g/personal/hbraun_tecnoaccion_com_ar/EnxHtyiSpwZNjSyGEb-IrXwBoiM5CztGEqXr70ScZSJMNQ?e=hutcbG" TargetMode="External"/><Relationship Id="rId8" Type="http://schemas.openxmlformats.org/officeDocument/2006/relationships/hyperlink" Target="https://tecnoaccionsa-my.sharepoint.com/:b:/g/personal/hbraun_tecnoaccion_com_ar/EYSHMUs62-9CqrKgG_3p1DsBolup_sQDwa9nizCjVm5mCA?e=cL2xes" TargetMode="External"/><Relationship Id="rId51" Type="http://schemas.openxmlformats.org/officeDocument/2006/relationships/hyperlink" Target="https://tecnoaccionsa-my.sharepoint.com/:b:/g/personal/hbraun_tecnoaccion_com_ar/ES7OGG5HCgxHtCQLG3nPVasBoG7G_8-uLQzS0Tl7zUdNsg?e=5xtBp5" TargetMode="External"/><Relationship Id="rId3" Type="http://schemas.openxmlformats.org/officeDocument/2006/relationships/hyperlink" Target="https://tecnoaccionsa-my.sharepoint.com/:f:/g/personal/hbraun_tecnoaccion_com_ar/ElLBst9qk5lHqx9ODeO-9F4BzyZ6qc73umPHC-Wn_KH6kw?e=bCPezI" TargetMode="External"/><Relationship Id="rId12" Type="http://schemas.openxmlformats.org/officeDocument/2006/relationships/hyperlink" Target="https://tecnoaccionsa-my.sharepoint.com/:f:/g/personal/hbraun_tecnoaccion_com_ar/EnMqatCnVPdIhAwb_W081CcBBpjri_Bu6qdwk_f10_aHqw?e=k4IO3T" TargetMode="External"/><Relationship Id="rId17" Type="http://schemas.openxmlformats.org/officeDocument/2006/relationships/hyperlink" Target="https://tecnoaccionsa-my.sharepoint.com/personal/hbraun_tecnoaccion_com_ar/_layouts/15/onedrive.aspx?ga=1&amp;id=%2Fpersonal%2Fhbraun%5Ftecnoaccion%5Fcom%5Far%2FDocuments%2FJiras%2FJiras%20mas%20info%2FMAN%2D270" TargetMode="External"/><Relationship Id="rId25" Type="http://schemas.openxmlformats.org/officeDocument/2006/relationships/hyperlink" Target="https://tecnoaccionsa-my.sharepoint.com/:f:/g/personal/hbraun_tecnoaccion_com_ar/EgPeCm8np59EoBqZ1FF307wB6YaQ45azmW-zaRcCEP3PNw?e=cUGOYt" TargetMode="External"/><Relationship Id="rId33" Type="http://schemas.openxmlformats.org/officeDocument/2006/relationships/hyperlink" Target="https://tecnoaccionsa-my.sharepoint.com/:f:/g/personal/hbraun_tecnoaccion_com_ar/ErYhNqtPD3tEiFCsGhKY2REBpRHAR5G3TI1-l3u4M4JioA?e=7ECFsF" TargetMode="External"/><Relationship Id="rId38" Type="http://schemas.openxmlformats.org/officeDocument/2006/relationships/hyperlink" Target="https://tecnoaccionsa-my.sharepoint.com/:f:/g/personal/hbraun_tecnoaccion_com_ar/EmJn9SWKnzBGtooS5H_u53oB3ba-N-z4kUQ8B-Ew4XDUdA?e=jSnOQS" TargetMode="External"/><Relationship Id="rId46" Type="http://schemas.openxmlformats.org/officeDocument/2006/relationships/hyperlink" Target="https://tecnoaccionsa-my.sharepoint.com/:f:/g/personal/hbraun_tecnoaccion_com_ar/EggwCJfg-gFKoQA7n4RdyDAB_KEAbaGMbMSPMhY22eTOAQ?e=icDhdC" TargetMode="External"/><Relationship Id="rId20" Type="http://schemas.openxmlformats.org/officeDocument/2006/relationships/hyperlink" Target="https://tecnoaccionsa-my.sharepoint.com/:f:/g/personal/hbraun_tecnoaccion_com_ar/ErLsbl6KJI9Gum-txP_9-dgBkVueQNoglDIDmTWDYW9Rng?e=mEvVWF" TargetMode="External"/><Relationship Id="rId41" Type="http://schemas.openxmlformats.org/officeDocument/2006/relationships/hyperlink" Target="https://tecnoaccionsa-my.sharepoint.com/:f:/g/personal/hbraun_tecnoaccion_com_ar/EvmF6msv1wdGsQlqEHjqPTYBrmUCXQZdk1c6iVDG6satgA?e=PmTYgT" TargetMode="External"/><Relationship Id="rId54" Type="http://schemas.openxmlformats.org/officeDocument/2006/relationships/hyperlink" Target="https://tecnoaccionsa-my.sharepoint.com/:f:/g/personal/hbraun_tecnoaccion_com_ar/Eo2VXwtLehFIoxw-5BYxqe4BLE5ek84bsZO7o731d-gWpg?e=dYFio8" TargetMode="External"/><Relationship Id="rId1" Type="http://schemas.openxmlformats.org/officeDocument/2006/relationships/hyperlink" Target="https://tecnoaccionsa-my.sharepoint.com/:f:/g/personal/hbraun_tecnoaccion_com_ar/El2xron2CNpLs6wDX4IQm1MBkb3XsH1WWcGaceZvGailKQ?e=B0WDuQ" TargetMode="External"/><Relationship Id="rId6" Type="http://schemas.openxmlformats.org/officeDocument/2006/relationships/hyperlink" Target="https://tecnoaccionsa-my.sharepoint.com/:f:/g/personal/hbraun_tecnoaccion_com_ar/EiSoXLSqRqpHsg-vjoqOzVgBVHS8j99Xn0_Fba_xJFgGOw?e=COTVtP" TargetMode="External"/><Relationship Id="rId15" Type="http://schemas.openxmlformats.org/officeDocument/2006/relationships/hyperlink" Target="https://tecnoaccionsa-my.sharepoint.com/:f:/g/personal/hbraun_tecnoaccion_com_ar/EqDY_dtoWipKlDmh0so3TAQBIsLDmXIxxbuJax5ic0YZOw?e=nvg3C1" TargetMode="External"/><Relationship Id="rId23" Type="http://schemas.openxmlformats.org/officeDocument/2006/relationships/hyperlink" Target="https://tecnoaccionsa-my.sharepoint.com/:f:/g/personal/hbraun_tecnoaccion_com_ar/EmjwPYsgZjpBlLXoY4o3jQIBQnhREZvo79_yeJxTcWz_Ew?e=kQZLvc" TargetMode="External"/><Relationship Id="rId28" Type="http://schemas.openxmlformats.org/officeDocument/2006/relationships/hyperlink" Target="https://tecnoaccionsa-my.sharepoint.com/:f:/g/personal/hbraun_tecnoaccion_com_ar/EuwBQHtdMLNNm2XHmPR48-EBlqebCJG5ZgLNL-nwNedluQ?e=5CCLgW" TargetMode="External"/><Relationship Id="rId36" Type="http://schemas.openxmlformats.org/officeDocument/2006/relationships/hyperlink" Target="https://tecnoaccionsa-my.sharepoint.com/:f:/g/personal/hbraun_tecnoaccion_com_ar/EnLqrJZOxDBDl0FfAO8KLocBgyy2piuT2wF8HQqfrrYxwA?e=kKPKTD" TargetMode="External"/><Relationship Id="rId49" Type="http://schemas.openxmlformats.org/officeDocument/2006/relationships/hyperlink" Target="https://tecnoaccionsa-my.sharepoint.com/:f:/g/personal/hbraun_tecnoaccion_com_ar/ErjkaLTtG55Ek-c90PgusSYBJb_HnMSmeRfvvYqE72iGJg?e=O0Fd9b"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6" Type="http://schemas.openxmlformats.org/officeDocument/2006/relationships/hyperlink" Target="https://tecnoaccion.lightning.force.com/lightning/r/Case/500Hu00002PCCgSIAX/view" TargetMode="External"/><Relationship Id="rId117" Type="http://schemas.openxmlformats.org/officeDocument/2006/relationships/hyperlink" Target="https://tecnoaccionsa.sharepoint.com/:w:/s/GAMMA.2024/IQCXNpsWg0QNQ6C4zv7gFYkRAaqaLJaThE5ZRYN5eJqZn2Y?e=RV0aRI" TargetMode="External"/><Relationship Id="rId21" Type="http://schemas.openxmlformats.org/officeDocument/2006/relationships/hyperlink" Target="https://tecnoaccion.lightning.force.com/lightning/r/Case/500Hu00002QyHM5IAN/view" TargetMode="External"/><Relationship Id="rId42" Type="http://schemas.openxmlformats.org/officeDocument/2006/relationships/hyperlink" Target="https://tecnoaccion.lightning.force.com/lightning/r/Case/500Hu00002QyfdAIAR/view?ws=%2Flightning%2Fr%2FAccount%2F001Hu00003bjcqlIAA%2Fview" TargetMode="External"/><Relationship Id="rId47" Type="http://schemas.openxmlformats.org/officeDocument/2006/relationships/hyperlink" Target="https://tecnoaccion.lightning.force.com/lightning/r/Case/500Hu00002Qyg2mIAB/view" TargetMode="External"/><Relationship Id="rId63" Type="http://schemas.openxmlformats.org/officeDocument/2006/relationships/hyperlink" Target="https://tecnoaccion.lightning.force.com/lightning/r/Case/500V400000mkcLFIAY/view" TargetMode="External"/><Relationship Id="rId68" Type="http://schemas.openxmlformats.org/officeDocument/2006/relationships/hyperlink" Target="https://tecnoaccion.lightning.force.com/lightning/r/Case/500V400000opyLmIAI/view" TargetMode="External"/><Relationship Id="rId84" Type="http://schemas.openxmlformats.org/officeDocument/2006/relationships/hyperlink" Target="https://tecnoaccionsa.sharepoint.com/:w:/s/GAMMA.2024/IQDzE5U0HzhTSqmw3GCRUZBuAZsaB_BUW0VlFt0Ed7v55bw?e=olUla5" TargetMode="External"/><Relationship Id="rId89" Type="http://schemas.openxmlformats.org/officeDocument/2006/relationships/hyperlink" Target="https://tecnoaccionsa.sharepoint.com/:w:/s/GAMMA.2024/IQBHZ3p9mfUmRL_r_i05wDnIAfb9WEk-qT9S1T6SpuRN2Ng?e=xKXC9i" TargetMode="External"/><Relationship Id="rId112" Type="http://schemas.openxmlformats.org/officeDocument/2006/relationships/hyperlink" Target="https://tecnoaccionsa.sharepoint.com/:w:/s/GAMMA.2024/EYt5zo42TtBIl2bjlBz6iY8BgYjazzP6axzrMRDYNE2Rlg?e=6RsOi8" TargetMode="External"/><Relationship Id="rId16" Type="http://schemas.openxmlformats.org/officeDocument/2006/relationships/hyperlink" Target="https://tecnoaccion.lightning.force.com/lightning/r/Case/500Hu00002QyIJwIAN/view" TargetMode="External"/><Relationship Id="rId107" Type="http://schemas.openxmlformats.org/officeDocument/2006/relationships/hyperlink" Target="https://tecnoaccionsa.sharepoint.com/:w:/s/GAMMA.2024/IQD6rZMXrQ4pTalZIGpDZjLdAQ64GG6GYQuxgMP_56RMld0?e=5njl9t" TargetMode="External"/><Relationship Id="rId11" Type="http://schemas.openxmlformats.org/officeDocument/2006/relationships/hyperlink" Target="https://tecnoaccionsa.sharepoint.com/:f:/s/DemandadeSistemas/EiW-953FdlZJuFsKNN5k-LsBl1zfdKtOmL1DAjZ6NwGFQw?e=LcVQhh" TargetMode="External"/><Relationship Id="rId32" Type="http://schemas.openxmlformats.org/officeDocument/2006/relationships/hyperlink" Target="https://tecnoaccion.lightning.force.com/lightning/r/Case/500Hu00002PCCfKIAX/view" TargetMode="External"/><Relationship Id="rId37" Type="http://schemas.openxmlformats.org/officeDocument/2006/relationships/hyperlink" Target="https://tecnoaccion.lightning.force.com/lightning/r/inov8__PMT_Task__c/a06Hu00001lA2vXIAS/view?ws=%2Flightning%2Fr%2FCase%2F500Hu00002PCJh8IAH%2Fview" TargetMode="External"/><Relationship Id="rId53" Type="http://schemas.openxmlformats.org/officeDocument/2006/relationships/hyperlink" Target="https://tecnoaccion.lightning.force.com/lightning/r/Case/500Hu00002QylxEIAR/view" TargetMode="External"/><Relationship Id="rId58" Type="http://schemas.openxmlformats.org/officeDocument/2006/relationships/hyperlink" Target="https://tecnoaccionsa.sharepoint.com/:f:/s/GAMMA.2024/EtL7KEjXSs5Kk6dOJTn19fgB-O8sLCFLjTY9MlG_1DzgyA?e=mwYmF7" TargetMode="External"/><Relationship Id="rId74" Type="http://schemas.openxmlformats.org/officeDocument/2006/relationships/hyperlink" Target="https://tecnoaccionsa.sharepoint.com/:f:/s/GAMMA.2024/IgBImLsl2ABiSINVWBdwENUnAa9DA962Es9jysDJ-m62Thk?e=hfgZTE" TargetMode="External"/><Relationship Id="rId79" Type="http://schemas.openxmlformats.org/officeDocument/2006/relationships/hyperlink" Target="https://tecnoaccionsa.sharepoint.com/:w:/s/GAMMA.2024/IQAFaXG0zHaPQaw3vMF7biRLAfG9f_LCqgDGu_Q54qFsxO4?e=leb8U1" TargetMode="External"/><Relationship Id="rId102" Type="http://schemas.openxmlformats.org/officeDocument/2006/relationships/hyperlink" Target="https://tecnoaccionsa.sharepoint.com/:w:/s/GAMMA.2024/IQBtYnYAo06MR54pCcy-5OxBAZ6NO4k0jm9NuwMSMLHj6zo?e=QyBKkZ" TargetMode="External"/><Relationship Id="rId123" Type="http://schemas.openxmlformats.org/officeDocument/2006/relationships/hyperlink" Target="https://tecnoaccionsa.sharepoint.com/:w:/s/GAMMA.2024/EcIHfuQ9sSFLs58cqPjQz_cB873cbxizQSQ2jlhLDo7gPA?e=KF417f" TargetMode="External"/><Relationship Id="rId5" Type="http://schemas.openxmlformats.org/officeDocument/2006/relationships/hyperlink" Target="https://tecnoaccionsa-my.sharepoint.com/:f:/g/personal/hbraun_tecnoaccion_com_ar/Ei4C2lVpzItFi1XKZuliGRYB1egtYiEjsQY4uWn0YzVRUA?e=0aydpb" TargetMode="External"/><Relationship Id="rId90" Type="http://schemas.openxmlformats.org/officeDocument/2006/relationships/hyperlink" Target="https://tecnoaccionsa.sharepoint.com/:w:/s/GAMMA.2024/IQCczqRqAnUgR5lRac3W_TC-AVRgrfNw6KLLtyqsPZHLG_o?e=9iJ6rn" TargetMode="External"/><Relationship Id="rId95" Type="http://schemas.openxmlformats.org/officeDocument/2006/relationships/hyperlink" Target="https://tecnoaccionsa.sharepoint.com/:w:/s/GAMMA.2024/IQAiWWzLFgIGRYiYk-I0phYWATmVlEzjUhuqpbm59uVWcSM?e=xrxECv" TargetMode="External"/><Relationship Id="rId22" Type="http://schemas.openxmlformats.org/officeDocument/2006/relationships/hyperlink" Target="https://tecnoaccion.lightning.force.com/lightning/r/Case/500Hu00002PCCajIAH/view" TargetMode="External"/><Relationship Id="rId27" Type="http://schemas.openxmlformats.org/officeDocument/2006/relationships/hyperlink" Target="https://tecnoaccion.lightning.force.com/lightning/r/Case/500Hu00002PCCaAIAX/view" TargetMode="External"/><Relationship Id="rId43" Type="http://schemas.openxmlformats.org/officeDocument/2006/relationships/hyperlink" Target="https://tecnoaccion.lightning.force.com/lightning/r/Case/500Hu00002QyfhcIAB/view?ws=%2Flightning%2Fr%2FAccount%2F001Hu00003bjcqlIAA%2Fview" TargetMode="External"/><Relationship Id="rId48" Type="http://schemas.openxmlformats.org/officeDocument/2006/relationships/hyperlink" Target="https://tecnoaccion.lightning.force.com/lightning/r/Case/500Hu00002QygGLIAZ/view" TargetMode="External"/><Relationship Id="rId64" Type="http://schemas.openxmlformats.org/officeDocument/2006/relationships/hyperlink" Target="https://tecnoaccionsa.sharepoint.com/:w:/s/GAMMA.2024/IQAJ_y_lBO7mSqcbWTvZPjBRAe5ZiQZiUAM7gLQf4kP6nZk?e=52UqbY" TargetMode="External"/><Relationship Id="rId69" Type="http://schemas.openxmlformats.org/officeDocument/2006/relationships/hyperlink" Target="https://tecnoaccion.lightning.force.com/lightning/r/Case/500V400000pL8a5IAC/view?ws=%2Flightning%2Fr%2FAccount%2F001Hu00003bjcqlIAA%2Fview" TargetMode="External"/><Relationship Id="rId113" Type="http://schemas.openxmlformats.org/officeDocument/2006/relationships/hyperlink" Target="https://tecnoaccionsa.sharepoint.com/:w:/s/GAMMA.2024/EQAsrM_LduBHljnS3TvLKXQBrndx8LPabZlWNXqdnRlqrA?e=h8QnTN" TargetMode="External"/><Relationship Id="rId118" Type="http://schemas.openxmlformats.org/officeDocument/2006/relationships/hyperlink" Target="https://tecnoaccionsa.sharepoint.com/:w:/s/GAMMA.2024/IQBCSi7zCgXWTaqOdpfWXeCZAbcZSW9WorpyCG9x0PIFLV8?e=giUT7f" TargetMode="External"/><Relationship Id="rId80" Type="http://schemas.openxmlformats.org/officeDocument/2006/relationships/hyperlink" Target="https://tecnoaccionsa.sharepoint.com/:w:/s/GAMMA.2024/IQAFaXG0zHaPQaw3vMF7biRLAfG9f_LCqgDGu_Q54qFsxO4?e=leb8U1" TargetMode="External"/><Relationship Id="rId85" Type="http://schemas.openxmlformats.org/officeDocument/2006/relationships/hyperlink" Target="https://tecnoaccion.lightning.force.com/lightning/r/inov8__PMT_Task__c/a06V400000RiLR0IAN/view?ws=%2Flightning%2Fr%2FCase%2F500V400000xnHtqIAE%2Fview" TargetMode="External"/><Relationship Id="rId12" Type="http://schemas.openxmlformats.org/officeDocument/2006/relationships/hyperlink" Target="https://tecnoaccionsa.sharepoint.com/:f:/s/DemandadeSistemas/EnX6ltKOctRPhksQ_pr7hzgBhE1CzbjWmUqgVmfIKRZMOQ?e=NkUwAu" TargetMode="External"/><Relationship Id="rId17" Type="http://schemas.openxmlformats.org/officeDocument/2006/relationships/hyperlink" Target="https://tecnoaccion.lightning.force.com/lightning/r/Case/500Hu00002QyHGfIAN/view" TargetMode="External"/><Relationship Id="rId33" Type="http://schemas.openxmlformats.org/officeDocument/2006/relationships/hyperlink" Target="https://tecnoaccion.lightning.force.com/lightning/r/Case/500Hu00002PCCaFIAX/view" TargetMode="External"/><Relationship Id="rId38" Type="http://schemas.openxmlformats.org/officeDocument/2006/relationships/hyperlink" Target="https://tecnoaccion.lightning.force.com/lightning/r/Case/500Hu00002PCKGXIA5/view" TargetMode="External"/><Relationship Id="rId59" Type="http://schemas.openxmlformats.org/officeDocument/2006/relationships/hyperlink" Target="https://tecnoaccionsa.sharepoint.com/:f:/s/GAMMA.2024/EhmkDLk0CB1Ptz09ouV39nkBYjbuGdZaHa_qvKKqst8JrQ?e=8wCKYm" TargetMode="External"/><Relationship Id="rId103" Type="http://schemas.openxmlformats.org/officeDocument/2006/relationships/hyperlink" Target="https://tecnoaccionsa.sharepoint.com/:b:/s/GAMMA.2024/IQBNTbLpJdqJTrR7eV5ICZq_AUvFB3mIFoSygJ8IB1fIWbU?e=redQPf" TargetMode="External"/><Relationship Id="rId108" Type="http://schemas.openxmlformats.org/officeDocument/2006/relationships/hyperlink" Target="https://tecnoaccionsa.sharepoint.com/:b:/s/GAMMA.2024/IQDDOaPiGys4Qalt3wo1k7WBAWozMJt_RjIkHGrpqPJb2Bo?e=RJ0uI9" TargetMode="External"/><Relationship Id="rId124" Type="http://schemas.openxmlformats.org/officeDocument/2006/relationships/hyperlink" Target="https://tecnoaccionsa.sharepoint.com/:w:/s/GAMMA.2024/ESF5mElHBnhHqso8nbfQFhQBeWeIrW57nlzMywq_OJBmig?e=KrUzS6" TargetMode="External"/><Relationship Id="rId54" Type="http://schemas.openxmlformats.org/officeDocument/2006/relationships/hyperlink" Target="https://tecnoaccion.lightning.force.com/lightning/r/Case/500Hu00002QyGx2IAF/view" TargetMode="External"/><Relationship Id="rId70" Type="http://schemas.openxmlformats.org/officeDocument/2006/relationships/hyperlink" Target="https://tecnoaccion.lightning.force.com/lightning/r/Case/500V400000pJizgIAC/view" TargetMode="External"/><Relationship Id="rId75" Type="http://schemas.openxmlformats.org/officeDocument/2006/relationships/hyperlink" Target="https://tecnoaccionsa.sharepoint.com/:w:/s/GAMMA.2024/IQBJgmwarrtaR6WlZ0v3EkGNAafOTPz6MxnkLS5Yyaa4z5s?e=yiXTgM" TargetMode="External"/><Relationship Id="rId91" Type="http://schemas.openxmlformats.org/officeDocument/2006/relationships/hyperlink" Target="https://tecnoaccion.lightning.force.com/lightning/r/inov8__PMT_Task__c/a06V400000TqyLxIAJ/view?ws=%2Flightning%2Fr%2FCase%2F500V40000125wXyIAI%2Fview" TargetMode="External"/><Relationship Id="rId96" Type="http://schemas.openxmlformats.org/officeDocument/2006/relationships/hyperlink" Target="https://tecnoaccionsa.sharepoint.com/:b:/s/GAMMA.2024/IQCDiazLlRpaQZa59Hmll0EWAVRSbpaFjpFpDZvSFYCYq5U?e=puIeH8" TargetMode="External"/><Relationship Id="rId1" Type="http://schemas.openxmlformats.org/officeDocument/2006/relationships/hyperlink" Target="https://tecnoaccionsa.sharepoint.com/:f:/s/DemandadeSistemas/EgF4nkAcLndOkS85PwvrFxoBjz2TjYucXUmkpDeHLMUhsQ?e=tDLdqE" TargetMode="External"/><Relationship Id="rId6" Type="http://schemas.openxmlformats.org/officeDocument/2006/relationships/hyperlink" Target="../../../:f:/s/DemandadeSistemas/EgNIwNAaHP5EtgpAHZjgCl4BihLBgJOKYFdfCuLoP6COxg?e=KNSJ5r" TargetMode="External"/><Relationship Id="rId23" Type="http://schemas.openxmlformats.org/officeDocument/2006/relationships/hyperlink" Target="https://tecnoaccion.lightning.force.com/lightning/r/Case/500Hu00002PCCaIIAX/view" TargetMode="External"/><Relationship Id="rId28" Type="http://schemas.openxmlformats.org/officeDocument/2006/relationships/hyperlink" Target="https://tecnoaccion.lightning.force.com/lightning/r/Case/500Hu00002PCCc6IAH/view" TargetMode="External"/><Relationship Id="rId49" Type="http://schemas.openxmlformats.org/officeDocument/2006/relationships/hyperlink" Target="https://tecnoaccion.lightning.force.com/lightning/r/Case/500Hu00002QyOHJIA3/view" TargetMode="External"/><Relationship Id="rId114" Type="http://schemas.openxmlformats.org/officeDocument/2006/relationships/hyperlink" Target="https://tecnoaccionsa.sharepoint.com/:w:/s/GAMMA.2024/EYJwtM6mG3xNiF6mrY_7wNgBivk4Z2croR_LRBG9_VlDPQ?e=mAAfq4" TargetMode="External"/><Relationship Id="rId119" Type="http://schemas.openxmlformats.org/officeDocument/2006/relationships/hyperlink" Target="https://tecnoaccionsa.sharepoint.com/:w:/s/GAMMA.2024/IQD-roQYS5FqRbWnmEImpY_vAQohhxmNQnH0dsjsyoLS8xo?e=LcH5Cl" TargetMode="External"/><Relationship Id="rId44" Type="http://schemas.openxmlformats.org/officeDocument/2006/relationships/hyperlink" Target="https://tecnoaccion.lightning.force.com/lightning/r/Case/500Hu00002QyfhrIAB/view?ws=%2Flightning%2Fr%2FAccount%2F001Hu00003bjcqlIAA%2Fview" TargetMode="External"/><Relationship Id="rId60" Type="http://schemas.openxmlformats.org/officeDocument/2006/relationships/hyperlink" Target="../../../:f:/s/DemandadeSistemas/EgNIwNAaHP5EtgpAHZjgCl4BihLBgJOKYFdfCuLoP6COxg?e=KNSJ5r" TargetMode="External"/><Relationship Id="rId65" Type="http://schemas.openxmlformats.org/officeDocument/2006/relationships/hyperlink" Target="https://tecnoaccionsa.sharepoint.com/:w:/s/GAMMA.2024/IQAJ_y_lBO7mSqcbWTvZPjBRAe5ZiQZiUAM7gLQf4kP6nZk?e=52UqbY" TargetMode="External"/><Relationship Id="rId81" Type="http://schemas.openxmlformats.org/officeDocument/2006/relationships/hyperlink" Target="https://tecnoaccionsa.sharepoint.com/:w:/s/GAMMA.2024/IQAFaXG0zHaPQaw3vMF7biRLAfG9f_LCqgDGu_Q54qFsxO4?e=leb8U1" TargetMode="External"/><Relationship Id="rId86" Type="http://schemas.openxmlformats.org/officeDocument/2006/relationships/hyperlink" Target="https://tecnoaccionsa.sharepoint.com/:w:/s/GAMMA.2024/IQBtKdLu40hHSZ3GTRF9sYrWAV7IdDA5HuIDnu6Okn2A2og?e=aFMesl" TargetMode="External"/><Relationship Id="rId13" Type="http://schemas.openxmlformats.org/officeDocument/2006/relationships/hyperlink" Target="https://tecnoaccion.lightning.force.com/lightning/r/Case/500Hu00002PC58yIAD/view" TargetMode="External"/><Relationship Id="rId18" Type="http://schemas.openxmlformats.org/officeDocument/2006/relationships/hyperlink" Target="https://tecnoaccion.lightning.force.com/lightning/r/Case/500Hu00002QyARtIAN/view" TargetMode="External"/><Relationship Id="rId39" Type="http://schemas.openxmlformats.org/officeDocument/2006/relationships/hyperlink" Target="https://tecnoaccion.lightning.force.com/lightning/r/Case/500Hu00002PCUC2IAP/view" TargetMode="External"/><Relationship Id="rId109" Type="http://schemas.openxmlformats.org/officeDocument/2006/relationships/hyperlink" Target="https://tecnoaccionsa.sharepoint.com/:w:/s/GAMMA.2024/EXKeEdgDTV1BiP8c5kLoRjcBCxd_yc4xjeVruKHds33eTQ?e=cpcCLm" TargetMode="External"/><Relationship Id="rId34" Type="http://schemas.openxmlformats.org/officeDocument/2006/relationships/hyperlink" Target="https://tecnoaccion.lightning.force.com/lightning/r/Case/500Hu00002PCCeWIAX/view" TargetMode="External"/><Relationship Id="rId50" Type="http://schemas.openxmlformats.org/officeDocument/2006/relationships/hyperlink" Target="https://tecnoaccion.lightning.force.com/lightning/r/Case/500Hu00002QyRGwIAN/view" TargetMode="External"/><Relationship Id="rId55" Type="http://schemas.openxmlformats.org/officeDocument/2006/relationships/hyperlink" Target="https://tecnoaccion.lightning.force.com/lightning/r/Case/500Hu00002QyQB5IAN/view" TargetMode="External"/><Relationship Id="rId76" Type="http://schemas.openxmlformats.org/officeDocument/2006/relationships/hyperlink" Target="https://tecnoaccionsa.sharepoint.com/:w:/s/GAMMA.2024/IQDlkAll-4QjSq0G1u_mkuWaAXW2OC8-JwyhOeQ4Zp_yCLM?e=6ZloE3" TargetMode="External"/><Relationship Id="rId97" Type="http://schemas.openxmlformats.org/officeDocument/2006/relationships/hyperlink" Target="https://tecnoaccionsa.sharepoint.com/:b:/s/GAMMA.2024/IQDk0r1yOYoMT4OhIN3gEEsMATEQ1aebW1RmTM-GkAcla3Y?e=9VcnFz" TargetMode="External"/><Relationship Id="rId104" Type="http://schemas.openxmlformats.org/officeDocument/2006/relationships/hyperlink" Target="https://tecnoaccionsa.sharepoint.com/:w:/s/GAMMA.2024/IQAcpVY2caLbQZQRZKbx-ExDAT8Dhl-LS_Ev4tTREAWkDHA?e=npSQaZ" TargetMode="External"/><Relationship Id="rId120" Type="http://schemas.openxmlformats.org/officeDocument/2006/relationships/hyperlink" Target="https://tecnoaccionsa.sharepoint.com/:w:/s/GAMMA.2024/IQB9A5y2OzexSr7FDhDD5W5qASBeNgBFzyYrwWLPCqzzUVo?e=HyCMVI" TargetMode="External"/><Relationship Id="rId125" Type="http://schemas.openxmlformats.org/officeDocument/2006/relationships/hyperlink" Target="https://tecnoaccionsa.sharepoint.com/:w:/s/GAMMA.2024/EeS_eZ2nYjFEhUFveatsYb0BLzsbpYTpiF4vstGEXDO1Lg?e=5cwJpW" TargetMode="External"/><Relationship Id="rId7" Type="http://schemas.openxmlformats.org/officeDocument/2006/relationships/hyperlink" Target="https://tecnoaccionsa.sharepoint.com/:f:/s/DemandadeSistemas/Elr1L8ELIV9PlEyv5KxX8qcB2m2uuTWqW-bK4oCPOdkYxw?e=AI5qFx" TargetMode="External"/><Relationship Id="rId71" Type="http://schemas.openxmlformats.org/officeDocument/2006/relationships/hyperlink" Target="https://tecnoaccionsa.sharepoint.com/:w:/s/GAMMA.2024/IQD96kNAde83TKR4nagcaF9KAQ_hUf99DHz0b6ddOhwXql4?e=IlRhoT%20%20%20https://tecnoaccionsa.sharepoint.com/:w:/s/GAMMA.2024/IQA8cuN34mqXQqamingZSo7FAZ7qR1y5sMJqtEfrhmbRg8s?e=7ITwfs%20%20%20%20https://tecnoaccionsa.sharepoint.com/:w:/s/GAMMA.2024/IQAg8dx3M4CST79BvEY914SqARYqlqKCsSusVR-sotEsioI?e=6HO6RR%20%20%20https://tecnoaccionsa.sharepoint.com/:w:/s/GAMMA.2024/IQAPX6KPnap6Sq8qVQN7gS5NATmX793LnMobo9QD9lqa2Mo?e=bwmESs" TargetMode="External"/><Relationship Id="rId92" Type="http://schemas.openxmlformats.org/officeDocument/2006/relationships/hyperlink" Target="https://tecnoaccionsa.sharepoint.com/:w:/s/GAMMA.2024/IQD2qcHLL_06QYw0_0yapXa_AUEIYj9A4MEgsv4dNHtxtXE?e=I2LkXT" TargetMode="External"/><Relationship Id="rId2" Type="http://schemas.openxmlformats.org/officeDocument/2006/relationships/hyperlink" Target="https://tecnoaccionsa-my.sharepoint.com/:f:/g/personal/hbraun_tecnoaccion_com_ar/EpBJQN2COutGstBxSluODyIBmF2Ih-JGCUUgATuoeP-gaQ?e=PuvM1e" TargetMode="External"/><Relationship Id="rId29" Type="http://schemas.openxmlformats.org/officeDocument/2006/relationships/hyperlink" Target="https://tecnoaccion.lightning.force.com/lightning/r/Case/500Hu00002PCCaHIAX/view" TargetMode="External"/><Relationship Id="rId24" Type="http://schemas.openxmlformats.org/officeDocument/2006/relationships/hyperlink" Target="https://tecnoaccion.lightning.force.com/lightning/r/Case/500Hu00002PCCaGIAX/view" TargetMode="External"/><Relationship Id="rId40" Type="http://schemas.openxmlformats.org/officeDocument/2006/relationships/hyperlink" Target="https://tecnoaccion.lightning.force.com/lightning/r/Case/500Hu00002PBQ4DIAX/view" TargetMode="External"/><Relationship Id="rId45" Type="http://schemas.openxmlformats.org/officeDocument/2006/relationships/hyperlink" Target="https://tecnoaccion.lightning.force.com/lightning/r/Case/500Hu00002QyUssIAF/view" TargetMode="External"/><Relationship Id="rId66" Type="http://schemas.openxmlformats.org/officeDocument/2006/relationships/hyperlink" Target="https://tecnoaccionsa.sharepoint.com/:w:/s/GAMMA.2024/IQAEZ18mJ1UPTIRqTSZXi0OsAT3sZvqKidu4h3C9NJLex9g?e=0KeMe1" TargetMode="External"/><Relationship Id="rId87" Type="http://schemas.openxmlformats.org/officeDocument/2006/relationships/hyperlink" Target="https://tecnoaccion.lightning.force.com/lightning/r/Case/500V400000ye0WdIAI/view" TargetMode="External"/><Relationship Id="rId110" Type="http://schemas.openxmlformats.org/officeDocument/2006/relationships/hyperlink" Target="https://tecnoaccionsa.sharepoint.com/:w:/s/GAMMA.2024/IQBqCPbKrWEtSoYFaMvyAVIYARuthuwDCeRc2C1Q9PbPu6Q?e=BZQSNc" TargetMode="External"/><Relationship Id="rId115" Type="http://schemas.openxmlformats.org/officeDocument/2006/relationships/hyperlink" Target="https://tecnoaccionsa.sharepoint.com/:w:/s/GAMMA.2024/EX9l7UKS03pOlNqk-1P_J-4BtQcHhAtvvOLlHfKW8ytQ8w?e=7wrPW2" TargetMode="External"/><Relationship Id="rId61" Type="http://schemas.openxmlformats.org/officeDocument/2006/relationships/hyperlink" Target="https://tecnoaccion.lightning.force.com/lightning/r/Case/500V400000nSwuVIAS/view?ws=%2Flightning%2Fr%2FCase%2F500V400000nSztyIAC%2Fview" TargetMode="External"/><Relationship Id="rId82" Type="http://schemas.openxmlformats.org/officeDocument/2006/relationships/hyperlink" Target="https://tecnoaccionsa.sharepoint.com/:w:/s/GAMMA.2024/IQAFaXG0zHaPQaw3vMF7biRLAfG9f_LCqgDGu_Q54qFsxO4?e=leb8U1" TargetMode="External"/><Relationship Id="rId19" Type="http://schemas.openxmlformats.org/officeDocument/2006/relationships/hyperlink" Target="https://tecnoaccion.lightning.force.com/lightning/r/Case/500Hu00002QyHLHIA3/view" TargetMode="External"/><Relationship Id="rId14" Type="http://schemas.openxmlformats.org/officeDocument/2006/relationships/hyperlink" Target="https://tecnoaccion.lightning.force.com/lightning/r/Case/500Hu00002PC1ecIAD/view" TargetMode="External"/><Relationship Id="rId30" Type="http://schemas.openxmlformats.org/officeDocument/2006/relationships/hyperlink" Target="https://tecnoaccion.lightning.force.com/lightning/r/Case/500Hu00002PCCdKIAX/view" TargetMode="External"/><Relationship Id="rId35" Type="http://schemas.openxmlformats.org/officeDocument/2006/relationships/hyperlink" Target="https://tecnoaccion.lightning.force.com/lightning/r/Case/500Hu00002PCF99IAH/view" TargetMode="External"/><Relationship Id="rId56" Type="http://schemas.openxmlformats.org/officeDocument/2006/relationships/hyperlink" Target="https://tecnoaccion.lightning.force.com/lightning/r/Case/500V400000mbYLpIAM/view" TargetMode="External"/><Relationship Id="rId77" Type="http://schemas.openxmlformats.org/officeDocument/2006/relationships/hyperlink" Target="https://tecnoaccionsa.sharepoint.com/:w:/s/GAMMA.2024/IQD3wyXdsDdYTZdQCIECaLIuAa46XxaRjpobK9ejH87cTk0?e=3O0g4D" TargetMode="External"/><Relationship Id="rId100" Type="http://schemas.openxmlformats.org/officeDocument/2006/relationships/hyperlink" Target="https://tecnoaccionsa.sharepoint.com/:b:/s/GAMMA.2024/IQB4KP-ujWltSpoaRnL1QBOsAfQW713ggOTh3mEH-p0EUFs?e=PUByp4" TargetMode="External"/><Relationship Id="rId105" Type="http://schemas.openxmlformats.org/officeDocument/2006/relationships/hyperlink" Target="https://tecnoaccionsa.sharepoint.com/:w:/s/GAMMA.2024/IQAaIvvg3eg5SJVxUyCXE6IBAc_JlFy7qcMdpOnljAxsJmY?e=ffUJif" TargetMode="External"/><Relationship Id="rId126" Type="http://schemas.openxmlformats.org/officeDocument/2006/relationships/hyperlink" Target="https://tecnoaccionsa-my.sharepoint.com/:w:/g/personal/fgarufi_tecnoaccion_com_ar/IQBAU4fS_sleT4jYnVlJU-FWAUWpxBIkeJ-jw92j_gNhWsY?e=J8GuAl" TargetMode="External"/><Relationship Id="rId8" Type="http://schemas.openxmlformats.org/officeDocument/2006/relationships/hyperlink" Target="https://tecnoaccionsa.sharepoint.com/:f:/s/DemandadeSistemas/EhgKwTO5nL5FjKfZZt4m8QABaKrWKE1PTHemkeve1eoV6g?e=DfEywa" TargetMode="External"/><Relationship Id="rId51" Type="http://schemas.openxmlformats.org/officeDocument/2006/relationships/hyperlink" Target="https://tecnoaccionsa.sharepoint.com/:f:/s/GAMMA.2024/EvmyyQIYvNBIoUJhm4w99yoBZVujyEqG8xPrSpE5_DV2ow?e=TDaXiw" TargetMode="External"/><Relationship Id="rId72" Type="http://schemas.openxmlformats.org/officeDocument/2006/relationships/hyperlink" Target="https://tecnoaccionsa.sharepoint.com/:f:/s/GAMMA.2024/IgAlJhpbDkeHTbwFU-9cCsVgAVaTlH9Mt8X_QfRfnvCqGNM?e=weOCgY" TargetMode="External"/><Relationship Id="rId93" Type="http://schemas.openxmlformats.org/officeDocument/2006/relationships/hyperlink" Target="https://tecnoaccionsa.sharepoint.com/:w:/s/GAMMA.2024/IQAkvdMqIWQ5Q5WcHuSATfaZATxa72gwaQlJbdygaOPTelE?e=FxBzBU" TargetMode="External"/><Relationship Id="rId98" Type="http://schemas.openxmlformats.org/officeDocument/2006/relationships/hyperlink" Target="https://tecnoaccionsa.sharepoint.com/:w:/s/GAMMA.2024/IQD5riOsrXJKSbGJz2jkhdiaAVEcN1M9R-mLlAKHlra8t6c?e=w7pKCG" TargetMode="External"/><Relationship Id="rId121" Type="http://schemas.openxmlformats.org/officeDocument/2006/relationships/hyperlink" Target="https://tecnoaccionsa.sharepoint.com/:w:/s/GAMMA.2024/EewQGkhGMJdIsocJbKMdHh0BqchFh6abiwdi0JUKSvQMzA?e=MHaZgf" TargetMode="External"/><Relationship Id="rId3" Type="http://schemas.openxmlformats.org/officeDocument/2006/relationships/hyperlink" Target="../../../:f:/s/DemandadeSistemas/ErOswSoIxIJEhJ-XbeHOOcABUkFFaIO399VkxBVKOhwZuw?e=28uIm7" TargetMode="External"/><Relationship Id="rId25" Type="http://schemas.openxmlformats.org/officeDocument/2006/relationships/hyperlink" Target="https://tecnoaccion.lightning.force.com/lightning/r/Case/500Hu00002PCCdJIAX/view" TargetMode="External"/><Relationship Id="rId46" Type="http://schemas.openxmlformats.org/officeDocument/2006/relationships/hyperlink" Target="https://tecnoaccion.lightning.force.com/lightning/r/Case/500Hu00002Qyg2IIAR/view" TargetMode="External"/><Relationship Id="rId67" Type="http://schemas.openxmlformats.org/officeDocument/2006/relationships/hyperlink" Target="https://tecnoaccionsa.sharepoint.com/:w:/s/GAMMA.2024/IQAEZ18mJ1UPTIRqTSZXi0OsAT3sZvqKidu4h3C9NJLex9g?e=0KeMe1" TargetMode="External"/><Relationship Id="rId116" Type="http://schemas.openxmlformats.org/officeDocument/2006/relationships/hyperlink" Target="https://tecnoaccionsa.sharepoint.com/:w:/s/GAMMA.2024/Eb5QI-rN5R1Il7JdqiyTMHMBw15snmrDC0xnFSZQtuUiGQ?e=751ttn" TargetMode="External"/><Relationship Id="rId20" Type="http://schemas.openxmlformats.org/officeDocument/2006/relationships/hyperlink" Target="https://tecnoaccion.lightning.force.com/lightning/r/Case/500Hu00002QyHLvIAN/view" TargetMode="External"/><Relationship Id="rId41" Type="http://schemas.openxmlformats.org/officeDocument/2006/relationships/hyperlink" Target="https://tecnoaccion.lightning.force.com/lightning/r/Case/500Hu00002PCZmBIAX/view" TargetMode="External"/><Relationship Id="rId62" Type="http://schemas.openxmlformats.org/officeDocument/2006/relationships/hyperlink" Target="https://tecnoaccion.lightning.force.com/lightning/r/Case/500V400000nSztyIAC/view" TargetMode="External"/><Relationship Id="rId83" Type="http://schemas.openxmlformats.org/officeDocument/2006/relationships/hyperlink" Target="https://tecnoaccionsa.sharepoint.com/:f:/s/GAMMA.2024/IgCI3FWxpNGzT6U1uuqfKUJ2AetDsmKtsnRWMwFk_7eQpd0?e=zLhtdt" TargetMode="External"/><Relationship Id="rId88" Type="http://schemas.openxmlformats.org/officeDocument/2006/relationships/hyperlink" Target="https://tecnoaccionsa.sharepoint.com/:w:/s/GAMMA.2024/IQAdK3QuBWdcQLY7heyCwY-hAet-gDt7lWKMOA3O1k2O1zw?e=j9Sbue" TargetMode="External"/><Relationship Id="rId111" Type="http://schemas.openxmlformats.org/officeDocument/2006/relationships/hyperlink" Target="https://tecnoaccionsa.sharepoint.com/:w:/s/GAMMA.2024/IQBdmazFggODS6xt4RN4hPsmAYrlSXma6yqek0dxGxk9U0M?e=UeK1V0" TargetMode="External"/><Relationship Id="rId15" Type="http://schemas.openxmlformats.org/officeDocument/2006/relationships/hyperlink" Target="https://tecnoaccion.lightning.force.com/lightning/r/Case/500Hu00002QyIOmIAN/view" TargetMode="External"/><Relationship Id="rId36" Type="http://schemas.openxmlformats.org/officeDocument/2006/relationships/hyperlink" Target="https://tecnoaccion.lightning.force.com/lightning/r/Case/500Hu00002PB9MwIAL/view" TargetMode="External"/><Relationship Id="rId57" Type="http://schemas.openxmlformats.org/officeDocument/2006/relationships/hyperlink" Target="https://tecnoaccion.lightning.force.com/lightning/r/Case/500V400000mbL1yIAE/view" TargetMode="External"/><Relationship Id="rId106" Type="http://schemas.openxmlformats.org/officeDocument/2006/relationships/hyperlink" Target="https://tecnoaccionsa.sharepoint.com/:b:/s/GAMMA.2024/IQC1q_eohVZLRLAa3O_4zTzXAYwq5JdGABQw4H-hDMwQ99k?e=cKiJzi" TargetMode="External"/><Relationship Id="rId127" Type="http://schemas.openxmlformats.org/officeDocument/2006/relationships/table" Target="../tables/table2.xml"/><Relationship Id="rId10" Type="http://schemas.openxmlformats.org/officeDocument/2006/relationships/hyperlink" Target="https://tecnoaccionsa.sharepoint.com/:f:/s/DemandadeSistemas/Eo69MmqmSEtCtAdftTJrm9UB4wncS9mAvAYBhp318vznqg?e=xNjAyr" TargetMode="External"/><Relationship Id="rId31" Type="http://schemas.openxmlformats.org/officeDocument/2006/relationships/hyperlink" Target="https://tecnoaccion.lightning.force.com/lightning/r/Case/500Hu00002PCCeXIAX/view" TargetMode="External"/><Relationship Id="rId52" Type="http://schemas.openxmlformats.org/officeDocument/2006/relationships/hyperlink" Target="https://tecnoaccion.lightning.force.com/lightning/r/Case/500Hu00002QykAdIAJ/view" TargetMode="External"/><Relationship Id="rId73" Type="http://schemas.openxmlformats.org/officeDocument/2006/relationships/hyperlink" Target="https://tecnoaccionsa.sharepoint.com/:w:/s/GAMMA.2024/IQCvOaIwxOSXS62AtZfG6rF6AdXQu-EQt3neM3COc71yn9U?e=xY039x" TargetMode="External"/><Relationship Id="rId78" Type="http://schemas.openxmlformats.org/officeDocument/2006/relationships/hyperlink" Target="https://tecnoaccionsa.sharepoint.com/:w:/s/GAMMA.2024/IQDCsQv3oKJpRbzgGoYJvMM1Aff-fu2mpDnXFVGnEkByfoM?e=FP63Nq" TargetMode="External"/><Relationship Id="rId94" Type="http://schemas.openxmlformats.org/officeDocument/2006/relationships/hyperlink" Target="https://tecnoaccionsa.sharepoint.com/:w:/s/GAMMA.2024/IQAMrv3i1LF_TIdaOkLZiHKBAVfcAiDKwb78QO643iGkYX8?e=9p7mVm" TargetMode="External"/><Relationship Id="rId99" Type="http://schemas.openxmlformats.org/officeDocument/2006/relationships/hyperlink" Target="https://tecnoaccion.lightning.force.com/lightning/r/Case/500V4000012z205IAA/view" TargetMode="External"/><Relationship Id="rId101" Type="http://schemas.openxmlformats.org/officeDocument/2006/relationships/hyperlink" Target="https://tecnoaccionsa.sharepoint.com/:b:/s/GAMMA.2024/IQAzNZhWEQTaTa78KO1xXzPUAYykDdA0y-d4CF3d7U44la8?e=DfRvwT" TargetMode="External"/><Relationship Id="rId122" Type="http://schemas.openxmlformats.org/officeDocument/2006/relationships/hyperlink" Target="https://tecnoaccionsa.sharepoint.com/:w:/s/GAMMA.2024/EQ7ZYiCpTcVFquj11KJZOo4B6WEU1wks_8tC1AG6n1tIcw?e=Tf9Ixa" TargetMode="External"/><Relationship Id="rId4" Type="http://schemas.openxmlformats.org/officeDocument/2006/relationships/hyperlink" Target="https://tecnoaccion.lightning.force.com/lightning/r/Case/500Hu00002PBQ4DIAX/view" TargetMode="External"/><Relationship Id="rId9" Type="http://schemas.openxmlformats.org/officeDocument/2006/relationships/hyperlink" Target="https://tecnoaccionsa.sharepoint.com/:f:/s/DemandadeSistemas/Emini5w85mVHnWvuIhBX5KkBgCcJJrqiMj6d6hll61NKYQ?e=I4dWM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zoomScaleNormal="100" workbookViewId="0">
      <selection activeCell="D10" sqref="D10"/>
    </sheetView>
  </sheetViews>
  <sheetFormatPr defaultColWidth="8.7109375" defaultRowHeight="14.25"/>
  <cols>
    <col min="1" max="1" width="22.85546875" customWidth="1"/>
    <col min="2" max="2" width="63.140625" bestFit="1" customWidth="1"/>
    <col min="4" max="4" width="11.42578125" customWidth="1"/>
  </cols>
  <sheetData>
    <row r="1" spans="1:4">
      <c r="A1" t="s">
        <v>0</v>
      </c>
      <c r="B1" t="s">
        <v>1</v>
      </c>
      <c r="D1" t="s">
        <v>2</v>
      </c>
    </row>
    <row r="2" spans="1:4">
      <c r="A2" t="s">
        <v>3</v>
      </c>
      <c r="B2" s="1" t="s">
        <v>4</v>
      </c>
    </row>
    <row r="3" spans="1:4">
      <c r="A3" t="s">
        <v>5</v>
      </c>
      <c r="B3" s="1" t="s">
        <v>6</v>
      </c>
    </row>
    <row r="4" spans="1:4">
      <c r="A4" s="2" t="s">
        <v>7</v>
      </c>
      <c r="B4" s="3" t="s">
        <v>6</v>
      </c>
    </row>
    <row r="5" spans="1:4">
      <c r="A5" t="s">
        <v>8</v>
      </c>
      <c r="B5" s="1" t="s">
        <v>9</v>
      </c>
    </row>
    <row r="6" spans="1:4" ht="15">
      <c r="A6" t="s">
        <v>10</v>
      </c>
      <c r="B6" s="1" t="s">
        <v>11</v>
      </c>
    </row>
    <row r="7" spans="1:4">
      <c r="A7" t="s">
        <v>12</v>
      </c>
      <c r="B7" s="1" t="s">
        <v>13</v>
      </c>
    </row>
    <row r="8" spans="1:4" ht="30.75">
      <c r="A8" t="s">
        <v>14</v>
      </c>
      <c r="B8" s="1" t="s">
        <v>15</v>
      </c>
    </row>
    <row r="9" spans="1:4" ht="30.75">
      <c r="A9" t="s">
        <v>16</v>
      </c>
      <c r="B9" s="1" t="s">
        <v>17</v>
      </c>
    </row>
    <row r="10" spans="1:4" ht="45.75">
      <c r="A10" t="s">
        <v>18</v>
      </c>
      <c r="B10" s="524" t="s">
        <v>19</v>
      </c>
    </row>
    <row r="11" spans="1:4" ht="60.75">
      <c r="A11" t="s">
        <v>20</v>
      </c>
      <c r="B11" s="1" t="s">
        <v>21</v>
      </c>
    </row>
    <row r="12" spans="1:4">
      <c r="A12" t="s">
        <v>22</v>
      </c>
      <c r="B12" t="s">
        <v>23</v>
      </c>
    </row>
    <row r="13" spans="1:4">
      <c r="A13" t="s">
        <v>24</v>
      </c>
      <c r="B13" t="s">
        <v>25</v>
      </c>
    </row>
    <row r="14" spans="1:4">
      <c r="A14" t="s">
        <v>26</v>
      </c>
      <c r="B14" s="725" t="s">
        <v>27</v>
      </c>
    </row>
    <row r="15" spans="1:4">
      <c r="A15" t="s">
        <v>28</v>
      </c>
      <c r="B15" s="724" t="s">
        <v>29</v>
      </c>
    </row>
    <row r="16" spans="1:4">
      <c r="A16" t="s">
        <v>30</v>
      </c>
      <c r="B16" s="726" t="s">
        <v>31</v>
      </c>
    </row>
    <row r="17" spans="1:2">
      <c r="A17" t="s">
        <v>32</v>
      </c>
      <c r="B17" s="727" t="s">
        <v>33</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2"/>
  <sheetViews>
    <sheetView zoomScaleNormal="100" workbookViewId="0">
      <pane xSplit="3" ySplit="1" topLeftCell="G7" activePane="bottomRight" state="frozen"/>
      <selection pane="bottomRight" activeCell="G7" sqref="G7"/>
      <selection pane="bottomLeft" activeCell="A7" sqref="A7"/>
      <selection pane="topRight" activeCell="G1" sqref="G1"/>
    </sheetView>
  </sheetViews>
  <sheetFormatPr defaultColWidth="10.28515625" defaultRowHeight="14.25"/>
  <cols>
    <col min="1" max="1" width="9.42578125" customWidth="1"/>
    <col min="2" max="2" width="9.7109375" customWidth="1"/>
    <col min="3" max="3" width="9.7109375" hidden="1" customWidth="1"/>
    <col min="4" max="4" width="12.42578125" style="4" customWidth="1"/>
    <col min="5" max="5" width="12" style="4" customWidth="1"/>
    <col min="6" max="6" width="10.42578125" style="1" customWidth="1"/>
    <col min="7" max="7" width="39.140625" style="1" customWidth="1"/>
    <col min="8" max="8" width="19.28515625" customWidth="1"/>
    <col min="9" max="9" width="23.140625" customWidth="1"/>
    <col min="10" max="11" width="22.28515625" customWidth="1"/>
    <col min="12" max="12" width="18.28515625" customWidth="1"/>
    <col min="13" max="13" width="9.7109375" customWidth="1"/>
    <col min="14" max="14" width="18.28515625" customWidth="1"/>
    <col min="15" max="15" width="8.7109375" customWidth="1"/>
    <col min="16" max="16" width="22.5703125" customWidth="1"/>
    <col min="17" max="17" width="45.7109375" style="1" customWidth="1"/>
    <col min="18" max="18" width="65.5703125" style="1" customWidth="1"/>
  </cols>
  <sheetData>
    <row r="1" spans="1:18">
      <c r="A1" s="5" t="s">
        <v>34</v>
      </c>
      <c r="B1" s="5" t="s">
        <v>35</v>
      </c>
      <c r="C1" s="6"/>
      <c r="D1" s="5" t="s">
        <v>36</v>
      </c>
      <c r="E1" s="5" t="s">
        <v>37</v>
      </c>
      <c r="F1" s="5" t="s">
        <v>38</v>
      </c>
      <c r="G1" s="5" t="s">
        <v>39</v>
      </c>
      <c r="H1" s="5" t="s">
        <v>40</v>
      </c>
      <c r="I1" s="5" t="s">
        <v>41</v>
      </c>
      <c r="J1" s="5" t="s">
        <v>42</v>
      </c>
      <c r="K1" s="5" t="s">
        <v>43</v>
      </c>
      <c r="L1" s="5" t="s">
        <v>44</v>
      </c>
      <c r="M1" s="5" t="s">
        <v>45</v>
      </c>
      <c r="N1" s="5" t="s">
        <v>0</v>
      </c>
      <c r="O1" s="5" t="s">
        <v>46</v>
      </c>
      <c r="P1" s="5" t="s">
        <v>47</v>
      </c>
      <c r="Q1" s="5" t="s">
        <v>48</v>
      </c>
      <c r="R1" s="5" t="s">
        <v>1</v>
      </c>
    </row>
    <row r="2" spans="1:18" s="11" customFormat="1" ht="28.5">
      <c r="A2" s="7" t="s">
        <v>49</v>
      </c>
      <c r="B2" s="8" t="s">
        <v>50</v>
      </c>
      <c r="C2" s="8">
        <f>VALUE(RIGHT(B2,LEN(B2)-4))</f>
        <v>2</v>
      </c>
      <c r="D2" s="9">
        <v>45649</v>
      </c>
      <c r="E2" s="9">
        <v>45663</v>
      </c>
      <c r="F2" s="10"/>
      <c r="G2" s="10" t="s">
        <v>51</v>
      </c>
      <c r="H2" s="8" t="s">
        <v>52</v>
      </c>
      <c r="I2" s="8" t="s">
        <v>53</v>
      </c>
      <c r="J2" s="8" t="s">
        <v>54</v>
      </c>
      <c r="K2" s="8" t="s">
        <v>55</v>
      </c>
      <c r="L2" s="8" t="s">
        <v>56</v>
      </c>
      <c r="M2" s="8" t="s">
        <v>57</v>
      </c>
      <c r="N2" s="8" t="s">
        <v>58</v>
      </c>
      <c r="O2" s="8" t="s">
        <v>59</v>
      </c>
      <c r="P2" s="8"/>
      <c r="Q2" s="10"/>
      <c r="R2" s="10"/>
    </row>
    <row r="3" spans="1:18" s="11" customFormat="1">
      <c r="A3" s="7" t="s">
        <v>60</v>
      </c>
      <c r="B3" s="8" t="s">
        <v>61</v>
      </c>
      <c r="C3" s="8">
        <f>VALUE(RIGHT(B3,LEN(B3)-4))</f>
        <v>3</v>
      </c>
      <c r="D3" s="9"/>
      <c r="E3" s="9"/>
      <c r="F3" s="10" t="s">
        <v>50</v>
      </c>
      <c r="G3" s="10" t="s">
        <v>62</v>
      </c>
      <c r="H3" s="8"/>
      <c r="I3" s="8"/>
      <c r="J3" s="8"/>
      <c r="K3" s="8"/>
      <c r="L3" s="8" t="s">
        <v>63</v>
      </c>
      <c r="M3" s="8" t="s">
        <v>57</v>
      </c>
      <c r="N3" s="8" t="s">
        <v>58</v>
      </c>
      <c r="O3" s="8" t="s">
        <v>59</v>
      </c>
      <c r="P3" s="8"/>
      <c r="Q3" s="10"/>
      <c r="R3" s="10"/>
    </row>
    <row r="4" spans="1:18" s="11" customFormat="1" ht="28.5">
      <c r="A4" s="7" t="s">
        <v>49</v>
      </c>
      <c r="B4" s="8" t="s">
        <v>64</v>
      </c>
      <c r="C4" s="8">
        <f>VALUE(RIGHT(B4,LEN(B4)-4))</f>
        <v>4</v>
      </c>
      <c r="D4" s="9">
        <v>45649</v>
      </c>
      <c r="E4" s="9">
        <v>45672</v>
      </c>
      <c r="F4" s="10"/>
      <c r="G4" s="10" t="s">
        <v>65</v>
      </c>
      <c r="H4" s="8" t="s">
        <v>66</v>
      </c>
      <c r="I4" s="8" t="s">
        <v>67</v>
      </c>
      <c r="J4" s="8" t="s">
        <v>54</v>
      </c>
      <c r="K4" s="8" t="s">
        <v>55</v>
      </c>
      <c r="L4" s="8" t="s">
        <v>56</v>
      </c>
      <c r="M4" s="8" t="s">
        <v>57</v>
      </c>
      <c r="N4" s="8" t="s">
        <v>58</v>
      </c>
      <c r="O4" s="8" t="s">
        <v>59</v>
      </c>
      <c r="P4" s="8"/>
      <c r="Q4" s="10"/>
      <c r="R4" s="10"/>
    </row>
    <row r="5" spans="1:18" ht="28.5">
      <c r="A5" s="7" t="s">
        <v>49</v>
      </c>
      <c r="B5" s="8" t="s">
        <v>68</v>
      </c>
      <c r="C5" s="8">
        <f>VALUE(RIGHT(B5,LEN(B5)-4))</f>
        <v>5</v>
      </c>
      <c r="D5" s="9">
        <v>45649</v>
      </c>
      <c r="E5" s="9">
        <v>45722</v>
      </c>
      <c r="F5" s="10"/>
      <c r="G5" s="10" t="s">
        <v>69</v>
      </c>
      <c r="H5" s="8" t="s">
        <v>70</v>
      </c>
      <c r="I5" s="8" t="s">
        <v>53</v>
      </c>
      <c r="J5" s="8" t="s">
        <v>71</v>
      </c>
      <c r="K5" s="8" t="s">
        <v>72</v>
      </c>
      <c r="L5" s="8" t="s">
        <v>56</v>
      </c>
      <c r="M5" s="8" t="s">
        <v>57</v>
      </c>
      <c r="N5" s="8" t="s">
        <v>58</v>
      </c>
      <c r="O5" s="8" t="s">
        <v>59</v>
      </c>
      <c r="P5" s="8"/>
      <c r="Q5" s="10"/>
      <c r="R5" s="10"/>
    </row>
    <row r="6" spans="1:18" ht="28.5">
      <c r="A6" s="7" t="s">
        <v>49</v>
      </c>
      <c r="B6" s="8" t="s">
        <v>73</v>
      </c>
      <c r="C6" s="8">
        <f>VALUE(RIGHT(B6,LEN(B6)-4))</f>
        <v>6</v>
      </c>
      <c r="D6" s="9">
        <v>45649</v>
      </c>
      <c r="E6" s="9">
        <v>45687</v>
      </c>
      <c r="F6" s="10"/>
      <c r="G6" s="10" t="s">
        <v>74</v>
      </c>
      <c r="H6" s="8" t="s">
        <v>75</v>
      </c>
      <c r="I6" s="8" t="s">
        <v>53</v>
      </c>
      <c r="J6" s="8" t="s">
        <v>71</v>
      </c>
      <c r="K6" s="8" t="s">
        <v>72</v>
      </c>
      <c r="L6" s="8" t="s">
        <v>56</v>
      </c>
      <c r="M6" s="8" t="s">
        <v>57</v>
      </c>
      <c r="N6" s="8" t="s">
        <v>58</v>
      </c>
      <c r="O6" s="8" t="s">
        <v>59</v>
      </c>
      <c r="P6" s="8"/>
      <c r="Q6" s="10"/>
      <c r="R6" s="10" t="s">
        <v>76</v>
      </c>
    </row>
    <row r="7" spans="1:18" ht="28.5">
      <c r="A7" s="7" t="s">
        <v>49</v>
      </c>
      <c r="B7" s="8" t="s">
        <v>77</v>
      </c>
      <c r="C7" s="8">
        <f>VALUE(RIGHT(B7,LEN(B7)-4))</f>
        <v>7</v>
      </c>
      <c r="D7" s="9">
        <v>45649</v>
      </c>
      <c r="E7" s="9"/>
      <c r="F7" s="10"/>
      <c r="G7" s="10" t="s">
        <v>78</v>
      </c>
      <c r="H7" s="8" t="s">
        <v>52</v>
      </c>
      <c r="I7" s="8" t="s">
        <v>53</v>
      </c>
      <c r="J7" s="8" t="s">
        <v>79</v>
      </c>
      <c r="K7" s="8" t="s">
        <v>80</v>
      </c>
      <c r="L7" s="8" t="s">
        <v>56</v>
      </c>
      <c r="M7" s="8" t="s">
        <v>57</v>
      </c>
      <c r="N7" s="8" t="s">
        <v>58</v>
      </c>
      <c r="O7" s="8" t="s">
        <v>59</v>
      </c>
      <c r="P7" s="8"/>
      <c r="Q7" s="10"/>
      <c r="R7" s="10" t="s">
        <v>81</v>
      </c>
    </row>
    <row r="8" spans="1:18" ht="57.75">
      <c r="A8" s="7" t="s">
        <v>49</v>
      </c>
      <c r="B8" s="8" t="s">
        <v>82</v>
      </c>
      <c r="C8" s="8">
        <f>VALUE(RIGHT(B8,LEN(B8)-4))</f>
        <v>8</v>
      </c>
      <c r="D8" s="9">
        <v>45649</v>
      </c>
      <c r="E8" s="9">
        <v>45687</v>
      </c>
      <c r="F8" s="10"/>
      <c r="G8" s="10" t="s">
        <v>83</v>
      </c>
      <c r="H8" s="8" t="s">
        <v>84</v>
      </c>
      <c r="I8" s="8" t="s">
        <v>85</v>
      </c>
      <c r="J8" s="8" t="s">
        <v>79</v>
      </c>
      <c r="K8" s="8" t="s">
        <v>80</v>
      </c>
      <c r="L8" s="8" t="s">
        <v>56</v>
      </c>
      <c r="M8" s="8" t="s">
        <v>57</v>
      </c>
      <c r="N8" s="8" t="s">
        <v>58</v>
      </c>
      <c r="O8" s="8" t="s">
        <v>59</v>
      </c>
      <c r="P8" s="8"/>
      <c r="Q8" s="10"/>
      <c r="R8" s="10"/>
    </row>
    <row r="9" spans="1:18" ht="43.5">
      <c r="A9" s="7" t="s">
        <v>49</v>
      </c>
      <c r="B9" s="8" t="s">
        <v>86</v>
      </c>
      <c r="C9" s="8">
        <f>VALUE(RIGHT(B9,LEN(B9)-4))</f>
        <v>9</v>
      </c>
      <c r="D9" s="9">
        <v>45649</v>
      </c>
      <c r="E9" s="9">
        <v>45663</v>
      </c>
      <c r="F9" s="10"/>
      <c r="G9" s="10" t="s">
        <v>87</v>
      </c>
      <c r="H9" s="8" t="s">
        <v>88</v>
      </c>
      <c r="I9" s="8" t="s">
        <v>89</v>
      </c>
      <c r="J9" s="8" t="s">
        <v>54</v>
      </c>
      <c r="K9" s="8" t="s">
        <v>55</v>
      </c>
      <c r="L9" s="8" t="s">
        <v>56</v>
      </c>
      <c r="M9" s="8" t="s">
        <v>57</v>
      </c>
      <c r="N9" s="8" t="s">
        <v>58</v>
      </c>
      <c r="O9" s="8" t="s">
        <v>59</v>
      </c>
      <c r="P9" s="8"/>
      <c r="Q9" s="10"/>
      <c r="R9" s="10" t="s">
        <v>90</v>
      </c>
    </row>
    <row r="10" spans="1:18" ht="57.75">
      <c r="A10" s="7" t="s">
        <v>49</v>
      </c>
      <c r="B10" s="8" t="s">
        <v>91</v>
      </c>
      <c r="C10" s="8">
        <f>VALUE(RIGHT(B10,LEN(B10)-4))</f>
        <v>10</v>
      </c>
      <c r="D10" s="9">
        <v>45649</v>
      </c>
      <c r="E10" s="9">
        <v>45659</v>
      </c>
      <c r="F10" s="10"/>
      <c r="G10" s="10" t="s">
        <v>92</v>
      </c>
      <c r="H10" s="8" t="s">
        <v>84</v>
      </c>
      <c r="I10" s="8" t="s">
        <v>93</v>
      </c>
      <c r="J10" s="8" t="s">
        <v>56</v>
      </c>
      <c r="K10" s="8" t="s">
        <v>80</v>
      </c>
      <c r="L10" s="8" t="s">
        <v>56</v>
      </c>
      <c r="M10" s="8" t="s">
        <v>57</v>
      </c>
      <c r="N10" s="8" t="s">
        <v>58</v>
      </c>
      <c r="O10" s="8" t="s">
        <v>59</v>
      </c>
      <c r="P10" s="8"/>
      <c r="Q10" s="10"/>
      <c r="R10" s="10"/>
    </row>
    <row r="11" spans="1:18" ht="28.5">
      <c r="A11" s="7" t="s">
        <v>60</v>
      </c>
      <c r="B11" s="8" t="s">
        <v>94</v>
      </c>
      <c r="C11" s="8">
        <f>VALUE(RIGHT(B11,LEN(B11)-4))</f>
        <v>11</v>
      </c>
      <c r="D11" s="9"/>
      <c r="E11" s="9"/>
      <c r="F11" s="10" t="s">
        <v>64</v>
      </c>
      <c r="G11" s="10" t="s">
        <v>95</v>
      </c>
      <c r="H11" s="8"/>
      <c r="I11" s="8"/>
      <c r="J11" s="8" t="s">
        <v>79</v>
      </c>
      <c r="K11" s="8"/>
      <c r="L11" s="8" t="s">
        <v>79</v>
      </c>
      <c r="M11" s="8" t="s">
        <v>57</v>
      </c>
      <c r="N11" s="8" t="s">
        <v>58</v>
      </c>
      <c r="O11" s="8" t="s">
        <v>59</v>
      </c>
      <c r="P11" s="8"/>
      <c r="Q11" s="10"/>
      <c r="R11" s="10" t="s">
        <v>95</v>
      </c>
    </row>
    <row r="12" spans="1:18" ht="28.5">
      <c r="A12" s="7" t="s">
        <v>49</v>
      </c>
      <c r="B12" s="8" t="s">
        <v>96</v>
      </c>
      <c r="C12" s="8">
        <f>VALUE(RIGHT(B12,LEN(B12)-4))</f>
        <v>12</v>
      </c>
      <c r="D12" s="9">
        <v>45649</v>
      </c>
      <c r="E12" s="9">
        <v>45674</v>
      </c>
      <c r="F12" s="10"/>
      <c r="G12" s="10" t="s">
        <v>97</v>
      </c>
      <c r="H12" s="8" t="s">
        <v>98</v>
      </c>
      <c r="I12" s="8" t="s">
        <v>89</v>
      </c>
      <c r="J12" s="8" t="s">
        <v>79</v>
      </c>
      <c r="K12" s="8" t="s">
        <v>80</v>
      </c>
      <c r="L12" s="8" t="s">
        <v>56</v>
      </c>
      <c r="M12" s="8" t="s">
        <v>57</v>
      </c>
      <c r="N12" s="8" t="s">
        <v>58</v>
      </c>
      <c r="O12" s="8" t="s">
        <v>99</v>
      </c>
      <c r="P12" s="8"/>
      <c r="Q12" s="10"/>
      <c r="R12" s="10"/>
    </row>
    <row r="13" spans="1:18" ht="28.5">
      <c r="A13" s="7" t="s">
        <v>49</v>
      </c>
      <c r="B13" s="8" t="s">
        <v>100</v>
      </c>
      <c r="C13" s="8">
        <f>VALUE(RIGHT(B13,LEN(B13)-4))</f>
        <v>13</v>
      </c>
      <c r="D13" s="9">
        <v>45649</v>
      </c>
      <c r="E13" s="9">
        <v>45684</v>
      </c>
      <c r="F13" s="10"/>
      <c r="G13" s="10" t="s">
        <v>101</v>
      </c>
      <c r="H13" s="8" t="s">
        <v>102</v>
      </c>
      <c r="I13" s="8" t="s">
        <v>89</v>
      </c>
      <c r="J13" s="8" t="s">
        <v>103</v>
      </c>
      <c r="K13" s="8" t="s">
        <v>80</v>
      </c>
      <c r="L13" s="8" t="s">
        <v>56</v>
      </c>
      <c r="M13" s="8" t="s">
        <v>57</v>
      </c>
      <c r="N13" s="8" t="s">
        <v>58</v>
      </c>
      <c r="O13" s="8" t="s">
        <v>99</v>
      </c>
      <c r="P13" s="8"/>
      <c r="Q13" s="10"/>
      <c r="R13" s="10" t="s">
        <v>104</v>
      </c>
    </row>
    <row r="14" spans="1:18" ht="289.5">
      <c r="A14" s="7" t="s">
        <v>49</v>
      </c>
      <c r="B14" s="8" t="s">
        <v>105</v>
      </c>
      <c r="C14" s="8">
        <f>VALUE(RIGHT(B14,LEN(B14)-4))</f>
        <v>14</v>
      </c>
      <c r="D14" s="9">
        <v>45649</v>
      </c>
      <c r="E14" s="9">
        <v>45677</v>
      </c>
      <c r="F14" s="10"/>
      <c r="G14" s="10" t="s">
        <v>106</v>
      </c>
      <c r="H14" s="8" t="s">
        <v>107</v>
      </c>
      <c r="I14" s="8" t="s">
        <v>108</v>
      </c>
      <c r="J14" s="8" t="s">
        <v>54</v>
      </c>
      <c r="K14" s="8" t="s">
        <v>55</v>
      </c>
      <c r="L14" s="8" t="s">
        <v>56</v>
      </c>
      <c r="M14" s="8" t="s">
        <v>57</v>
      </c>
      <c r="N14" s="8" t="s">
        <v>58</v>
      </c>
      <c r="O14" s="8" t="s">
        <v>99</v>
      </c>
      <c r="P14" s="8"/>
      <c r="Q14" s="10"/>
      <c r="R14" s="10" t="s">
        <v>109</v>
      </c>
    </row>
    <row r="15" spans="1:18" ht="348">
      <c r="A15" s="7" t="s">
        <v>49</v>
      </c>
      <c r="B15" s="8" t="s">
        <v>110</v>
      </c>
      <c r="C15" s="8">
        <f>VALUE(RIGHT(B15,LEN(B15)-4))</f>
        <v>15</v>
      </c>
      <c r="D15" s="9">
        <v>45649</v>
      </c>
      <c r="E15" s="9">
        <v>45670</v>
      </c>
      <c r="F15" s="12"/>
      <c r="G15" s="10" t="s">
        <v>111</v>
      </c>
      <c r="H15" s="8" t="s">
        <v>107</v>
      </c>
      <c r="I15" s="8" t="s">
        <v>108</v>
      </c>
      <c r="J15" s="8" t="s">
        <v>54</v>
      </c>
      <c r="K15" s="8" t="s">
        <v>55</v>
      </c>
      <c r="L15" s="8" t="s">
        <v>56</v>
      </c>
      <c r="M15" s="8" t="s">
        <v>57</v>
      </c>
      <c r="N15" s="8" t="s">
        <v>58</v>
      </c>
      <c r="O15" s="8" t="s">
        <v>99</v>
      </c>
      <c r="P15" s="8"/>
      <c r="Q15" s="10"/>
      <c r="R15" s="10" t="s">
        <v>112</v>
      </c>
    </row>
    <row r="16" spans="1:18" ht="28.5">
      <c r="A16" s="7" t="s">
        <v>49</v>
      </c>
      <c r="B16" s="8" t="s">
        <v>113</v>
      </c>
      <c r="C16" s="8">
        <f>VALUE(RIGHT(B16,LEN(B16)-4))</f>
        <v>16</v>
      </c>
      <c r="D16" s="9">
        <v>45649</v>
      </c>
      <c r="E16" s="9">
        <v>45680</v>
      </c>
      <c r="F16" s="10"/>
      <c r="G16" s="10" t="s">
        <v>114</v>
      </c>
      <c r="H16" s="8" t="s">
        <v>75</v>
      </c>
      <c r="I16" s="8" t="s">
        <v>115</v>
      </c>
      <c r="J16" s="8" t="s">
        <v>79</v>
      </c>
      <c r="K16" s="8" t="s">
        <v>80</v>
      </c>
      <c r="L16" s="8" t="s">
        <v>56</v>
      </c>
      <c r="M16" s="8" t="s">
        <v>57</v>
      </c>
      <c r="N16" s="8" t="s">
        <v>58</v>
      </c>
      <c r="O16" s="8"/>
      <c r="P16" s="8"/>
      <c r="Q16" s="10" t="s">
        <v>116</v>
      </c>
      <c r="R16" s="10"/>
    </row>
    <row r="17" spans="1:18" ht="43.5">
      <c r="A17" s="7" t="s">
        <v>49</v>
      </c>
      <c r="B17" s="8" t="s">
        <v>117</v>
      </c>
      <c r="C17" s="8">
        <f>VALUE(RIGHT(B17,LEN(B17)-4))</f>
        <v>17</v>
      </c>
      <c r="D17" s="9">
        <v>45649</v>
      </c>
      <c r="E17" s="9">
        <v>45649</v>
      </c>
      <c r="F17" s="10"/>
      <c r="G17" s="10" t="s">
        <v>118</v>
      </c>
      <c r="H17" s="8" t="s">
        <v>75</v>
      </c>
      <c r="I17" s="8" t="s">
        <v>115</v>
      </c>
      <c r="J17" s="8" t="s">
        <v>79</v>
      </c>
      <c r="K17" s="8" t="s">
        <v>80</v>
      </c>
      <c r="L17" s="8" t="s">
        <v>56</v>
      </c>
      <c r="M17" s="8" t="s">
        <v>57</v>
      </c>
      <c r="N17" s="8" t="s">
        <v>58</v>
      </c>
      <c r="O17" s="8"/>
      <c r="P17" s="8"/>
      <c r="Q17" s="10" t="s">
        <v>116</v>
      </c>
      <c r="R17" s="10"/>
    </row>
    <row r="18" spans="1:18" ht="28.5">
      <c r="A18" s="7" t="s">
        <v>49</v>
      </c>
      <c r="B18" s="8" t="s">
        <v>119</v>
      </c>
      <c r="C18" s="8">
        <f>VALUE(RIGHT(B18,LEN(B18)-4))</f>
        <v>18</v>
      </c>
      <c r="D18" s="9">
        <v>45649</v>
      </c>
      <c r="E18" s="9">
        <v>45693</v>
      </c>
      <c r="F18" s="10"/>
      <c r="G18" s="10" t="s">
        <v>120</v>
      </c>
      <c r="H18" s="8" t="s">
        <v>66</v>
      </c>
      <c r="I18" s="8" t="s">
        <v>121</v>
      </c>
      <c r="J18" s="8" t="s">
        <v>79</v>
      </c>
      <c r="K18" s="8" t="s">
        <v>80</v>
      </c>
      <c r="L18" s="8" t="s">
        <v>56</v>
      </c>
      <c r="M18" s="8" t="s">
        <v>57</v>
      </c>
      <c r="N18" s="8" t="s">
        <v>58</v>
      </c>
      <c r="O18" s="8" t="s">
        <v>122</v>
      </c>
      <c r="P18" s="8"/>
      <c r="Q18" s="10"/>
      <c r="R18" s="10"/>
    </row>
    <row r="19" spans="1:18">
      <c r="A19" s="7" t="s">
        <v>60</v>
      </c>
      <c r="B19" s="8" t="s">
        <v>123</v>
      </c>
      <c r="C19" s="8">
        <f>VALUE(RIGHT(B19,LEN(B19)-4))</f>
        <v>19</v>
      </c>
      <c r="D19" s="9"/>
      <c r="E19" s="9"/>
      <c r="F19" s="10" t="s">
        <v>77</v>
      </c>
      <c r="G19" s="10" t="s">
        <v>124</v>
      </c>
      <c r="H19" s="8"/>
      <c r="I19" s="8"/>
      <c r="J19" s="8" t="s">
        <v>79</v>
      </c>
      <c r="K19" s="8"/>
      <c r="L19" s="8" t="s">
        <v>79</v>
      </c>
      <c r="M19" s="8" t="s">
        <v>57</v>
      </c>
      <c r="N19" s="8" t="s">
        <v>58</v>
      </c>
      <c r="O19" s="8" t="s">
        <v>59</v>
      </c>
      <c r="P19" s="8"/>
      <c r="Q19" s="10"/>
      <c r="R19" s="10" t="s">
        <v>124</v>
      </c>
    </row>
    <row r="20" spans="1:18" ht="43.5">
      <c r="A20" s="7" t="s">
        <v>49</v>
      </c>
      <c r="B20" s="8" t="s">
        <v>125</v>
      </c>
      <c r="C20" s="8">
        <f>VALUE(RIGHT(B20,LEN(B20)-4))</f>
        <v>20</v>
      </c>
      <c r="D20" s="9">
        <v>45649</v>
      </c>
      <c r="E20" s="9">
        <v>45653</v>
      </c>
      <c r="F20" s="10"/>
      <c r="G20" s="10" t="s">
        <v>126</v>
      </c>
      <c r="H20" s="8" t="s">
        <v>88</v>
      </c>
      <c r="I20" s="8" t="s">
        <v>127</v>
      </c>
      <c r="J20" s="8" t="s">
        <v>103</v>
      </c>
      <c r="K20" s="8" t="s">
        <v>80</v>
      </c>
      <c r="L20" s="8" t="s">
        <v>56</v>
      </c>
      <c r="M20" s="8" t="s">
        <v>57</v>
      </c>
      <c r="N20" s="8" t="s">
        <v>58</v>
      </c>
      <c r="O20" s="8" t="s">
        <v>99</v>
      </c>
      <c r="P20" s="8"/>
      <c r="Q20" s="10"/>
      <c r="R20" s="10" t="s">
        <v>128</v>
      </c>
    </row>
    <row r="21" spans="1:18" ht="28.5">
      <c r="A21" s="7" t="s">
        <v>60</v>
      </c>
      <c r="B21" s="8" t="s">
        <v>129</v>
      </c>
      <c r="C21" s="8">
        <f>VALUE(RIGHT(B21,LEN(B21)-4))</f>
        <v>21</v>
      </c>
      <c r="D21" s="9"/>
      <c r="E21" s="9"/>
      <c r="F21" s="10" t="s">
        <v>82</v>
      </c>
      <c r="G21" s="10" t="s">
        <v>130</v>
      </c>
      <c r="H21" s="8"/>
      <c r="I21" s="8"/>
      <c r="J21" s="8" t="s">
        <v>79</v>
      </c>
      <c r="K21" s="8"/>
      <c r="L21" s="8" t="s">
        <v>71</v>
      </c>
      <c r="M21" s="8" t="s">
        <v>57</v>
      </c>
      <c r="N21" s="8" t="s">
        <v>58</v>
      </c>
      <c r="O21" s="8" t="s">
        <v>59</v>
      </c>
      <c r="P21" s="8"/>
      <c r="Q21" s="10"/>
      <c r="R21" s="10" t="s">
        <v>130</v>
      </c>
    </row>
    <row r="22" spans="1:18" ht="43.5">
      <c r="A22" s="7" t="s">
        <v>60</v>
      </c>
      <c r="B22" s="8" t="s">
        <v>131</v>
      </c>
      <c r="C22" s="8">
        <f>VALUE(RIGHT(B22,LEN(B22)-4))</f>
        <v>22</v>
      </c>
      <c r="D22" s="9"/>
      <c r="E22" s="9"/>
      <c r="F22" s="10" t="s">
        <v>96</v>
      </c>
      <c r="G22" s="10" t="s">
        <v>132</v>
      </c>
      <c r="H22" s="8"/>
      <c r="I22" s="8"/>
      <c r="J22" s="8" t="s">
        <v>79</v>
      </c>
      <c r="K22" s="8"/>
      <c r="L22" s="8" t="s">
        <v>79</v>
      </c>
      <c r="M22" s="8" t="s">
        <v>57</v>
      </c>
      <c r="N22" s="8" t="s">
        <v>58</v>
      </c>
      <c r="O22" s="8" t="s">
        <v>99</v>
      </c>
      <c r="P22" s="8"/>
      <c r="Q22" s="10"/>
      <c r="R22" s="10" t="s">
        <v>132</v>
      </c>
    </row>
    <row r="23" spans="1:18">
      <c r="A23" s="7" t="s">
        <v>60</v>
      </c>
      <c r="B23" s="8" t="s">
        <v>133</v>
      </c>
      <c r="C23" s="8">
        <f>VALUE(RIGHT(B23,LEN(B23)-4))</f>
        <v>23</v>
      </c>
      <c r="D23" s="9"/>
      <c r="E23" s="9"/>
      <c r="F23" s="10" t="s">
        <v>105</v>
      </c>
      <c r="G23" s="10" t="s">
        <v>134</v>
      </c>
      <c r="H23" s="8"/>
      <c r="I23" s="8"/>
      <c r="J23" s="8"/>
      <c r="K23" s="8"/>
      <c r="L23" s="8" t="s">
        <v>56</v>
      </c>
      <c r="M23" s="8" t="s">
        <v>57</v>
      </c>
      <c r="N23" s="8" t="s">
        <v>58</v>
      </c>
      <c r="O23" s="8" t="s">
        <v>99</v>
      </c>
      <c r="P23" s="8"/>
      <c r="Q23" s="10"/>
      <c r="R23" s="10"/>
    </row>
    <row r="24" spans="1:18">
      <c r="A24" s="7" t="s">
        <v>60</v>
      </c>
      <c r="B24" s="8" t="s">
        <v>135</v>
      </c>
      <c r="C24" s="8">
        <f>VALUE(RIGHT(B24,LEN(B24)-4))</f>
        <v>24</v>
      </c>
      <c r="D24" s="9"/>
      <c r="E24" s="9"/>
      <c r="F24" s="10" t="s">
        <v>68</v>
      </c>
      <c r="G24" s="10" t="s">
        <v>62</v>
      </c>
      <c r="H24" s="8"/>
      <c r="I24" s="8"/>
      <c r="J24" s="8" t="s">
        <v>103</v>
      </c>
      <c r="K24" s="8"/>
      <c r="L24" s="8" t="s">
        <v>56</v>
      </c>
      <c r="M24" s="8" t="s">
        <v>57</v>
      </c>
      <c r="N24" s="8" t="s">
        <v>58</v>
      </c>
      <c r="O24" s="8" t="s">
        <v>59</v>
      </c>
      <c r="P24" s="8"/>
      <c r="Q24" s="10"/>
      <c r="R24" s="10"/>
    </row>
    <row r="25" spans="1:18" ht="28.5">
      <c r="A25" s="7" t="s">
        <v>49</v>
      </c>
      <c r="B25" s="8" t="s">
        <v>136</v>
      </c>
      <c r="C25" s="8">
        <f>VALUE(RIGHT(B25,LEN(B25)-4))</f>
        <v>25</v>
      </c>
      <c r="D25" s="9">
        <v>45652</v>
      </c>
      <c r="E25" s="9">
        <v>45672</v>
      </c>
      <c r="F25" s="10"/>
      <c r="G25" s="10" t="s">
        <v>137</v>
      </c>
      <c r="H25" s="8" t="s">
        <v>98</v>
      </c>
      <c r="I25" s="8" t="s">
        <v>89</v>
      </c>
      <c r="J25" s="8" t="s">
        <v>54</v>
      </c>
      <c r="K25" s="8" t="s">
        <v>55</v>
      </c>
      <c r="L25" s="8" t="s">
        <v>54</v>
      </c>
      <c r="M25" s="8" t="s">
        <v>57</v>
      </c>
      <c r="N25" s="8" t="s">
        <v>58</v>
      </c>
      <c r="O25" s="8" t="s">
        <v>99</v>
      </c>
      <c r="P25" s="8"/>
      <c r="Q25" s="10"/>
      <c r="R25" s="13" t="s">
        <v>138</v>
      </c>
    </row>
    <row r="26" spans="1:18" ht="130.5">
      <c r="A26" s="7" t="s">
        <v>49</v>
      </c>
      <c r="B26" s="14" t="s">
        <v>139</v>
      </c>
      <c r="C26" s="14">
        <f>VALUE(RIGHT(B26,LEN(B26)-4))</f>
        <v>26</v>
      </c>
      <c r="D26" s="15">
        <v>45652</v>
      </c>
      <c r="E26" s="15"/>
      <c r="F26" s="16"/>
      <c r="G26" s="16" t="s">
        <v>140</v>
      </c>
      <c r="H26" s="14" t="s">
        <v>107</v>
      </c>
      <c r="I26" s="14" t="s">
        <v>115</v>
      </c>
      <c r="J26" s="14" t="s">
        <v>79</v>
      </c>
      <c r="K26" s="14" t="s">
        <v>80</v>
      </c>
      <c r="L26" s="14" t="s">
        <v>56</v>
      </c>
      <c r="M26" s="14" t="s">
        <v>57</v>
      </c>
      <c r="N26" s="14" t="s">
        <v>3</v>
      </c>
      <c r="O26" s="14"/>
      <c r="P26" s="14"/>
      <c r="Q26" s="16"/>
      <c r="R26" s="16" t="s">
        <v>141</v>
      </c>
    </row>
    <row r="27" spans="1:18" ht="28.5">
      <c r="A27" s="7" t="s">
        <v>60</v>
      </c>
      <c r="B27" s="17" t="s">
        <v>142</v>
      </c>
      <c r="C27" s="17">
        <f>VALUE(RIGHT(B27,LEN(B27)-4))</f>
        <v>27</v>
      </c>
      <c r="D27" s="18"/>
      <c r="E27" s="18"/>
      <c r="F27" s="17" t="s">
        <v>139</v>
      </c>
      <c r="G27" s="19" t="s">
        <v>143</v>
      </c>
      <c r="H27" s="17"/>
      <c r="I27" s="17"/>
      <c r="J27" s="17" t="s">
        <v>79</v>
      </c>
      <c r="K27" s="17"/>
      <c r="L27" s="17" t="s">
        <v>56</v>
      </c>
      <c r="M27" s="17" t="s">
        <v>57</v>
      </c>
      <c r="N27" s="17" t="s">
        <v>144</v>
      </c>
      <c r="O27" s="17"/>
      <c r="P27" s="17"/>
      <c r="Q27" s="19"/>
      <c r="R27" s="19" t="s">
        <v>145</v>
      </c>
    </row>
    <row r="28" spans="1:18" ht="130.5">
      <c r="A28" s="7" t="s">
        <v>60</v>
      </c>
      <c r="B28" s="14" t="s">
        <v>146</v>
      </c>
      <c r="C28" s="14">
        <f>VALUE(RIGHT(B28,LEN(B28)-4))</f>
        <v>28</v>
      </c>
      <c r="D28" s="15"/>
      <c r="E28" s="15"/>
      <c r="F28" s="16" t="s">
        <v>139</v>
      </c>
      <c r="G28" s="16" t="s">
        <v>147</v>
      </c>
      <c r="H28" s="14"/>
      <c r="I28" s="14"/>
      <c r="J28" s="14" t="s">
        <v>148</v>
      </c>
      <c r="K28" s="14"/>
      <c r="L28" s="14" t="s">
        <v>56</v>
      </c>
      <c r="M28" s="14" t="s">
        <v>57</v>
      </c>
      <c r="N28" s="14" t="s">
        <v>3</v>
      </c>
      <c r="O28" s="14"/>
      <c r="P28" s="14"/>
      <c r="Q28" s="16"/>
      <c r="R28" s="16" t="s">
        <v>141</v>
      </c>
    </row>
    <row r="29" spans="1:18" ht="28.5">
      <c r="A29" s="7" t="s">
        <v>49</v>
      </c>
      <c r="B29" s="8" t="s">
        <v>149</v>
      </c>
      <c r="C29" s="14">
        <f>VALUE(RIGHT(B29,LEN(B29)-4))</f>
        <v>29</v>
      </c>
      <c r="D29" s="9">
        <v>45652</v>
      </c>
      <c r="E29" s="9"/>
      <c r="F29" s="10"/>
      <c r="G29" s="10" t="s">
        <v>150</v>
      </c>
      <c r="H29" s="8" t="s">
        <v>75</v>
      </c>
      <c r="I29" s="8" t="s">
        <v>151</v>
      </c>
      <c r="J29" s="8"/>
      <c r="K29" s="8"/>
      <c r="L29" s="8" t="s">
        <v>54</v>
      </c>
      <c r="M29" s="8" t="s">
        <v>57</v>
      </c>
      <c r="N29" s="8" t="s">
        <v>58</v>
      </c>
      <c r="O29" s="8"/>
      <c r="P29" s="8"/>
      <c r="Q29" s="10"/>
      <c r="R29" s="10" t="s">
        <v>152</v>
      </c>
    </row>
    <row r="30" spans="1:18" ht="289.5">
      <c r="A30" s="7" t="s">
        <v>60</v>
      </c>
      <c r="B30" s="8" t="s">
        <v>153</v>
      </c>
      <c r="C30" s="8">
        <f>VALUE(RIGHT(B30,LEN(B30)-4))</f>
        <v>30</v>
      </c>
      <c r="D30" s="9"/>
      <c r="E30" s="9"/>
      <c r="F30" s="10" t="s">
        <v>136</v>
      </c>
      <c r="G30" s="10" t="s">
        <v>154</v>
      </c>
      <c r="H30" s="8"/>
      <c r="I30" s="8"/>
      <c r="J30" s="8" t="s">
        <v>71</v>
      </c>
      <c r="K30" s="8"/>
      <c r="L30" s="8" t="s">
        <v>155</v>
      </c>
      <c r="M30" s="8" t="s">
        <v>57</v>
      </c>
      <c r="N30" s="8" t="s">
        <v>58</v>
      </c>
      <c r="O30" s="8" t="s">
        <v>99</v>
      </c>
      <c r="P30" s="8"/>
      <c r="Q30" s="10"/>
      <c r="R30" s="10" t="s">
        <v>156</v>
      </c>
    </row>
    <row r="31" spans="1:18">
      <c r="A31" s="7" t="s">
        <v>49</v>
      </c>
      <c r="B31" s="8" t="s">
        <v>157</v>
      </c>
      <c r="C31" s="8">
        <f>VALUE(RIGHT(B31,LEN(B31)-4))</f>
        <v>31</v>
      </c>
      <c r="D31" s="9">
        <v>45652</v>
      </c>
      <c r="E31" s="9">
        <v>45693</v>
      </c>
      <c r="F31" s="8"/>
      <c r="G31" s="8" t="s">
        <v>158</v>
      </c>
      <c r="H31" s="8" t="s">
        <v>66</v>
      </c>
      <c r="I31" s="8" t="s">
        <v>53</v>
      </c>
      <c r="J31" s="8" t="s">
        <v>71</v>
      </c>
      <c r="K31" s="8" t="s">
        <v>72</v>
      </c>
      <c r="L31" s="8" t="s">
        <v>54</v>
      </c>
      <c r="M31" s="8" t="s">
        <v>57</v>
      </c>
      <c r="N31" s="8" t="s">
        <v>58</v>
      </c>
      <c r="O31" s="8"/>
      <c r="P31" s="8"/>
      <c r="Q31" s="10"/>
      <c r="R31" s="8" t="s">
        <v>159</v>
      </c>
    </row>
    <row r="32" spans="1:18" ht="28.5">
      <c r="A32" s="7" t="s">
        <v>49</v>
      </c>
      <c r="B32" s="8" t="s">
        <v>160</v>
      </c>
      <c r="C32" s="8">
        <f>VALUE(RIGHT(B32,LEN(B32)-4))</f>
        <v>32</v>
      </c>
      <c r="D32" s="9">
        <v>45652</v>
      </c>
      <c r="E32" s="9">
        <v>45656</v>
      </c>
      <c r="F32" s="10"/>
      <c r="G32" s="10" t="s">
        <v>161</v>
      </c>
      <c r="H32" s="8" t="s">
        <v>107</v>
      </c>
      <c r="I32" s="8" t="s">
        <v>127</v>
      </c>
      <c r="J32" s="8" t="s">
        <v>103</v>
      </c>
      <c r="K32" s="8" t="s">
        <v>80</v>
      </c>
      <c r="L32" s="8" t="s">
        <v>54</v>
      </c>
      <c r="M32" s="8" t="s">
        <v>57</v>
      </c>
      <c r="N32" s="8" t="s">
        <v>58</v>
      </c>
      <c r="O32" s="8"/>
      <c r="P32" s="8"/>
      <c r="Q32" s="10"/>
      <c r="R32" s="10" t="s">
        <v>162</v>
      </c>
    </row>
    <row r="33" spans="1:18">
      <c r="A33" s="7" t="s">
        <v>60</v>
      </c>
      <c r="B33" s="8" t="s">
        <v>163</v>
      </c>
      <c r="C33" s="8">
        <f>VALUE(RIGHT(B33,LEN(B33)-4))</f>
        <v>33</v>
      </c>
      <c r="D33" s="9"/>
      <c r="E33" s="9"/>
      <c r="F33" s="10" t="s">
        <v>73</v>
      </c>
      <c r="G33" s="10" t="s">
        <v>62</v>
      </c>
      <c r="H33" s="8"/>
      <c r="I33" s="8"/>
      <c r="J33" s="8" t="s">
        <v>56</v>
      </c>
      <c r="K33" s="8"/>
      <c r="L33" s="8" t="s">
        <v>56</v>
      </c>
      <c r="M33" s="8" t="s">
        <v>57</v>
      </c>
      <c r="N33" s="8" t="s">
        <v>58</v>
      </c>
      <c r="O33" s="8" t="s">
        <v>59</v>
      </c>
      <c r="P33" s="8"/>
      <c r="Q33" s="10"/>
      <c r="R33" s="10"/>
    </row>
    <row r="34" spans="1:18" ht="304.5">
      <c r="A34" s="7" t="s">
        <v>60</v>
      </c>
      <c r="B34" s="8" t="s">
        <v>164</v>
      </c>
      <c r="C34" s="8">
        <f>VALUE(RIGHT(B34,LEN(B34)-4))</f>
        <v>34</v>
      </c>
      <c r="D34" s="9"/>
      <c r="E34" s="9"/>
      <c r="F34" s="10" t="s">
        <v>136</v>
      </c>
      <c r="G34" s="10" t="s">
        <v>154</v>
      </c>
      <c r="H34" s="8"/>
      <c r="I34" s="8"/>
      <c r="J34" s="8" t="s">
        <v>71</v>
      </c>
      <c r="K34" s="8"/>
      <c r="L34" s="8" t="s">
        <v>155</v>
      </c>
      <c r="M34" s="8" t="s">
        <v>57</v>
      </c>
      <c r="N34" s="8" t="s">
        <v>58</v>
      </c>
      <c r="O34" s="8" t="s">
        <v>99</v>
      </c>
      <c r="P34" s="8"/>
      <c r="Q34" s="10"/>
      <c r="R34" s="10" t="s">
        <v>165</v>
      </c>
    </row>
    <row r="35" spans="1:18" ht="28.5">
      <c r="A35" s="7" t="s">
        <v>60</v>
      </c>
      <c r="B35" s="8" t="s">
        <v>166</v>
      </c>
      <c r="C35" s="8">
        <f>VALUE(RIGHT(B35,LEN(B35)-4))</f>
        <v>35</v>
      </c>
      <c r="D35" s="9"/>
      <c r="E35" s="9"/>
      <c r="F35" s="10" t="s">
        <v>119</v>
      </c>
      <c r="G35" s="10" t="s">
        <v>167</v>
      </c>
      <c r="H35" s="8"/>
      <c r="I35" s="8"/>
      <c r="J35" s="8" t="s">
        <v>79</v>
      </c>
      <c r="K35" s="8"/>
      <c r="L35" s="8" t="s">
        <v>155</v>
      </c>
      <c r="M35" s="8" t="s">
        <v>57</v>
      </c>
      <c r="N35" s="8" t="s">
        <v>58</v>
      </c>
      <c r="O35" s="8" t="s">
        <v>122</v>
      </c>
      <c r="P35" s="8"/>
      <c r="Q35" s="10"/>
      <c r="R35" s="10" t="s">
        <v>167</v>
      </c>
    </row>
    <row r="36" spans="1:18" ht="28.5">
      <c r="A36" s="7" t="s">
        <v>49</v>
      </c>
      <c r="B36" s="8" t="s">
        <v>168</v>
      </c>
      <c r="C36" s="8">
        <f>VALUE(RIGHT(B36,LEN(B36)-4))</f>
        <v>36</v>
      </c>
      <c r="D36" s="9">
        <v>45653</v>
      </c>
      <c r="E36" s="9">
        <v>45653</v>
      </c>
      <c r="F36" s="10"/>
      <c r="G36" s="10" t="s">
        <v>169</v>
      </c>
      <c r="H36" s="8" t="s">
        <v>70</v>
      </c>
      <c r="I36" s="8" t="s">
        <v>67</v>
      </c>
      <c r="J36" s="8"/>
      <c r="K36" s="8"/>
      <c r="L36" s="8" t="s">
        <v>54</v>
      </c>
      <c r="M36" s="8" t="s">
        <v>57</v>
      </c>
      <c r="N36" s="8" t="s">
        <v>58</v>
      </c>
      <c r="O36" s="8"/>
      <c r="P36" s="8"/>
      <c r="Q36" s="10"/>
      <c r="R36" s="10" t="s">
        <v>170</v>
      </c>
    </row>
    <row r="37" spans="1:18" ht="72">
      <c r="A37" s="7" t="s">
        <v>171</v>
      </c>
      <c r="B37" s="8" t="s">
        <v>172</v>
      </c>
      <c r="C37" s="8">
        <f>VALUE(RIGHT(B37,LEN(B37)-4))</f>
        <v>37</v>
      </c>
      <c r="D37" s="9">
        <v>45653</v>
      </c>
      <c r="E37" s="9">
        <v>45686</v>
      </c>
      <c r="F37" s="10"/>
      <c r="G37" s="10" t="s">
        <v>173</v>
      </c>
      <c r="H37" s="8" t="s">
        <v>102</v>
      </c>
      <c r="I37" s="8" t="s">
        <v>53</v>
      </c>
      <c r="J37" s="8" t="s">
        <v>56</v>
      </c>
      <c r="K37" s="8" t="s">
        <v>80</v>
      </c>
      <c r="L37" s="8" t="s">
        <v>54</v>
      </c>
      <c r="M37" s="8" t="s">
        <v>57</v>
      </c>
      <c r="N37" s="8" t="s">
        <v>58</v>
      </c>
      <c r="O37" s="8"/>
      <c r="P37" s="8"/>
      <c r="Q37" s="10"/>
      <c r="R37" s="10" t="s">
        <v>174</v>
      </c>
    </row>
    <row r="38" spans="1:18" ht="28.5">
      <c r="A38" s="7" t="s">
        <v>49</v>
      </c>
      <c r="B38" s="8" t="s">
        <v>175</v>
      </c>
      <c r="C38" s="8">
        <f>VALUE(RIGHT(B38,LEN(B38)-4))</f>
        <v>38</v>
      </c>
      <c r="D38" s="9">
        <v>45653</v>
      </c>
      <c r="E38" s="9">
        <v>45665</v>
      </c>
      <c r="F38" s="10"/>
      <c r="G38" s="10" t="s">
        <v>176</v>
      </c>
      <c r="H38" s="8" t="s">
        <v>107</v>
      </c>
      <c r="I38" s="8" t="s">
        <v>89</v>
      </c>
      <c r="J38" s="8" t="s">
        <v>71</v>
      </c>
      <c r="K38" s="8" t="s">
        <v>72</v>
      </c>
      <c r="L38" s="8" t="s">
        <v>54</v>
      </c>
      <c r="M38" s="8" t="s">
        <v>57</v>
      </c>
      <c r="N38" s="8" t="s">
        <v>58</v>
      </c>
      <c r="O38" s="8"/>
      <c r="P38" s="8"/>
      <c r="Q38" s="10"/>
      <c r="R38" s="10" t="s">
        <v>177</v>
      </c>
    </row>
    <row r="39" spans="1:18">
      <c r="A39" s="7" t="s">
        <v>60</v>
      </c>
      <c r="B39" s="8" t="s">
        <v>178</v>
      </c>
      <c r="C39" s="8">
        <f>VALUE(RIGHT(B39,LEN(B39)-4))</f>
        <v>39</v>
      </c>
      <c r="D39" s="9"/>
      <c r="E39" s="9"/>
      <c r="F39" s="10" t="s">
        <v>91</v>
      </c>
      <c r="G39" s="10" t="s">
        <v>62</v>
      </c>
      <c r="H39" s="8"/>
      <c r="I39" s="8"/>
      <c r="J39" s="8" t="s">
        <v>56</v>
      </c>
      <c r="K39" s="8"/>
      <c r="L39" s="8" t="s">
        <v>56</v>
      </c>
      <c r="M39" s="8" t="s">
        <v>57</v>
      </c>
      <c r="N39" s="8" t="s">
        <v>58</v>
      </c>
      <c r="O39" s="8" t="s">
        <v>59</v>
      </c>
      <c r="P39" s="8"/>
      <c r="Q39" s="10"/>
      <c r="R39" s="10"/>
    </row>
    <row r="40" spans="1:18">
      <c r="A40" s="7" t="s">
        <v>60</v>
      </c>
      <c r="B40" s="8" t="s">
        <v>179</v>
      </c>
      <c r="C40" s="8">
        <f>VALUE(RIGHT(B40,LEN(B40)-4))</f>
        <v>40</v>
      </c>
      <c r="D40" s="9"/>
      <c r="E40" s="9"/>
      <c r="F40" s="10" t="s">
        <v>91</v>
      </c>
      <c r="G40" s="10" t="s">
        <v>154</v>
      </c>
      <c r="H40" s="8"/>
      <c r="I40" s="8"/>
      <c r="J40" s="8" t="s">
        <v>71</v>
      </c>
      <c r="K40" s="8"/>
      <c r="L40" s="8" t="s">
        <v>56</v>
      </c>
      <c r="M40" s="8" t="s">
        <v>57</v>
      </c>
      <c r="N40" s="8" t="s">
        <v>58</v>
      </c>
      <c r="O40" s="8" t="s">
        <v>59</v>
      </c>
      <c r="P40" s="8"/>
      <c r="Q40" s="10"/>
      <c r="R40" s="10"/>
    </row>
    <row r="41" spans="1:18">
      <c r="A41" s="7" t="s">
        <v>60</v>
      </c>
      <c r="B41" s="8" t="s">
        <v>180</v>
      </c>
      <c r="C41" s="8">
        <f>VALUE(RIGHT(B41,LEN(B41)-4))</f>
        <v>41</v>
      </c>
      <c r="D41" s="9"/>
      <c r="E41" s="9"/>
      <c r="F41" s="10" t="s">
        <v>175</v>
      </c>
      <c r="G41" s="10" t="s">
        <v>154</v>
      </c>
      <c r="H41" s="8"/>
      <c r="I41" s="8"/>
      <c r="J41" s="8" t="s">
        <v>71</v>
      </c>
      <c r="K41" s="8"/>
      <c r="L41" s="8" t="s">
        <v>155</v>
      </c>
      <c r="M41" s="8" t="s">
        <v>57</v>
      </c>
      <c r="N41" s="8" t="s">
        <v>58</v>
      </c>
      <c r="O41" s="8"/>
      <c r="P41" s="8"/>
      <c r="Q41" s="10"/>
      <c r="R41" s="10"/>
    </row>
    <row r="42" spans="1:18" ht="28.5">
      <c r="A42" s="7" t="s">
        <v>49</v>
      </c>
      <c r="B42" s="8" t="s">
        <v>181</v>
      </c>
      <c r="C42" s="14">
        <f>VALUE(RIGHT(B42,LEN(B42)-4))</f>
        <v>42</v>
      </c>
      <c r="D42" s="9">
        <v>45653</v>
      </c>
      <c r="E42" s="9"/>
      <c r="F42" s="10"/>
      <c r="G42" s="10" t="s">
        <v>182</v>
      </c>
      <c r="H42" s="8" t="s">
        <v>75</v>
      </c>
      <c r="I42" s="8" t="s">
        <v>183</v>
      </c>
      <c r="J42" s="8"/>
      <c r="K42" s="8"/>
      <c r="L42" s="8" t="s">
        <v>54</v>
      </c>
      <c r="M42" s="8" t="s">
        <v>57</v>
      </c>
      <c r="N42" s="8" t="s">
        <v>58</v>
      </c>
      <c r="O42" s="8" t="s">
        <v>184</v>
      </c>
      <c r="P42" s="8"/>
      <c r="Q42" s="10" t="s">
        <v>185</v>
      </c>
      <c r="R42" s="10" t="s">
        <v>186</v>
      </c>
    </row>
    <row r="43" spans="1:18">
      <c r="A43" s="7" t="s">
        <v>60</v>
      </c>
      <c r="B43" s="8" t="s">
        <v>187</v>
      </c>
      <c r="C43" s="8">
        <f>VALUE(RIGHT(B43,LEN(B43)-4))</f>
        <v>43</v>
      </c>
      <c r="D43" s="9"/>
      <c r="E43" s="9"/>
      <c r="F43" s="10" t="s">
        <v>91</v>
      </c>
      <c r="G43" s="10" t="s">
        <v>188</v>
      </c>
      <c r="H43" s="8"/>
      <c r="I43" s="8"/>
      <c r="J43" s="8"/>
      <c r="K43" s="8"/>
      <c r="L43" s="8" t="s">
        <v>71</v>
      </c>
      <c r="M43" s="8" t="s">
        <v>57</v>
      </c>
      <c r="N43" s="8" t="s">
        <v>58</v>
      </c>
      <c r="O43" s="8" t="s">
        <v>59</v>
      </c>
      <c r="P43" s="8"/>
      <c r="Q43" s="10"/>
      <c r="R43" s="10"/>
    </row>
    <row r="44" spans="1:18" ht="275.25">
      <c r="A44" s="7" t="s">
        <v>60</v>
      </c>
      <c r="B44" s="14" t="s">
        <v>189</v>
      </c>
      <c r="C44" s="14">
        <f>VALUE(RIGHT(B44,LEN(B44)-4))</f>
        <v>44</v>
      </c>
      <c r="D44" s="15"/>
      <c r="E44" s="15"/>
      <c r="F44" s="16" t="s">
        <v>68</v>
      </c>
      <c r="G44" s="16" t="s">
        <v>154</v>
      </c>
      <c r="H44" s="14"/>
      <c r="I44" s="14"/>
      <c r="J44" s="14" t="s">
        <v>71</v>
      </c>
      <c r="K44" s="14"/>
      <c r="L44" s="14" t="s">
        <v>155</v>
      </c>
      <c r="M44" s="14" t="s">
        <v>57</v>
      </c>
      <c r="N44" s="14" t="s">
        <v>3</v>
      </c>
      <c r="O44" s="14" t="s">
        <v>59</v>
      </c>
      <c r="P44" s="14"/>
      <c r="Q44" s="16"/>
      <c r="R44" s="16" t="s">
        <v>190</v>
      </c>
    </row>
    <row r="45" spans="1:18" ht="43.5">
      <c r="A45" s="7" t="s">
        <v>49</v>
      </c>
      <c r="B45" s="8" t="s">
        <v>191</v>
      </c>
      <c r="C45" s="8">
        <f>VALUE(RIGHT(B45,LEN(B45)-4))</f>
        <v>45</v>
      </c>
      <c r="D45" s="9">
        <v>45656</v>
      </c>
      <c r="E45" s="9">
        <v>45665</v>
      </c>
      <c r="F45" s="10"/>
      <c r="G45" s="10" t="s">
        <v>192</v>
      </c>
      <c r="H45" s="8" t="s">
        <v>75</v>
      </c>
      <c r="I45" s="8" t="s">
        <v>53</v>
      </c>
      <c r="J45" s="8" t="s">
        <v>71</v>
      </c>
      <c r="K45" s="8" t="s">
        <v>72</v>
      </c>
      <c r="L45" s="8" t="s">
        <v>54</v>
      </c>
      <c r="M45" s="8" t="s">
        <v>57</v>
      </c>
      <c r="N45" s="8" t="s">
        <v>58</v>
      </c>
      <c r="O45" s="8"/>
      <c r="P45" s="8"/>
      <c r="Q45" s="10"/>
      <c r="R45" s="10" t="s">
        <v>193</v>
      </c>
    </row>
    <row r="46" spans="1:18" ht="72">
      <c r="A46" s="7" t="s">
        <v>49</v>
      </c>
      <c r="B46" s="8" t="s">
        <v>194</v>
      </c>
      <c r="C46" s="8">
        <f>VALUE(RIGHT(B46,LEN(B46)-4))</f>
        <v>46</v>
      </c>
      <c r="D46" s="9">
        <v>45656</v>
      </c>
      <c r="E46" s="9">
        <v>45680</v>
      </c>
      <c r="F46" s="10"/>
      <c r="G46" s="10" t="s">
        <v>195</v>
      </c>
      <c r="H46" s="8" t="s">
        <v>107</v>
      </c>
      <c r="I46" s="8" t="s">
        <v>127</v>
      </c>
      <c r="J46" s="8" t="s">
        <v>71</v>
      </c>
      <c r="K46" s="8" t="s">
        <v>72</v>
      </c>
      <c r="L46" s="8" t="s">
        <v>54</v>
      </c>
      <c r="M46" s="8" t="s">
        <v>57</v>
      </c>
      <c r="N46" s="8" t="s">
        <v>58</v>
      </c>
      <c r="O46" s="8"/>
      <c r="P46" s="8"/>
      <c r="Q46" s="10"/>
      <c r="R46" s="10" t="s">
        <v>196</v>
      </c>
    </row>
    <row r="47" spans="1:18" ht="289.5">
      <c r="A47" s="7" t="s">
        <v>49</v>
      </c>
      <c r="B47" s="8" t="s">
        <v>197</v>
      </c>
      <c r="C47" s="8">
        <f>VALUE(RIGHT(B47,LEN(B47)-4))</f>
        <v>47</v>
      </c>
      <c r="D47" s="9">
        <v>45656</v>
      </c>
      <c r="E47" s="9">
        <v>45660</v>
      </c>
      <c r="F47" s="10"/>
      <c r="G47" s="10" t="s">
        <v>198</v>
      </c>
      <c r="H47" s="8" t="s">
        <v>107</v>
      </c>
      <c r="I47" s="8" t="s">
        <v>53</v>
      </c>
      <c r="J47" s="8" t="s">
        <v>103</v>
      </c>
      <c r="K47" s="8" t="s">
        <v>80</v>
      </c>
      <c r="L47" s="8" t="s">
        <v>54</v>
      </c>
      <c r="M47" s="8" t="s">
        <v>57</v>
      </c>
      <c r="N47" s="8" t="s">
        <v>58</v>
      </c>
      <c r="O47" s="8"/>
      <c r="P47" s="8"/>
      <c r="Q47" s="10"/>
      <c r="R47" s="10" t="s">
        <v>199</v>
      </c>
    </row>
    <row r="48" spans="1:18" ht="57.75">
      <c r="A48" s="7" t="s">
        <v>49</v>
      </c>
      <c r="B48" s="8" t="s">
        <v>200</v>
      </c>
      <c r="C48" s="8">
        <f>VALUE(RIGHT(B48,LEN(B48)-4))</f>
        <v>48</v>
      </c>
      <c r="D48" s="9">
        <v>45656</v>
      </c>
      <c r="E48" s="9">
        <v>45680</v>
      </c>
      <c r="F48" s="10"/>
      <c r="G48" s="10" t="s">
        <v>201</v>
      </c>
      <c r="H48" s="8" t="s">
        <v>102</v>
      </c>
      <c r="I48" s="8" t="s">
        <v>67</v>
      </c>
      <c r="J48" s="8" t="s">
        <v>202</v>
      </c>
      <c r="K48" s="8" t="s">
        <v>55</v>
      </c>
      <c r="L48" s="8" t="s">
        <v>54</v>
      </c>
      <c r="M48" s="8" t="s">
        <v>57</v>
      </c>
      <c r="N48" s="8" t="s">
        <v>58</v>
      </c>
      <c r="O48" s="8" t="s">
        <v>122</v>
      </c>
      <c r="P48" s="8"/>
      <c r="Q48" s="10"/>
      <c r="R48" s="10" t="s">
        <v>203</v>
      </c>
    </row>
    <row r="49" spans="1:18" ht="28.5">
      <c r="A49" s="7" t="s">
        <v>49</v>
      </c>
      <c r="B49" s="8" t="s">
        <v>204</v>
      </c>
      <c r="C49" s="8">
        <f>VALUE(RIGHT(B49,LEN(B49)-4))</f>
        <v>49</v>
      </c>
      <c r="D49" s="9">
        <v>45656</v>
      </c>
      <c r="E49" s="9">
        <v>45656</v>
      </c>
      <c r="F49" s="10"/>
      <c r="G49" s="10" t="s">
        <v>205</v>
      </c>
      <c r="H49" s="8" t="s">
        <v>52</v>
      </c>
      <c r="I49" s="8" t="s">
        <v>108</v>
      </c>
      <c r="J49" s="8"/>
      <c r="K49" s="8"/>
      <c r="L49" s="8" t="s">
        <v>54</v>
      </c>
      <c r="M49" s="8" t="s">
        <v>57</v>
      </c>
      <c r="N49" s="8" t="s">
        <v>58</v>
      </c>
      <c r="O49" s="8"/>
      <c r="P49" s="8"/>
      <c r="Q49" s="10"/>
      <c r="R49" s="10" t="s">
        <v>206</v>
      </c>
    </row>
    <row r="50" spans="1:18" ht="43.5">
      <c r="A50" s="7" t="s">
        <v>49</v>
      </c>
      <c r="B50" s="8" t="s">
        <v>207</v>
      </c>
      <c r="C50" s="8">
        <f>VALUE(RIGHT(B50,LEN(B50)-4))</f>
        <v>50</v>
      </c>
      <c r="D50" s="9">
        <v>45656</v>
      </c>
      <c r="E50" s="9">
        <v>45678</v>
      </c>
      <c r="F50" s="10"/>
      <c r="G50" s="10" t="s">
        <v>208</v>
      </c>
      <c r="H50" s="8" t="s">
        <v>52</v>
      </c>
      <c r="I50" s="8" t="s">
        <v>89</v>
      </c>
      <c r="J50" s="8" t="s">
        <v>71</v>
      </c>
      <c r="K50" s="8" t="s">
        <v>72</v>
      </c>
      <c r="L50" s="8" t="s">
        <v>54</v>
      </c>
      <c r="M50" s="8" t="s">
        <v>57</v>
      </c>
      <c r="N50" s="8" t="s">
        <v>58</v>
      </c>
      <c r="O50" s="8"/>
      <c r="P50" s="8"/>
      <c r="Q50" s="10"/>
      <c r="R50" s="10" t="s">
        <v>209</v>
      </c>
    </row>
    <row r="51" spans="1:18" ht="87">
      <c r="A51" s="7" t="s">
        <v>49</v>
      </c>
      <c r="B51" s="8" t="s">
        <v>210</v>
      </c>
      <c r="C51" s="8">
        <f>VALUE(RIGHT(B51,LEN(B51)-4))</f>
        <v>51</v>
      </c>
      <c r="D51" s="9">
        <v>45656</v>
      </c>
      <c r="E51" s="9">
        <v>45656</v>
      </c>
      <c r="F51" s="10"/>
      <c r="G51" s="10" t="s">
        <v>211</v>
      </c>
      <c r="H51" s="8" t="s">
        <v>52</v>
      </c>
      <c r="I51" s="8" t="s">
        <v>212</v>
      </c>
      <c r="J51" s="8"/>
      <c r="K51" s="8"/>
      <c r="L51" s="8" t="s">
        <v>54</v>
      </c>
      <c r="M51" s="8" t="s">
        <v>57</v>
      </c>
      <c r="N51" s="8" t="s">
        <v>58</v>
      </c>
      <c r="O51" s="8"/>
      <c r="P51" s="8"/>
      <c r="Q51" s="10"/>
      <c r="R51" s="10" t="s">
        <v>213</v>
      </c>
    </row>
    <row r="52" spans="1:18" ht="43.5">
      <c r="A52" s="7" t="s">
        <v>49</v>
      </c>
      <c r="B52" s="8" t="s">
        <v>214</v>
      </c>
      <c r="C52" s="8">
        <f>VALUE(RIGHT(B52,LEN(B52)-4))</f>
        <v>52</v>
      </c>
      <c r="D52" s="9">
        <v>45656</v>
      </c>
      <c r="E52" s="9">
        <v>45696</v>
      </c>
      <c r="F52" s="10"/>
      <c r="G52" s="10" t="s">
        <v>215</v>
      </c>
      <c r="H52" s="8" t="s">
        <v>66</v>
      </c>
      <c r="I52" s="8" t="s">
        <v>216</v>
      </c>
      <c r="J52" s="8" t="s">
        <v>71</v>
      </c>
      <c r="K52" s="8" t="s">
        <v>72</v>
      </c>
      <c r="L52" s="8" t="s">
        <v>79</v>
      </c>
      <c r="M52" s="8" t="s">
        <v>57</v>
      </c>
      <c r="N52" s="8" t="s">
        <v>58</v>
      </c>
      <c r="O52" s="8" t="s">
        <v>122</v>
      </c>
      <c r="P52" s="8"/>
      <c r="Q52" s="20"/>
      <c r="R52" s="20" t="s">
        <v>217</v>
      </c>
    </row>
    <row r="53" spans="1:18" ht="43.5">
      <c r="A53" s="7" t="s">
        <v>60</v>
      </c>
      <c r="B53" s="8" t="s">
        <v>218</v>
      </c>
      <c r="C53" s="8">
        <f>VALUE(RIGHT(B53,LEN(B53)-4))</f>
        <v>53</v>
      </c>
      <c r="D53" s="9"/>
      <c r="E53" s="9"/>
      <c r="F53" s="8" t="s">
        <v>214</v>
      </c>
      <c r="G53" s="10" t="s">
        <v>219</v>
      </c>
      <c r="H53" s="8"/>
      <c r="I53" s="8"/>
      <c r="J53" s="8"/>
      <c r="K53" s="8"/>
      <c r="L53" s="8" t="s">
        <v>79</v>
      </c>
      <c r="M53" s="8" t="s">
        <v>57</v>
      </c>
      <c r="N53" s="8" t="s">
        <v>58</v>
      </c>
      <c r="O53" s="8" t="s">
        <v>122</v>
      </c>
      <c r="P53" s="8"/>
      <c r="Q53" s="10"/>
      <c r="R53" s="10" t="s">
        <v>217</v>
      </c>
    </row>
    <row r="54" spans="1:18" ht="43.5">
      <c r="A54" s="7" t="s">
        <v>60</v>
      </c>
      <c r="B54" s="14" t="s">
        <v>220</v>
      </c>
      <c r="C54" s="14">
        <f>VALUE(RIGHT(B54,LEN(B54)-4))</f>
        <v>54</v>
      </c>
      <c r="D54" s="15"/>
      <c r="E54" s="15"/>
      <c r="F54" s="16" t="s">
        <v>214</v>
      </c>
      <c r="G54" s="16" t="s">
        <v>221</v>
      </c>
      <c r="H54" s="14"/>
      <c r="I54" s="14"/>
      <c r="J54" s="14" t="s">
        <v>222</v>
      </c>
      <c r="K54" s="14"/>
      <c r="L54" s="14" t="s">
        <v>79</v>
      </c>
      <c r="M54" s="14" t="s">
        <v>57</v>
      </c>
      <c r="N54" s="14" t="s">
        <v>3</v>
      </c>
      <c r="O54" s="14" t="s">
        <v>122</v>
      </c>
      <c r="P54" s="14"/>
      <c r="Q54" s="16"/>
      <c r="R54" s="16" t="s">
        <v>217</v>
      </c>
    </row>
    <row r="55" spans="1:18" ht="57.75">
      <c r="A55" s="7" t="s">
        <v>49</v>
      </c>
      <c r="B55" s="21" t="s">
        <v>223</v>
      </c>
      <c r="C55" s="21">
        <f>VALUE(RIGHT(B55,LEN(B55)-4))</f>
        <v>55</v>
      </c>
      <c r="D55" s="22">
        <v>45656</v>
      </c>
      <c r="E55" s="22">
        <v>45735</v>
      </c>
      <c r="F55" s="20"/>
      <c r="G55" s="20" t="s">
        <v>224</v>
      </c>
      <c r="H55" s="21" t="s">
        <v>225</v>
      </c>
      <c r="I55" s="21" t="s">
        <v>226</v>
      </c>
      <c r="J55" s="21" t="s">
        <v>103</v>
      </c>
      <c r="K55" s="21" t="s">
        <v>80</v>
      </c>
      <c r="L55" s="21" t="s">
        <v>71</v>
      </c>
      <c r="M55" s="21" t="s">
        <v>227</v>
      </c>
      <c r="N55" s="21" t="s">
        <v>14</v>
      </c>
      <c r="O55" s="21" t="s">
        <v>228</v>
      </c>
      <c r="P55" s="21"/>
      <c r="Q55" s="20"/>
      <c r="R55" s="20" t="s">
        <v>229</v>
      </c>
    </row>
    <row r="56" spans="1:18" ht="57.75">
      <c r="A56" s="7" t="s">
        <v>49</v>
      </c>
      <c r="B56" s="8" t="s">
        <v>230</v>
      </c>
      <c r="C56" s="8">
        <f>VALUE(RIGHT(B56,LEN(B56)-4))</f>
        <v>56</v>
      </c>
      <c r="D56" s="9">
        <v>45659</v>
      </c>
      <c r="E56" s="9">
        <v>45663</v>
      </c>
      <c r="F56" s="10"/>
      <c r="G56" s="10" t="s">
        <v>231</v>
      </c>
      <c r="H56" s="8" t="s">
        <v>52</v>
      </c>
      <c r="I56" s="8" t="s">
        <v>89</v>
      </c>
      <c r="J56" s="8"/>
      <c r="K56" s="8"/>
      <c r="L56" s="8" t="s">
        <v>54</v>
      </c>
      <c r="M56" s="8" t="s">
        <v>57</v>
      </c>
      <c r="N56" s="8" t="s">
        <v>58</v>
      </c>
      <c r="O56" s="8"/>
      <c r="P56" s="8"/>
      <c r="Q56" s="10"/>
      <c r="R56" s="10" t="s">
        <v>232</v>
      </c>
    </row>
    <row r="57" spans="1:18" ht="28.5">
      <c r="A57" s="7" t="s">
        <v>49</v>
      </c>
      <c r="B57" s="8" t="s">
        <v>233</v>
      </c>
      <c r="C57" s="8">
        <f>VALUE(RIGHT(B57,LEN(B57)-4))</f>
        <v>57</v>
      </c>
      <c r="D57" s="9">
        <v>45659</v>
      </c>
      <c r="E57" s="9">
        <v>45667</v>
      </c>
      <c r="F57" s="10"/>
      <c r="G57" s="10" t="s">
        <v>234</v>
      </c>
      <c r="H57" s="8" t="s">
        <v>75</v>
      </c>
      <c r="I57" s="8" t="s">
        <v>235</v>
      </c>
      <c r="J57" s="8"/>
      <c r="K57" s="8"/>
      <c r="L57" s="8" t="s">
        <v>54</v>
      </c>
      <c r="M57" s="8" t="s">
        <v>57</v>
      </c>
      <c r="N57" s="8" t="s">
        <v>58</v>
      </c>
      <c r="O57" s="8"/>
      <c r="P57" s="8"/>
      <c r="Q57" s="10"/>
      <c r="R57" s="10" t="s">
        <v>236</v>
      </c>
    </row>
    <row r="58" spans="1:18" ht="28.5">
      <c r="A58" s="7" t="s">
        <v>60</v>
      </c>
      <c r="B58" s="8" t="s">
        <v>237</v>
      </c>
      <c r="C58" s="8">
        <f>VALUE(RIGHT(B58,LEN(B58)-4))</f>
        <v>58</v>
      </c>
      <c r="D58" s="9"/>
      <c r="E58" s="9"/>
      <c r="F58" s="10" t="s">
        <v>110</v>
      </c>
      <c r="G58" s="10" t="s">
        <v>238</v>
      </c>
      <c r="H58" s="8"/>
      <c r="I58" s="8"/>
      <c r="J58" s="8" t="s">
        <v>71</v>
      </c>
      <c r="K58" s="8"/>
      <c r="L58" s="8" t="s">
        <v>155</v>
      </c>
      <c r="M58" s="8" t="s">
        <v>57</v>
      </c>
      <c r="N58" s="8" t="s">
        <v>58</v>
      </c>
      <c r="O58" s="8"/>
      <c r="P58" s="8"/>
      <c r="Q58" s="10"/>
      <c r="R58" s="10"/>
    </row>
    <row r="59" spans="1:18" ht="28.5">
      <c r="A59" s="7" t="s">
        <v>49</v>
      </c>
      <c r="B59" s="8" t="s">
        <v>239</v>
      </c>
      <c r="C59" s="8">
        <f>VALUE(RIGHT(B59,LEN(B59)-4))</f>
        <v>59</v>
      </c>
      <c r="D59" s="9">
        <v>45659</v>
      </c>
      <c r="E59" s="9">
        <v>45677</v>
      </c>
      <c r="F59" s="10"/>
      <c r="G59" s="10" t="s">
        <v>240</v>
      </c>
      <c r="H59" s="8" t="s">
        <v>88</v>
      </c>
      <c r="I59" s="8" t="s">
        <v>127</v>
      </c>
      <c r="J59" s="8" t="s">
        <v>222</v>
      </c>
      <c r="K59" s="8" t="s">
        <v>80</v>
      </c>
      <c r="L59" s="8" t="s">
        <v>54</v>
      </c>
      <c r="M59" s="8" t="s">
        <v>241</v>
      </c>
      <c r="N59" s="8" t="s">
        <v>58</v>
      </c>
      <c r="O59" s="8"/>
      <c r="P59" s="8"/>
      <c r="Q59" s="10"/>
      <c r="R59" s="10" t="s">
        <v>242</v>
      </c>
    </row>
    <row r="60" spans="1:18">
      <c r="A60" s="7" t="s">
        <v>49</v>
      </c>
      <c r="B60" s="8" t="s">
        <v>243</v>
      </c>
      <c r="C60" s="8">
        <f>VALUE(RIGHT(B60,LEN(B60)-4))</f>
        <v>60</v>
      </c>
      <c r="D60" s="9">
        <v>45659</v>
      </c>
      <c r="E60" s="9">
        <v>45679</v>
      </c>
      <c r="F60" s="10"/>
      <c r="G60" s="10" t="s">
        <v>244</v>
      </c>
      <c r="H60" s="8" t="s">
        <v>102</v>
      </c>
      <c r="I60" s="8" t="s">
        <v>245</v>
      </c>
      <c r="J60" s="8" t="s">
        <v>71</v>
      </c>
      <c r="K60" s="8" t="s">
        <v>72</v>
      </c>
      <c r="L60" s="8" t="s">
        <v>71</v>
      </c>
      <c r="M60" s="8" t="s">
        <v>227</v>
      </c>
      <c r="N60" s="8" t="s">
        <v>58</v>
      </c>
      <c r="O60" s="8"/>
      <c r="P60" s="8"/>
      <c r="Q60" s="19"/>
      <c r="R60" s="19" t="s">
        <v>246</v>
      </c>
    </row>
    <row r="61" spans="1:18">
      <c r="A61" s="7" t="s">
        <v>60</v>
      </c>
      <c r="B61" s="8" t="s">
        <v>247</v>
      </c>
      <c r="C61" s="8">
        <f>VALUE(RIGHT(B61,LEN(B61)-4))</f>
        <v>61</v>
      </c>
      <c r="D61" s="9"/>
      <c r="E61" s="9"/>
      <c r="F61" s="10" t="s">
        <v>243</v>
      </c>
      <c r="G61" s="10" t="s">
        <v>248</v>
      </c>
      <c r="H61" s="8"/>
      <c r="I61" s="8"/>
      <c r="J61" s="8"/>
      <c r="K61" s="8"/>
      <c r="L61" s="8" t="s">
        <v>71</v>
      </c>
      <c r="M61" s="8" t="s">
        <v>57</v>
      </c>
      <c r="N61" s="8" t="s">
        <v>58</v>
      </c>
      <c r="O61" s="8"/>
      <c r="P61" s="8"/>
      <c r="Q61" s="10"/>
      <c r="R61" s="10"/>
    </row>
    <row r="62" spans="1:18" ht="28.5">
      <c r="A62" s="7" t="s">
        <v>60</v>
      </c>
      <c r="B62" s="14" t="s">
        <v>249</v>
      </c>
      <c r="C62" s="14">
        <f>VALUE(RIGHT(B62,LEN(B62)-4))</f>
        <v>62</v>
      </c>
      <c r="D62" s="15"/>
      <c r="E62" s="15"/>
      <c r="F62" s="16" t="s">
        <v>243</v>
      </c>
      <c r="G62" s="16" t="s">
        <v>250</v>
      </c>
      <c r="H62" s="14"/>
      <c r="I62" s="14"/>
      <c r="J62" s="14"/>
      <c r="K62" s="14"/>
      <c r="L62" s="14" t="s">
        <v>71</v>
      </c>
      <c r="M62" s="14" t="s">
        <v>57</v>
      </c>
      <c r="N62" s="14" t="s">
        <v>3</v>
      </c>
      <c r="O62" s="14"/>
      <c r="P62" s="14"/>
      <c r="Q62" s="16"/>
      <c r="R62" s="16"/>
    </row>
    <row r="63" spans="1:18">
      <c r="A63" s="7" t="s">
        <v>60</v>
      </c>
      <c r="B63" s="14" t="s">
        <v>251</v>
      </c>
      <c r="C63" s="14">
        <f>VALUE(RIGHT(B63,LEN(B63)-4))</f>
        <v>63</v>
      </c>
      <c r="D63" s="15"/>
      <c r="E63" s="15"/>
      <c r="F63" s="16" t="s">
        <v>243</v>
      </c>
      <c r="G63" s="16" t="s">
        <v>252</v>
      </c>
      <c r="H63" s="14"/>
      <c r="I63" s="14"/>
      <c r="J63" s="14"/>
      <c r="K63" s="14"/>
      <c r="L63" s="14" t="s">
        <v>71</v>
      </c>
      <c r="M63" s="14" t="s">
        <v>57</v>
      </c>
      <c r="N63" s="14" t="s">
        <v>3</v>
      </c>
      <c r="O63" s="14"/>
      <c r="P63" s="14"/>
      <c r="Q63" s="16"/>
      <c r="R63" s="16"/>
    </row>
    <row r="64" spans="1:18">
      <c r="A64" s="7" t="s">
        <v>60</v>
      </c>
      <c r="B64" s="14" t="s">
        <v>253</v>
      </c>
      <c r="C64" s="14">
        <f>VALUE(RIGHT(B64,LEN(B64)-4))</f>
        <v>64</v>
      </c>
      <c r="D64" s="15"/>
      <c r="E64" s="15"/>
      <c r="F64" s="16" t="s">
        <v>243</v>
      </c>
      <c r="G64" s="16" t="s">
        <v>254</v>
      </c>
      <c r="H64" s="14"/>
      <c r="I64" s="14"/>
      <c r="J64" s="14"/>
      <c r="K64" s="14"/>
      <c r="L64" s="14" t="s">
        <v>71</v>
      </c>
      <c r="M64" s="14" t="s">
        <v>57</v>
      </c>
      <c r="N64" s="14" t="s">
        <v>3</v>
      </c>
      <c r="O64" s="14"/>
      <c r="P64" s="14"/>
      <c r="Q64" s="16"/>
      <c r="R64" s="16"/>
    </row>
    <row r="65" spans="1:18">
      <c r="A65" s="7" t="s">
        <v>60</v>
      </c>
      <c r="B65" s="14" t="s">
        <v>255</v>
      </c>
      <c r="C65" s="14">
        <f>VALUE(RIGHT(B65,LEN(B65)-4))</f>
        <v>65</v>
      </c>
      <c r="D65" s="15"/>
      <c r="E65" s="15"/>
      <c r="F65" s="16" t="s">
        <v>243</v>
      </c>
      <c r="G65" s="16" t="s">
        <v>256</v>
      </c>
      <c r="H65" s="14"/>
      <c r="I65" s="14"/>
      <c r="J65" s="14"/>
      <c r="K65" s="14"/>
      <c r="L65" s="14" t="s">
        <v>71</v>
      </c>
      <c r="M65" s="14" t="s">
        <v>57</v>
      </c>
      <c r="N65" s="14" t="s">
        <v>3</v>
      </c>
      <c r="O65" s="14"/>
      <c r="P65" s="14"/>
      <c r="Q65" s="16"/>
      <c r="R65" s="16"/>
    </row>
    <row r="66" spans="1:18" ht="28.5">
      <c r="A66" s="7" t="s">
        <v>60</v>
      </c>
      <c r="B66" s="14" t="s">
        <v>257</v>
      </c>
      <c r="C66" s="14">
        <f>VALUE(RIGHT(B66,LEN(B66)-4))</f>
        <v>66</v>
      </c>
      <c r="D66" s="15"/>
      <c r="E66" s="15"/>
      <c r="F66" s="16" t="s">
        <v>243</v>
      </c>
      <c r="G66" s="16" t="s">
        <v>258</v>
      </c>
      <c r="H66" s="14"/>
      <c r="I66" s="14"/>
      <c r="J66" s="14"/>
      <c r="K66" s="14"/>
      <c r="L66" s="14" t="s">
        <v>71</v>
      </c>
      <c r="M66" s="14" t="s">
        <v>57</v>
      </c>
      <c r="N66" s="14" t="s">
        <v>3</v>
      </c>
      <c r="O66" s="14"/>
      <c r="P66" s="14"/>
      <c r="Q66" s="16"/>
      <c r="R66" s="16"/>
    </row>
    <row r="67" spans="1:18">
      <c r="A67" s="7" t="s">
        <v>60</v>
      </c>
      <c r="B67" s="14" t="s">
        <v>259</v>
      </c>
      <c r="C67" s="14">
        <f>VALUE(RIGHT(B67,LEN(B67)-4))</f>
        <v>67</v>
      </c>
      <c r="D67" s="15"/>
      <c r="E67" s="15"/>
      <c r="F67" s="16" t="s">
        <v>214</v>
      </c>
      <c r="G67" s="16" t="s">
        <v>260</v>
      </c>
      <c r="H67" s="14"/>
      <c r="I67" s="14"/>
      <c r="J67" s="14"/>
      <c r="K67" s="14"/>
      <c r="L67" s="14" t="s">
        <v>71</v>
      </c>
      <c r="M67" s="14" t="s">
        <v>57</v>
      </c>
      <c r="N67" s="14" t="s">
        <v>3</v>
      </c>
      <c r="O67" s="14" t="s">
        <v>122</v>
      </c>
      <c r="P67" s="14"/>
      <c r="Q67" s="16"/>
      <c r="R67" s="16"/>
    </row>
    <row r="68" spans="1:18">
      <c r="A68" s="7" t="s">
        <v>60</v>
      </c>
      <c r="B68" s="14" t="s">
        <v>261</v>
      </c>
      <c r="C68" s="14">
        <f>VALUE(RIGHT(B68,LEN(B68)-4))</f>
        <v>68</v>
      </c>
      <c r="D68" s="15"/>
      <c r="E68" s="15"/>
      <c r="F68" s="16" t="s">
        <v>214</v>
      </c>
      <c r="G68" s="16" t="s">
        <v>262</v>
      </c>
      <c r="H68" s="14"/>
      <c r="I68" s="14"/>
      <c r="J68" s="14"/>
      <c r="K68" s="14"/>
      <c r="L68" s="14" t="s">
        <v>71</v>
      </c>
      <c r="M68" s="14" t="s">
        <v>57</v>
      </c>
      <c r="N68" s="14" t="s">
        <v>3</v>
      </c>
      <c r="O68" s="14" t="s">
        <v>122</v>
      </c>
      <c r="P68" s="14"/>
      <c r="Q68" s="16"/>
      <c r="R68" s="16"/>
    </row>
    <row r="69" spans="1:18" ht="115.5">
      <c r="A69" s="7" t="s">
        <v>49</v>
      </c>
      <c r="B69" s="14" t="s">
        <v>263</v>
      </c>
      <c r="C69" s="14">
        <f>VALUE(RIGHT(B69,LEN(B69)-4))</f>
        <v>69</v>
      </c>
      <c r="D69" s="23">
        <v>45660</v>
      </c>
      <c r="E69" s="15"/>
      <c r="F69" s="16"/>
      <c r="G69" s="16" t="s">
        <v>264</v>
      </c>
      <c r="H69" s="14" t="s">
        <v>75</v>
      </c>
      <c r="I69" s="14" t="s">
        <v>235</v>
      </c>
      <c r="J69" s="14"/>
      <c r="K69" s="14"/>
      <c r="L69" s="14" t="s">
        <v>54</v>
      </c>
      <c r="M69" s="14" t="s">
        <v>241</v>
      </c>
      <c r="N69" s="14" t="s">
        <v>3</v>
      </c>
      <c r="O69" s="14"/>
      <c r="P69" s="14"/>
      <c r="Q69" s="24" t="s">
        <v>265</v>
      </c>
      <c r="R69" s="16" t="s">
        <v>266</v>
      </c>
    </row>
    <row r="70" spans="1:18" ht="28.5">
      <c r="A70" s="7" t="s">
        <v>49</v>
      </c>
      <c r="B70" s="14" t="s">
        <v>267</v>
      </c>
      <c r="C70" s="14">
        <f>VALUE(RIGHT(B70,LEN(B70)-4))</f>
        <v>70</v>
      </c>
      <c r="D70" s="23">
        <v>45660</v>
      </c>
      <c r="E70" s="15"/>
      <c r="F70" s="16"/>
      <c r="G70" s="16" t="s">
        <v>268</v>
      </c>
      <c r="H70" s="14" t="s">
        <v>75</v>
      </c>
      <c r="I70" s="14" t="s">
        <v>235</v>
      </c>
      <c r="J70" s="14"/>
      <c r="K70" s="14"/>
      <c r="L70" s="14" t="s">
        <v>54</v>
      </c>
      <c r="M70" s="14" t="s">
        <v>241</v>
      </c>
      <c r="N70" s="14" t="s">
        <v>3</v>
      </c>
      <c r="O70" s="14"/>
      <c r="P70" s="14"/>
      <c r="Q70" s="24" t="s">
        <v>269</v>
      </c>
      <c r="R70" s="16"/>
    </row>
    <row r="71" spans="1:18" ht="43.5">
      <c r="A71" s="7" t="s">
        <v>49</v>
      </c>
      <c r="B71" s="14" t="s">
        <v>270</v>
      </c>
      <c r="C71" s="14">
        <f>VALUE(RIGHT(B71,LEN(B71)-4))</f>
        <v>71</v>
      </c>
      <c r="D71" s="23">
        <v>45660</v>
      </c>
      <c r="E71" s="15"/>
      <c r="F71" s="16"/>
      <c r="G71" s="16" t="s">
        <v>271</v>
      </c>
      <c r="H71" s="14" t="s">
        <v>75</v>
      </c>
      <c r="I71" s="14" t="s">
        <v>235</v>
      </c>
      <c r="J71" s="14"/>
      <c r="K71" s="14"/>
      <c r="L71" s="14" t="s">
        <v>54</v>
      </c>
      <c r="M71" s="14" t="s">
        <v>241</v>
      </c>
      <c r="N71" s="14" t="s">
        <v>3</v>
      </c>
      <c r="O71" s="14"/>
      <c r="P71" s="14"/>
      <c r="Q71" s="24" t="s">
        <v>269</v>
      </c>
      <c r="R71" s="16"/>
    </row>
    <row r="72" spans="1:18" ht="28.5">
      <c r="A72" s="7" t="s">
        <v>49</v>
      </c>
      <c r="B72" s="17" t="s">
        <v>272</v>
      </c>
      <c r="C72" s="17">
        <f>VALUE(RIGHT(B72,LEN(B72)-4))</f>
        <v>72</v>
      </c>
      <c r="D72" s="18">
        <v>45660</v>
      </c>
      <c r="E72" s="18"/>
      <c r="F72" s="19"/>
      <c r="G72" s="19" t="s">
        <v>273</v>
      </c>
      <c r="H72" s="17" t="s">
        <v>75</v>
      </c>
      <c r="I72" s="17" t="s">
        <v>235</v>
      </c>
      <c r="J72" s="17"/>
      <c r="K72" s="17"/>
      <c r="L72" s="17" t="s">
        <v>54</v>
      </c>
      <c r="M72" s="17" t="s">
        <v>241</v>
      </c>
      <c r="N72" s="17" t="s">
        <v>144</v>
      </c>
      <c r="O72" s="17"/>
      <c r="P72" s="18">
        <v>45751</v>
      </c>
      <c r="Q72" s="19" t="s">
        <v>274</v>
      </c>
      <c r="R72" s="19"/>
    </row>
    <row r="73" spans="1:18" ht="28.5">
      <c r="A73" s="7" t="s">
        <v>171</v>
      </c>
      <c r="B73" s="8" t="s">
        <v>275</v>
      </c>
      <c r="C73" s="8">
        <f>VALUE(RIGHT(B73,LEN(B73)-4))</f>
        <v>73</v>
      </c>
      <c r="D73" s="9">
        <v>45660</v>
      </c>
      <c r="E73" s="9">
        <v>45660</v>
      </c>
      <c r="F73" s="10"/>
      <c r="G73" s="10" t="s">
        <v>276</v>
      </c>
      <c r="H73" s="8" t="s">
        <v>75</v>
      </c>
      <c r="I73" s="8" t="s">
        <v>235</v>
      </c>
      <c r="J73" s="8"/>
      <c r="K73" s="8"/>
      <c r="L73" s="8" t="s">
        <v>54</v>
      </c>
      <c r="M73" s="8" t="s">
        <v>57</v>
      </c>
      <c r="N73" s="8" t="s">
        <v>58</v>
      </c>
      <c r="O73" s="8"/>
      <c r="P73" s="8"/>
      <c r="Q73" s="10"/>
      <c r="R73" s="10"/>
    </row>
    <row r="74" spans="1:18" ht="28.5">
      <c r="A74" s="7" t="s">
        <v>171</v>
      </c>
      <c r="B74" s="8" t="s">
        <v>277</v>
      </c>
      <c r="C74" s="8">
        <f>VALUE(RIGHT(B74,LEN(B74)-4))</f>
        <v>74</v>
      </c>
      <c r="D74" s="9">
        <v>45660</v>
      </c>
      <c r="E74" s="9">
        <v>45660</v>
      </c>
      <c r="F74" s="10"/>
      <c r="G74" s="10" t="s">
        <v>278</v>
      </c>
      <c r="H74" s="8" t="s">
        <v>75</v>
      </c>
      <c r="I74" s="8" t="s">
        <v>235</v>
      </c>
      <c r="J74" s="8" t="s">
        <v>222</v>
      </c>
      <c r="K74" s="8" t="s">
        <v>80</v>
      </c>
      <c r="L74" s="8" t="s">
        <v>54</v>
      </c>
      <c r="M74" s="8" t="s">
        <v>241</v>
      </c>
      <c r="N74" s="8" t="s">
        <v>58</v>
      </c>
      <c r="O74" s="8"/>
      <c r="P74" s="8"/>
      <c r="Q74" s="10"/>
      <c r="R74" s="10"/>
    </row>
    <row r="75" spans="1:18" ht="28.5">
      <c r="A75" s="7" t="s">
        <v>171</v>
      </c>
      <c r="B75" s="8" t="s">
        <v>279</v>
      </c>
      <c r="C75" s="8">
        <f>VALUE(RIGHT(B75,LEN(B75)-4))</f>
        <v>75</v>
      </c>
      <c r="D75" s="9">
        <v>45660</v>
      </c>
      <c r="E75" s="9">
        <v>45660</v>
      </c>
      <c r="F75" s="10"/>
      <c r="G75" s="10" t="s">
        <v>280</v>
      </c>
      <c r="H75" s="8" t="s">
        <v>75</v>
      </c>
      <c r="I75" s="8" t="s">
        <v>235</v>
      </c>
      <c r="J75" s="8"/>
      <c r="K75" s="8"/>
      <c r="L75" s="8" t="s">
        <v>54</v>
      </c>
      <c r="M75" s="8" t="s">
        <v>57</v>
      </c>
      <c r="N75" s="8" t="s">
        <v>58</v>
      </c>
      <c r="O75" s="8"/>
      <c r="P75" s="8"/>
      <c r="Q75" s="10"/>
      <c r="R75" s="10"/>
    </row>
    <row r="76" spans="1:18" ht="28.5">
      <c r="A76" s="7" t="s">
        <v>49</v>
      </c>
      <c r="B76" s="8" t="s">
        <v>281</v>
      </c>
      <c r="C76" s="8">
        <f>VALUE(RIGHT(B76,LEN(B76)-4))</f>
        <v>76</v>
      </c>
      <c r="D76" s="9">
        <v>45660</v>
      </c>
      <c r="E76" s="9">
        <v>45664</v>
      </c>
      <c r="F76" s="10"/>
      <c r="G76" s="10" t="s">
        <v>282</v>
      </c>
      <c r="H76" s="8" t="s">
        <v>75</v>
      </c>
      <c r="I76" s="8" t="s">
        <v>235</v>
      </c>
      <c r="J76" s="8"/>
      <c r="K76" s="8"/>
      <c r="L76" s="8" t="s">
        <v>54</v>
      </c>
      <c r="M76" s="8" t="s">
        <v>57</v>
      </c>
      <c r="N76" s="8" t="s">
        <v>58</v>
      </c>
      <c r="O76" s="8"/>
      <c r="P76" s="8"/>
      <c r="Q76" s="10"/>
      <c r="R76" s="10"/>
    </row>
    <row r="77" spans="1:18" ht="318.75">
      <c r="A77" s="7" t="s">
        <v>60</v>
      </c>
      <c r="B77" s="14" t="s">
        <v>283</v>
      </c>
      <c r="C77" s="14">
        <f>VALUE(RIGHT(B77,LEN(B77)-4))</f>
        <v>77</v>
      </c>
      <c r="D77" s="15"/>
      <c r="E77" s="15"/>
      <c r="F77" s="16" t="s">
        <v>73</v>
      </c>
      <c r="G77" s="16" t="s">
        <v>284</v>
      </c>
      <c r="H77" s="14"/>
      <c r="I77" s="14"/>
      <c r="J77" s="14" t="s">
        <v>71</v>
      </c>
      <c r="K77" s="14"/>
      <c r="L77" s="14" t="s">
        <v>56</v>
      </c>
      <c r="M77" s="14" t="s">
        <v>57</v>
      </c>
      <c r="N77" s="14" t="s">
        <v>3</v>
      </c>
      <c r="O77" s="14" t="s">
        <v>59</v>
      </c>
      <c r="P77" s="14"/>
      <c r="Q77" s="16"/>
      <c r="R77" s="16" t="s">
        <v>285</v>
      </c>
    </row>
    <row r="78" spans="1:18" ht="28.5">
      <c r="A78" s="7" t="s">
        <v>49</v>
      </c>
      <c r="B78" s="8" t="s">
        <v>286</v>
      </c>
      <c r="C78" s="8">
        <f>VALUE(RIGHT(B78,LEN(B78)-4))</f>
        <v>78</v>
      </c>
      <c r="D78" s="9">
        <v>45663</v>
      </c>
      <c r="E78" s="9">
        <v>45685</v>
      </c>
      <c r="F78" s="10"/>
      <c r="G78" s="10" t="s">
        <v>287</v>
      </c>
      <c r="H78" s="8" t="s">
        <v>88</v>
      </c>
      <c r="I78" s="8" t="s">
        <v>53</v>
      </c>
      <c r="J78" s="8" t="s">
        <v>288</v>
      </c>
      <c r="K78" s="8" t="s">
        <v>80</v>
      </c>
      <c r="L78" s="8" t="s">
        <v>54</v>
      </c>
      <c r="M78" s="8" t="s">
        <v>57</v>
      </c>
      <c r="N78" s="8" t="s">
        <v>58</v>
      </c>
      <c r="O78" s="8" t="s">
        <v>289</v>
      </c>
      <c r="P78" s="8"/>
      <c r="Q78" s="10"/>
      <c r="R78" s="10" t="s">
        <v>290</v>
      </c>
    </row>
    <row r="79" spans="1:18" ht="43.5">
      <c r="A79" s="7" t="s">
        <v>60</v>
      </c>
      <c r="B79" s="8" t="s">
        <v>291</v>
      </c>
      <c r="C79" s="17">
        <f>VALUE(RIGHT(B79,LEN(B79)-4))</f>
        <v>79</v>
      </c>
      <c r="D79" s="9"/>
      <c r="E79" s="9"/>
      <c r="F79" s="10" t="s">
        <v>117</v>
      </c>
      <c r="G79" s="10" t="s">
        <v>292</v>
      </c>
      <c r="H79" s="8"/>
      <c r="I79" s="8"/>
      <c r="J79" s="8"/>
      <c r="K79" s="8"/>
      <c r="L79" s="8" t="s">
        <v>79</v>
      </c>
      <c r="M79" s="8" t="s">
        <v>57</v>
      </c>
      <c r="N79" s="8" t="s">
        <v>58</v>
      </c>
      <c r="O79" s="8"/>
      <c r="P79" s="8"/>
      <c r="Q79" s="10"/>
      <c r="R79" s="10" t="s">
        <v>292</v>
      </c>
    </row>
    <row r="80" spans="1:18" ht="101.25">
      <c r="A80" s="7" t="s">
        <v>49</v>
      </c>
      <c r="B80" s="8" t="s">
        <v>293</v>
      </c>
      <c r="C80" s="8">
        <f>VALUE(RIGHT(B80,LEN(B80)-4))</f>
        <v>80</v>
      </c>
      <c r="D80" s="9">
        <v>45663</v>
      </c>
      <c r="E80" s="9">
        <v>45664</v>
      </c>
      <c r="F80" s="10"/>
      <c r="G80" s="10" t="s">
        <v>294</v>
      </c>
      <c r="H80" s="8" t="s">
        <v>75</v>
      </c>
      <c r="I80" s="8" t="s">
        <v>53</v>
      </c>
      <c r="J80" s="8"/>
      <c r="K80" s="8"/>
      <c r="L80" s="8" t="s">
        <v>54</v>
      </c>
      <c r="M80" s="8" t="s">
        <v>227</v>
      </c>
      <c r="N80" s="8" t="s">
        <v>58</v>
      </c>
      <c r="O80" s="8"/>
      <c r="P80" s="8"/>
      <c r="Q80" s="10"/>
      <c r="R80" s="10" t="s">
        <v>295</v>
      </c>
    </row>
    <row r="81" spans="1:18">
      <c r="A81" s="7" t="s">
        <v>60</v>
      </c>
      <c r="B81" s="8" t="s">
        <v>296</v>
      </c>
      <c r="C81" s="8">
        <f>VALUE(RIGHT(B81,LEN(B81)-4))</f>
        <v>81</v>
      </c>
      <c r="D81" s="9"/>
      <c r="E81" s="9"/>
      <c r="F81" s="10" t="s">
        <v>68</v>
      </c>
      <c r="G81" s="10" t="s">
        <v>297</v>
      </c>
      <c r="H81" s="8"/>
      <c r="I81" s="8"/>
      <c r="J81" s="8" t="s">
        <v>288</v>
      </c>
      <c r="K81" s="8"/>
      <c r="L81" s="8" t="s">
        <v>56</v>
      </c>
      <c r="M81" s="8" t="s">
        <v>57</v>
      </c>
      <c r="N81" s="8" t="s">
        <v>58</v>
      </c>
      <c r="O81" s="8" t="s">
        <v>59</v>
      </c>
      <c r="P81" s="8"/>
      <c r="Q81" s="10"/>
      <c r="R81" s="10"/>
    </row>
    <row r="82" spans="1:18" ht="43.5">
      <c r="A82" s="7" t="s">
        <v>49</v>
      </c>
      <c r="B82" s="8" t="s">
        <v>298</v>
      </c>
      <c r="C82" s="8">
        <f>VALUE(RIGHT(B82,LEN(B82)-4))</f>
        <v>82</v>
      </c>
      <c r="D82" s="9">
        <v>45664</v>
      </c>
      <c r="E82" s="9">
        <v>45685</v>
      </c>
      <c r="F82" s="10"/>
      <c r="G82" s="10" t="s">
        <v>299</v>
      </c>
      <c r="H82" s="8" t="s">
        <v>88</v>
      </c>
      <c r="I82" s="8" t="s">
        <v>53</v>
      </c>
      <c r="J82" s="8" t="s">
        <v>71</v>
      </c>
      <c r="K82" s="8" t="s">
        <v>72</v>
      </c>
      <c r="L82" s="8" t="s">
        <v>56</v>
      </c>
      <c r="M82" s="8" t="s">
        <v>57</v>
      </c>
      <c r="N82" s="8" t="s">
        <v>58</v>
      </c>
      <c r="O82" s="8" t="s">
        <v>289</v>
      </c>
      <c r="P82" s="8"/>
      <c r="Q82" s="10"/>
      <c r="R82" s="10" t="s">
        <v>300</v>
      </c>
    </row>
    <row r="83" spans="1:18">
      <c r="A83" s="7" t="s">
        <v>60</v>
      </c>
      <c r="B83" s="8" t="s">
        <v>301</v>
      </c>
      <c r="C83" s="8">
        <f>VALUE(RIGHT(B83,LEN(B83)-4))</f>
        <v>83</v>
      </c>
      <c r="D83" s="9"/>
      <c r="E83" s="9"/>
      <c r="F83" s="10" t="s">
        <v>298</v>
      </c>
      <c r="G83" s="10" t="s">
        <v>297</v>
      </c>
      <c r="H83" s="8"/>
      <c r="I83" s="8"/>
      <c r="J83" s="8" t="s">
        <v>288</v>
      </c>
      <c r="K83" s="8"/>
      <c r="L83" s="8" t="s">
        <v>56</v>
      </c>
      <c r="M83" s="8" t="s">
        <v>57</v>
      </c>
      <c r="N83" s="8" t="s">
        <v>58</v>
      </c>
      <c r="O83" s="8" t="s">
        <v>289</v>
      </c>
      <c r="P83" s="8"/>
      <c r="Q83" s="10"/>
      <c r="R83" s="10"/>
    </row>
    <row r="84" spans="1:18">
      <c r="A84" s="7" t="s">
        <v>60</v>
      </c>
      <c r="B84" s="8" t="s">
        <v>302</v>
      </c>
      <c r="C84" s="8">
        <f>VALUE(RIGHT(B84,LEN(B84)-4))</f>
        <v>84</v>
      </c>
      <c r="D84" s="9"/>
      <c r="E84" s="9"/>
      <c r="F84" s="10" t="s">
        <v>298</v>
      </c>
      <c r="G84" s="10" t="s">
        <v>62</v>
      </c>
      <c r="H84" s="8"/>
      <c r="I84" s="8"/>
      <c r="J84" s="8" t="s">
        <v>56</v>
      </c>
      <c r="K84" s="8"/>
      <c r="L84" s="8" t="s">
        <v>56</v>
      </c>
      <c r="M84" s="8" t="s">
        <v>57</v>
      </c>
      <c r="N84" s="8" t="s">
        <v>58</v>
      </c>
      <c r="O84" s="8" t="s">
        <v>289</v>
      </c>
      <c r="P84" s="8"/>
      <c r="Q84" s="10"/>
      <c r="R84" s="10"/>
    </row>
    <row r="85" spans="1:18" ht="43.5">
      <c r="A85" s="7" t="s">
        <v>49</v>
      </c>
      <c r="B85" s="8" t="s">
        <v>303</v>
      </c>
      <c r="C85" s="8">
        <f>VALUE(RIGHT(B85,LEN(B85)-4))</f>
        <v>85</v>
      </c>
      <c r="D85" s="9">
        <v>45664</v>
      </c>
      <c r="E85" s="9">
        <v>45670</v>
      </c>
      <c r="F85" s="10"/>
      <c r="G85" s="10" t="s">
        <v>304</v>
      </c>
      <c r="H85" s="8" t="s">
        <v>107</v>
      </c>
      <c r="I85" s="8" t="s">
        <v>67</v>
      </c>
      <c r="J85" s="8" t="s">
        <v>71</v>
      </c>
      <c r="K85" s="8" t="s">
        <v>72</v>
      </c>
      <c r="L85" s="8" t="s">
        <v>54</v>
      </c>
      <c r="M85" s="8" t="s">
        <v>57</v>
      </c>
      <c r="N85" s="8" t="s">
        <v>58</v>
      </c>
      <c r="O85" s="8"/>
      <c r="P85" s="8"/>
      <c r="Q85" s="10"/>
      <c r="R85" s="10" t="s">
        <v>305</v>
      </c>
    </row>
    <row r="86" spans="1:18" ht="28.5">
      <c r="A86" s="7" t="s">
        <v>49</v>
      </c>
      <c r="B86" s="8" t="s">
        <v>306</v>
      </c>
      <c r="C86" s="8">
        <f>VALUE(RIGHT(B86,LEN(B86)-4))</f>
        <v>86</v>
      </c>
      <c r="D86" s="9">
        <v>45664</v>
      </c>
      <c r="E86" s="9">
        <v>45705</v>
      </c>
      <c r="F86" s="10"/>
      <c r="G86" s="10" t="s">
        <v>307</v>
      </c>
      <c r="H86" s="8" t="s">
        <v>308</v>
      </c>
      <c r="I86" s="8" t="s">
        <v>309</v>
      </c>
      <c r="J86" s="8" t="s">
        <v>310</v>
      </c>
      <c r="K86" s="8" t="s">
        <v>80</v>
      </c>
      <c r="L86" s="8" t="s">
        <v>54</v>
      </c>
      <c r="M86" s="8" t="s">
        <v>57</v>
      </c>
      <c r="N86" s="8" t="s">
        <v>58</v>
      </c>
      <c r="O86" s="8" t="s">
        <v>184</v>
      </c>
      <c r="P86" s="8"/>
      <c r="Q86" s="10"/>
      <c r="R86" s="10" t="s">
        <v>311</v>
      </c>
    </row>
    <row r="87" spans="1:18" ht="87">
      <c r="A87" s="7" t="s">
        <v>49</v>
      </c>
      <c r="B87" s="8" t="s">
        <v>312</v>
      </c>
      <c r="C87" s="8">
        <f>VALUE(RIGHT(B87,LEN(B87)-4))</f>
        <v>87</v>
      </c>
      <c r="D87" s="9">
        <v>45664</v>
      </c>
      <c r="E87" s="9"/>
      <c r="F87" s="10"/>
      <c r="G87" s="10" t="s">
        <v>313</v>
      </c>
      <c r="H87" s="8" t="s">
        <v>75</v>
      </c>
      <c r="I87" s="8" t="s">
        <v>115</v>
      </c>
      <c r="J87" s="8" t="s">
        <v>202</v>
      </c>
      <c r="K87" s="8" t="s">
        <v>55</v>
      </c>
      <c r="L87" s="8" t="s">
        <v>54</v>
      </c>
      <c r="M87" s="8" t="s">
        <v>227</v>
      </c>
      <c r="N87" s="8" t="s">
        <v>58</v>
      </c>
      <c r="O87" s="8"/>
      <c r="P87" s="8"/>
      <c r="Q87" s="10"/>
      <c r="R87" s="10" t="s">
        <v>314</v>
      </c>
    </row>
    <row r="88" spans="1:18" ht="28.5">
      <c r="A88" s="7" t="s">
        <v>49</v>
      </c>
      <c r="B88" s="8" t="s">
        <v>315</v>
      </c>
      <c r="C88" s="8">
        <f>VALUE(RIGHT(B88,LEN(B88)-4))</f>
        <v>88</v>
      </c>
      <c r="D88" s="9">
        <v>45664</v>
      </c>
      <c r="E88" s="9">
        <v>45693</v>
      </c>
      <c r="F88" s="10"/>
      <c r="G88" s="10" t="s">
        <v>316</v>
      </c>
      <c r="H88" s="8" t="s">
        <v>75</v>
      </c>
      <c r="I88" s="8" t="s">
        <v>115</v>
      </c>
      <c r="J88" s="8"/>
      <c r="K88" s="8"/>
      <c r="L88" s="8" t="s">
        <v>71</v>
      </c>
      <c r="M88" s="8" t="s">
        <v>227</v>
      </c>
      <c r="N88" s="8" t="s">
        <v>58</v>
      </c>
      <c r="O88" s="8" t="s">
        <v>289</v>
      </c>
      <c r="P88" s="8"/>
      <c r="Q88" s="10"/>
      <c r="R88" s="10" t="s">
        <v>317</v>
      </c>
    </row>
    <row r="89" spans="1:18" ht="289.5">
      <c r="A89" s="7" t="s">
        <v>60</v>
      </c>
      <c r="B89" s="8" t="s">
        <v>318</v>
      </c>
      <c r="C89" s="14">
        <f>VALUE(RIGHT(B89,LEN(B89)-4))</f>
        <v>89</v>
      </c>
      <c r="D89" s="9"/>
      <c r="E89" s="9"/>
      <c r="F89" s="10" t="s">
        <v>298</v>
      </c>
      <c r="G89" s="10" t="s">
        <v>154</v>
      </c>
      <c r="H89" s="8"/>
      <c r="I89" s="8"/>
      <c r="J89" s="8" t="s">
        <v>71</v>
      </c>
      <c r="K89" s="8"/>
      <c r="L89" s="8" t="s">
        <v>56</v>
      </c>
      <c r="M89" s="8" t="s">
        <v>57</v>
      </c>
      <c r="N89" s="8" t="s">
        <v>58</v>
      </c>
      <c r="O89" s="8" t="s">
        <v>289</v>
      </c>
      <c r="P89" s="8"/>
      <c r="Q89" s="10"/>
      <c r="R89" s="10" t="s">
        <v>319</v>
      </c>
    </row>
    <row r="90" spans="1:18" ht="28.5">
      <c r="A90" s="7" t="s">
        <v>60</v>
      </c>
      <c r="B90" s="8" t="s">
        <v>320</v>
      </c>
      <c r="C90" s="8">
        <f>VALUE(RIGHT(B90,LEN(B90)-4))</f>
        <v>90</v>
      </c>
      <c r="D90" s="9"/>
      <c r="E90" s="9"/>
      <c r="F90" s="10" t="s">
        <v>77</v>
      </c>
      <c r="G90" s="10" t="s">
        <v>297</v>
      </c>
      <c r="H90" s="8"/>
      <c r="I90" s="8"/>
      <c r="J90" s="8" t="s">
        <v>288</v>
      </c>
      <c r="K90" s="8"/>
      <c r="L90" s="8" t="s">
        <v>79</v>
      </c>
      <c r="M90" s="8" t="s">
        <v>57</v>
      </c>
      <c r="N90" s="8" t="s">
        <v>58</v>
      </c>
      <c r="O90" s="8" t="s">
        <v>59</v>
      </c>
      <c r="P90" s="8"/>
      <c r="Q90" s="10"/>
      <c r="R90" s="10" t="s">
        <v>321</v>
      </c>
    </row>
    <row r="91" spans="1:18">
      <c r="A91" s="7" t="s">
        <v>60</v>
      </c>
      <c r="B91" s="14" t="s">
        <v>322</v>
      </c>
      <c r="C91" s="14">
        <f>VALUE(RIGHT(B91,LEN(B91)-4))</f>
        <v>91</v>
      </c>
      <c r="D91" s="15"/>
      <c r="E91" s="15"/>
      <c r="F91" s="16" t="s">
        <v>214</v>
      </c>
      <c r="G91" s="16" t="s">
        <v>323</v>
      </c>
      <c r="H91" s="14"/>
      <c r="I91" s="14"/>
      <c r="J91" s="14"/>
      <c r="K91" s="14"/>
      <c r="L91" s="14" t="s">
        <v>71</v>
      </c>
      <c r="M91" s="14" t="s">
        <v>57</v>
      </c>
      <c r="N91" s="14" t="s">
        <v>3</v>
      </c>
      <c r="O91" s="14" t="s">
        <v>122</v>
      </c>
      <c r="P91" s="14"/>
      <c r="Q91" s="16"/>
      <c r="R91" s="16"/>
    </row>
    <row r="92" spans="1:18" ht="28.5">
      <c r="A92" s="7" t="s">
        <v>49</v>
      </c>
      <c r="B92" s="8" t="s">
        <v>324</v>
      </c>
      <c r="C92" s="8">
        <f>VALUE(RIGHT(B92,LEN(B92)-4))</f>
        <v>92</v>
      </c>
      <c r="D92" s="9">
        <v>45665</v>
      </c>
      <c r="E92" s="9">
        <v>45693</v>
      </c>
      <c r="F92" s="10"/>
      <c r="G92" s="10" t="s">
        <v>325</v>
      </c>
      <c r="H92" s="8" t="s">
        <v>75</v>
      </c>
      <c r="I92" s="8" t="s">
        <v>53</v>
      </c>
      <c r="J92" s="8" t="s">
        <v>56</v>
      </c>
      <c r="K92" s="8" t="s">
        <v>80</v>
      </c>
      <c r="L92" s="8" t="s">
        <v>56</v>
      </c>
      <c r="M92" s="8" t="s">
        <v>57</v>
      </c>
      <c r="N92" s="8" t="s">
        <v>58</v>
      </c>
      <c r="O92" s="8" t="s">
        <v>289</v>
      </c>
      <c r="P92" s="8"/>
      <c r="Q92" s="10"/>
      <c r="R92" s="10" t="s">
        <v>326</v>
      </c>
    </row>
    <row r="93" spans="1:18">
      <c r="A93" s="7" t="s">
        <v>60</v>
      </c>
      <c r="B93" s="8" t="s">
        <v>327</v>
      </c>
      <c r="C93" s="8">
        <f>VALUE(RIGHT(B93,LEN(B93)-4))</f>
        <v>93</v>
      </c>
      <c r="D93" s="9"/>
      <c r="E93" s="9"/>
      <c r="F93" s="10" t="s">
        <v>324</v>
      </c>
      <c r="G93" s="10" t="s">
        <v>297</v>
      </c>
      <c r="H93" s="8"/>
      <c r="I93" s="8"/>
      <c r="J93" s="8" t="s">
        <v>288</v>
      </c>
      <c r="K93" s="8"/>
      <c r="L93" s="8" t="s">
        <v>56</v>
      </c>
      <c r="M93" s="8" t="s">
        <v>57</v>
      </c>
      <c r="N93" s="8" t="s">
        <v>58</v>
      </c>
      <c r="O93" s="8" t="s">
        <v>289</v>
      </c>
      <c r="P93" s="8"/>
      <c r="Q93" s="10"/>
      <c r="R93" s="10"/>
    </row>
    <row r="94" spans="1:18" ht="28.5">
      <c r="A94" s="7" t="s">
        <v>60</v>
      </c>
      <c r="B94" s="8" t="s">
        <v>328</v>
      </c>
      <c r="C94" s="8">
        <f>VALUE(RIGHT(B94,LEN(B94)-4))</f>
        <v>94</v>
      </c>
      <c r="D94" s="9"/>
      <c r="E94" s="9"/>
      <c r="F94" s="10" t="s">
        <v>324</v>
      </c>
      <c r="G94" s="10" t="s">
        <v>329</v>
      </c>
      <c r="H94" s="8"/>
      <c r="I94" s="8"/>
      <c r="J94" s="8" t="s">
        <v>56</v>
      </c>
      <c r="K94" s="8"/>
      <c r="L94" s="8" t="s">
        <v>56</v>
      </c>
      <c r="M94" s="8" t="s">
        <v>57</v>
      </c>
      <c r="N94" s="8" t="s">
        <v>58</v>
      </c>
      <c r="O94" s="8" t="s">
        <v>289</v>
      </c>
      <c r="P94" s="8"/>
      <c r="Q94" s="10"/>
      <c r="R94" s="10"/>
    </row>
    <row r="95" spans="1:18" ht="43.5">
      <c r="A95" s="7" t="s">
        <v>49</v>
      </c>
      <c r="B95" s="8" t="s">
        <v>330</v>
      </c>
      <c r="C95" s="8">
        <f>VALUE(RIGHT(B95,LEN(B95)-4))</f>
        <v>95</v>
      </c>
      <c r="D95" s="9">
        <v>45666</v>
      </c>
      <c r="E95" s="9">
        <v>45701</v>
      </c>
      <c r="F95" s="10"/>
      <c r="G95" s="10" t="s">
        <v>331</v>
      </c>
      <c r="H95" s="8" t="s">
        <v>52</v>
      </c>
      <c r="I95" s="8" t="s">
        <v>89</v>
      </c>
      <c r="J95" s="8" t="s">
        <v>71</v>
      </c>
      <c r="K95" s="8" t="s">
        <v>72</v>
      </c>
      <c r="L95" s="8" t="s">
        <v>54</v>
      </c>
      <c r="M95" s="8" t="s">
        <v>227</v>
      </c>
      <c r="N95" s="8" t="s">
        <v>58</v>
      </c>
      <c r="O95" s="8"/>
      <c r="P95" s="8"/>
      <c r="Q95" s="10"/>
      <c r="R95" s="10" t="s">
        <v>332</v>
      </c>
    </row>
    <row r="96" spans="1:18" ht="28.5">
      <c r="A96" s="7" t="s">
        <v>49</v>
      </c>
      <c r="B96" s="17" t="s">
        <v>333</v>
      </c>
      <c r="C96" s="17">
        <f>VALUE(RIGHT(B96,LEN(B96)-4))</f>
        <v>96</v>
      </c>
      <c r="D96" s="18">
        <v>45666</v>
      </c>
      <c r="E96" s="18"/>
      <c r="F96" s="19"/>
      <c r="G96" s="19" t="s">
        <v>334</v>
      </c>
      <c r="H96" s="17" t="s">
        <v>84</v>
      </c>
      <c r="I96" s="17" t="s">
        <v>335</v>
      </c>
      <c r="J96" s="17" t="s">
        <v>71</v>
      </c>
      <c r="K96" s="17" t="s">
        <v>72</v>
      </c>
      <c r="L96" s="17" t="s">
        <v>56</v>
      </c>
      <c r="M96" s="17" t="s">
        <v>57</v>
      </c>
      <c r="N96" s="17" t="s">
        <v>144</v>
      </c>
      <c r="O96" s="17"/>
      <c r="P96" s="17"/>
      <c r="Q96" s="19" t="s">
        <v>336</v>
      </c>
      <c r="R96" s="19"/>
    </row>
    <row r="97" spans="1:18" ht="28.5">
      <c r="A97" s="7" t="s">
        <v>49</v>
      </c>
      <c r="B97" s="17" t="s">
        <v>337</v>
      </c>
      <c r="C97" s="17">
        <f>VALUE(RIGHT(B97,LEN(B97)-4))</f>
        <v>97</v>
      </c>
      <c r="D97" s="18">
        <v>45666</v>
      </c>
      <c r="E97" s="18"/>
      <c r="F97" s="19"/>
      <c r="G97" s="19" t="s">
        <v>338</v>
      </c>
      <c r="H97" s="17" t="s">
        <v>84</v>
      </c>
      <c r="I97" s="17" t="s">
        <v>339</v>
      </c>
      <c r="J97" s="17" t="s">
        <v>71</v>
      </c>
      <c r="K97" s="17" t="s">
        <v>72</v>
      </c>
      <c r="L97" s="17" t="s">
        <v>56</v>
      </c>
      <c r="M97" s="17" t="s">
        <v>57</v>
      </c>
      <c r="N97" s="17" t="s">
        <v>144</v>
      </c>
      <c r="O97" s="17"/>
      <c r="P97" s="17"/>
      <c r="Q97" s="19" t="s">
        <v>336</v>
      </c>
      <c r="R97" s="19"/>
    </row>
    <row r="98" spans="1:18" ht="28.5">
      <c r="A98" s="7" t="s">
        <v>49</v>
      </c>
      <c r="B98" s="8" t="s">
        <v>340</v>
      </c>
      <c r="C98" s="8">
        <f>VALUE(RIGHT(B98,LEN(B98)-4))</f>
        <v>98</v>
      </c>
      <c r="D98" s="9">
        <v>45666</v>
      </c>
      <c r="E98" s="9"/>
      <c r="F98" s="10"/>
      <c r="G98" s="10" t="s">
        <v>341</v>
      </c>
      <c r="H98" s="8" t="s">
        <v>75</v>
      </c>
      <c r="I98" s="8" t="s">
        <v>115</v>
      </c>
      <c r="J98" s="8"/>
      <c r="K98" s="8"/>
      <c r="L98" s="8" t="s">
        <v>54</v>
      </c>
      <c r="M98" s="8" t="s">
        <v>57</v>
      </c>
      <c r="N98" s="8" t="s">
        <v>58</v>
      </c>
      <c r="O98" s="8"/>
      <c r="P98" s="8"/>
      <c r="Q98" s="10"/>
      <c r="R98" s="10" t="s">
        <v>342</v>
      </c>
    </row>
    <row r="99" spans="1:18" ht="188.25">
      <c r="A99" s="7" t="s">
        <v>49</v>
      </c>
      <c r="B99" s="8" t="s">
        <v>343</v>
      </c>
      <c r="C99" s="8">
        <f>VALUE(RIGHT(B99,LEN(B99)-4))</f>
        <v>99</v>
      </c>
      <c r="D99" s="9">
        <v>45666</v>
      </c>
      <c r="E99" s="9"/>
      <c r="F99" s="10"/>
      <c r="G99" s="10" t="s">
        <v>344</v>
      </c>
      <c r="H99" s="8" t="s">
        <v>84</v>
      </c>
      <c r="I99" s="8" t="s">
        <v>345</v>
      </c>
      <c r="J99" s="8" t="s">
        <v>103</v>
      </c>
      <c r="K99" s="8" t="s">
        <v>80</v>
      </c>
      <c r="L99" s="8" t="s">
        <v>56</v>
      </c>
      <c r="M99" s="8" t="s">
        <v>57</v>
      </c>
      <c r="N99" s="8" t="s">
        <v>58</v>
      </c>
      <c r="O99" s="8" t="s">
        <v>228</v>
      </c>
      <c r="P99" s="8"/>
      <c r="Q99" s="10" t="s">
        <v>346</v>
      </c>
      <c r="R99" s="10" t="s">
        <v>347</v>
      </c>
    </row>
    <row r="100" spans="1:18" ht="144.75">
      <c r="A100" s="7" t="s">
        <v>49</v>
      </c>
      <c r="B100" s="8" t="s">
        <v>348</v>
      </c>
      <c r="C100" s="8">
        <f>VALUE(RIGHT(B100,LEN(B100)-4))</f>
        <v>100</v>
      </c>
      <c r="D100" s="9">
        <v>45667</v>
      </c>
      <c r="E100" s="9">
        <v>45687</v>
      </c>
      <c r="F100" s="10"/>
      <c r="G100" s="10" t="s">
        <v>349</v>
      </c>
      <c r="H100" s="8" t="s">
        <v>350</v>
      </c>
      <c r="I100" s="8" t="s">
        <v>235</v>
      </c>
      <c r="J100" s="8" t="s">
        <v>71</v>
      </c>
      <c r="K100" s="8" t="s">
        <v>72</v>
      </c>
      <c r="L100" s="8" t="s">
        <v>71</v>
      </c>
      <c r="M100" s="8" t="s">
        <v>57</v>
      </c>
      <c r="N100" s="8" t="s">
        <v>58</v>
      </c>
      <c r="O100" s="8"/>
      <c r="P100" s="8"/>
      <c r="Q100" s="10"/>
      <c r="R100" s="10" t="s">
        <v>351</v>
      </c>
    </row>
    <row r="101" spans="1:18" ht="87">
      <c r="A101" s="7" t="s">
        <v>171</v>
      </c>
      <c r="B101" s="17" t="s">
        <v>352</v>
      </c>
      <c r="C101" s="17">
        <f>VALUE(RIGHT(B101,LEN(B101)-4))</f>
        <v>101</v>
      </c>
      <c r="D101" s="18">
        <v>45667</v>
      </c>
      <c r="E101" s="18"/>
      <c r="F101" s="19"/>
      <c r="G101" s="19" t="s">
        <v>353</v>
      </c>
      <c r="H101" s="17" t="s">
        <v>52</v>
      </c>
      <c r="I101" s="17" t="s">
        <v>115</v>
      </c>
      <c r="J101" s="17" t="s">
        <v>288</v>
      </c>
      <c r="K101" s="17" t="s">
        <v>80</v>
      </c>
      <c r="L101" s="17" t="s">
        <v>54</v>
      </c>
      <c r="M101" s="17" t="s">
        <v>241</v>
      </c>
      <c r="N101" s="17" t="s">
        <v>144</v>
      </c>
      <c r="O101" s="17"/>
      <c r="P101" s="17"/>
      <c r="Q101" s="19" t="s">
        <v>354</v>
      </c>
      <c r="R101" s="19" t="s">
        <v>355</v>
      </c>
    </row>
    <row r="102" spans="1:18" ht="28.5">
      <c r="A102" s="7" t="s">
        <v>49</v>
      </c>
      <c r="B102" s="8" t="s">
        <v>356</v>
      </c>
      <c r="C102" s="8">
        <f>VALUE(RIGHT(B102,LEN(B102)-4))</f>
        <v>102</v>
      </c>
      <c r="D102" s="9">
        <v>45667</v>
      </c>
      <c r="E102" s="9">
        <v>45670</v>
      </c>
      <c r="F102" s="10"/>
      <c r="G102" s="10" t="s">
        <v>357</v>
      </c>
      <c r="H102" s="8" t="s">
        <v>107</v>
      </c>
      <c r="I102" s="8" t="s">
        <v>108</v>
      </c>
      <c r="J102" s="8" t="s">
        <v>71</v>
      </c>
      <c r="K102" s="8" t="s">
        <v>72</v>
      </c>
      <c r="L102" s="8" t="s">
        <v>54</v>
      </c>
      <c r="M102" s="8" t="s">
        <v>227</v>
      </c>
      <c r="N102" s="8" t="s">
        <v>58</v>
      </c>
      <c r="O102" s="8"/>
      <c r="P102" s="8"/>
      <c r="Q102" s="10"/>
      <c r="R102" s="10" t="s">
        <v>358</v>
      </c>
    </row>
    <row r="103" spans="1:18" ht="43.5">
      <c r="A103" s="7" t="s">
        <v>49</v>
      </c>
      <c r="B103" s="17" t="s">
        <v>359</v>
      </c>
      <c r="C103" s="17">
        <f>VALUE(RIGHT(B103,LEN(B103)-4))</f>
        <v>103</v>
      </c>
      <c r="D103" s="18">
        <v>45667</v>
      </c>
      <c r="E103" s="18"/>
      <c r="F103" s="19"/>
      <c r="G103" s="19" t="s">
        <v>360</v>
      </c>
      <c r="H103" s="17" t="s">
        <v>107</v>
      </c>
      <c r="I103" s="17" t="s">
        <v>89</v>
      </c>
      <c r="J103" s="17" t="s">
        <v>202</v>
      </c>
      <c r="K103" s="17" t="s">
        <v>55</v>
      </c>
      <c r="L103" s="17" t="s">
        <v>54</v>
      </c>
      <c r="M103" s="17" t="s">
        <v>241</v>
      </c>
      <c r="N103" s="17" t="s">
        <v>144</v>
      </c>
      <c r="O103" s="17" t="s">
        <v>361</v>
      </c>
      <c r="P103" s="17"/>
      <c r="Q103" s="19"/>
      <c r="R103" s="19" t="s">
        <v>362</v>
      </c>
    </row>
    <row r="104" spans="1:18" ht="57.75">
      <c r="A104" s="7" t="s">
        <v>171</v>
      </c>
      <c r="B104" s="14" t="s">
        <v>363</v>
      </c>
      <c r="C104" s="14">
        <f>VALUE(RIGHT(B104,LEN(B104)-4))</f>
        <v>104</v>
      </c>
      <c r="D104" s="15">
        <v>45668</v>
      </c>
      <c r="E104" s="15"/>
      <c r="F104" s="16"/>
      <c r="G104" s="16" t="s">
        <v>364</v>
      </c>
      <c r="H104" s="14" t="s">
        <v>52</v>
      </c>
      <c r="I104" s="14" t="s">
        <v>89</v>
      </c>
      <c r="J104" s="16" t="s">
        <v>222</v>
      </c>
      <c r="K104" s="16" t="s">
        <v>80</v>
      </c>
      <c r="L104" s="14" t="s">
        <v>54</v>
      </c>
      <c r="M104" s="14" t="s">
        <v>241</v>
      </c>
      <c r="N104" s="14" t="s">
        <v>3</v>
      </c>
      <c r="O104" s="14"/>
      <c r="P104" s="14"/>
      <c r="Q104" s="16"/>
      <c r="R104" s="16" t="s">
        <v>365</v>
      </c>
    </row>
    <row r="105" spans="1:18" ht="43.5">
      <c r="A105" s="7" t="s">
        <v>60</v>
      </c>
      <c r="B105" s="8" t="s">
        <v>366</v>
      </c>
      <c r="C105" s="8">
        <f>VALUE(RIGHT(B105,LEN(B105)-4))</f>
        <v>105</v>
      </c>
      <c r="D105" s="9"/>
      <c r="E105" s="9"/>
      <c r="F105" s="10" t="s">
        <v>352</v>
      </c>
      <c r="G105" s="10" t="s">
        <v>367</v>
      </c>
      <c r="H105" s="8"/>
      <c r="I105" s="8"/>
      <c r="J105" s="8"/>
      <c r="K105" s="8"/>
      <c r="L105" s="8" t="s">
        <v>288</v>
      </c>
      <c r="M105" s="8" t="s">
        <v>57</v>
      </c>
      <c r="N105" s="8" t="s">
        <v>58</v>
      </c>
      <c r="O105" s="8"/>
      <c r="P105" s="8"/>
      <c r="Q105" s="10"/>
      <c r="R105" s="10" t="s">
        <v>368</v>
      </c>
    </row>
    <row r="106" spans="1:18" ht="28.5">
      <c r="A106" s="7" t="s">
        <v>171</v>
      </c>
      <c r="B106" s="14" t="s">
        <v>369</v>
      </c>
      <c r="C106" s="14">
        <f>VALUE(RIGHT(B106,LEN(B106)-4))</f>
        <v>106</v>
      </c>
      <c r="D106" s="15">
        <v>45670</v>
      </c>
      <c r="E106" s="15"/>
      <c r="F106" s="16"/>
      <c r="G106" s="16" t="s">
        <v>370</v>
      </c>
      <c r="H106" s="14" t="s">
        <v>52</v>
      </c>
      <c r="I106" s="14" t="s">
        <v>53</v>
      </c>
      <c r="J106" s="14" t="s">
        <v>79</v>
      </c>
      <c r="K106" s="14" t="s">
        <v>80</v>
      </c>
      <c r="L106" s="14" t="s">
        <v>54</v>
      </c>
      <c r="M106" s="14" t="s">
        <v>371</v>
      </c>
      <c r="N106" s="14" t="s">
        <v>3</v>
      </c>
      <c r="O106" s="14"/>
      <c r="P106" s="14"/>
      <c r="Q106" s="16"/>
      <c r="R106" s="16" t="s">
        <v>372</v>
      </c>
    </row>
    <row r="107" spans="1:18" ht="57.75">
      <c r="A107" s="7" t="s">
        <v>49</v>
      </c>
      <c r="B107" s="8" t="s">
        <v>373</v>
      </c>
      <c r="C107" s="8">
        <f>VALUE(RIGHT(B107,LEN(B107)-4))</f>
        <v>107</v>
      </c>
      <c r="D107" s="9">
        <v>45670</v>
      </c>
      <c r="E107" s="9">
        <v>45680</v>
      </c>
      <c r="F107" s="10"/>
      <c r="G107" s="10" t="s">
        <v>374</v>
      </c>
      <c r="H107" s="8" t="s">
        <v>52</v>
      </c>
      <c r="I107" s="8" t="s">
        <v>89</v>
      </c>
      <c r="J107" s="8" t="s">
        <v>222</v>
      </c>
      <c r="K107" s="8" t="s">
        <v>80</v>
      </c>
      <c r="L107" s="8" t="s">
        <v>54</v>
      </c>
      <c r="M107" s="8" t="s">
        <v>227</v>
      </c>
      <c r="N107" s="8" t="s">
        <v>58</v>
      </c>
      <c r="O107" s="8"/>
      <c r="P107" s="8"/>
      <c r="Q107" s="10"/>
      <c r="R107" s="10" t="s">
        <v>375</v>
      </c>
    </row>
    <row r="108" spans="1:18" ht="28.5">
      <c r="A108" s="7" t="s">
        <v>60</v>
      </c>
      <c r="B108" s="17" t="s">
        <v>376</v>
      </c>
      <c r="C108" s="17">
        <f>VALUE(RIGHT(B108,LEN(B108)-4))</f>
        <v>108</v>
      </c>
      <c r="D108" s="18"/>
      <c r="E108" s="18"/>
      <c r="F108" s="19" t="s">
        <v>369</v>
      </c>
      <c r="G108" s="19" t="s">
        <v>377</v>
      </c>
      <c r="H108" s="17"/>
      <c r="I108" s="17"/>
      <c r="J108" s="17" t="s">
        <v>56</v>
      </c>
      <c r="K108" s="17"/>
      <c r="L108" s="17" t="s">
        <v>79</v>
      </c>
      <c r="M108" s="17" t="s">
        <v>57</v>
      </c>
      <c r="N108" s="17" t="s">
        <v>144</v>
      </c>
      <c r="O108" s="17"/>
      <c r="P108" s="17"/>
      <c r="Q108" s="19"/>
      <c r="R108" s="19" t="s">
        <v>377</v>
      </c>
    </row>
    <row r="109" spans="1:18" ht="28.5">
      <c r="A109" s="7" t="s">
        <v>60</v>
      </c>
      <c r="B109" s="8" t="s">
        <v>378</v>
      </c>
      <c r="C109" s="8">
        <f>VALUE(RIGHT(B109,LEN(B109)-4))</f>
        <v>109</v>
      </c>
      <c r="D109" s="9"/>
      <c r="E109" s="9"/>
      <c r="F109" s="10" t="s">
        <v>369</v>
      </c>
      <c r="G109" s="10" t="s">
        <v>379</v>
      </c>
      <c r="H109" s="8"/>
      <c r="I109" s="8"/>
      <c r="J109" s="8" t="s">
        <v>380</v>
      </c>
      <c r="K109" s="8"/>
      <c r="L109" s="8" t="s">
        <v>79</v>
      </c>
      <c r="M109" s="8" t="s">
        <v>57</v>
      </c>
      <c r="N109" s="8" t="s">
        <v>58</v>
      </c>
      <c r="O109" s="8"/>
      <c r="P109" s="8"/>
      <c r="Q109" s="10"/>
      <c r="R109" s="10" t="s">
        <v>372</v>
      </c>
    </row>
    <row r="110" spans="1:18" ht="87">
      <c r="A110" s="7" t="s">
        <v>171</v>
      </c>
      <c r="B110" s="14" t="s">
        <v>381</v>
      </c>
      <c r="C110" s="14">
        <f>VALUE(RIGHT(B110,LEN(B110)-4))</f>
        <v>110</v>
      </c>
      <c r="D110" s="15">
        <v>45671</v>
      </c>
      <c r="E110" s="15"/>
      <c r="F110" s="16"/>
      <c r="G110" s="16" t="s">
        <v>382</v>
      </c>
      <c r="H110" s="14" t="s">
        <v>225</v>
      </c>
      <c r="I110" s="14" t="s">
        <v>383</v>
      </c>
      <c r="J110" s="14"/>
      <c r="K110" s="14"/>
      <c r="L110" s="14" t="s">
        <v>54</v>
      </c>
      <c r="M110" s="14" t="s">
        <v>227</v>
      </c>
      <c r="N110" s="14" t="s">
        <v>3</v>
      </c>
      <c r="O110" s="14"/>
      <c r="P110" s="14"/>
      <c r="Q110" s="16"/>
      <c r="R110" s="16" t="s">
        <v>384</v>
      </c>
    </row>
    <row r="111" spans="1:18">
      <c r="A111" s="7" t="s">
        <v>49</v>
      </c>
      <c r="B111" s="17" t="s">
        <v>385</v>
      </c>
      <c r="C111" s="17">
        <f>VALUE(RIGHT(B111,LEN(B111)-4))</f>
        <v>111</v>
      </c>
      <c r="D111" s="18">
        <v>45671</v>
      </c>
      <c r="E111" s="18"/>
      <c r="F111" s="19"/>
      <c r="G111" s="19" t="s">
        <v>386</v>
      </c>
      <c r="H111" s="17" t="s">
        <v>350</v>
      </c>
      <c r="I111" s="17" t="s">
        <v>53</v>
      </c>
      <c r="J111" s="17" t="s">
        <v>71</v>
      </c>
      <c r="K111" s="17" t="s">
        <v>72</v>
      </c>
      <c r="L111" s="17" t="s">
        <v>71</v>
      </c>
      <c r="M111" s="17" t="s">
        <v>57</v>
      </c>
      <c r="N111" s="17" t="s">
        <v>144</v>
      </c>
      <c r="O111" s="17"/>
      <c r="P111" s="17"/>
      <c r="Q111" s="19" t="s">
        <v>336</v>
      </c>
      <c r="R111" s="19" t="s">
        <v>387</v>
      </c>
    </row>
    <row r="112" spans="1:18">
      <c r="A112" s="7" t="s">
        <v>60</v>
      </c>
      <c r="B112" s="14" t="s">
        <v>388</v>
      </c>
      <c r="C112" s="14">
        <f>VALUE(RIGHT(B112,LEN(B112)-4))</f>
        <v>112</v>
      </c>
      <c r="D112" s="15"/>
      <c r="E112" s="15"/>
      <c r="F112" s="16" t="s">
        <v>385</v>
      </c>
      <c r="G112" s="16" t="s">
        <v>389</v>
      </c>
      <c r="H112" s="14"/>
      <c r="I112" s="14"/>
      <c r="J112" s="14"/>
      <c r="K112" s="14"/>
      <c r="L112" s="14" t="s">
        <v>71</v>
      </c>
      <c r="M112" s="14" t="s">
        <v>57</v>
      </c>
      <c r="N112" s="14" t="s">
        <v>3</v>
      </c>
      <c r="O112" s="14"/>
      <c r="P112" s="14"/>
      <c r="Q112" s="16"/>
      <c r="R112" s="16"/>
    </row>
    <row r="113" spans="1:18">
      <c r="A113" s="7" t="s">
        <v>60</v>
      </c>
      <c r="B113" s="14" t="s">
        <v>390</v>
      </c>
      <c r="C113" s="14">
        <f>VALUE(RIGHT(B113,LEN(B113)-4))</f>
        <v>113</v>
      </c>
      <c r="D113" s="15"/>
      <c r="E113" s="15"/>
      <c r="F113" s="16" t="s">
        <v>385</v>
      </c>
      <c r="G113" s="16" t="s">
        <v>391</v>
      </c>
      <c r="H113" s="14"/>
      <c r="I113" s="14"/>
      <c r="J113" s="14"/>
      <c r="K113" s="14"/>
      <c r="L113" s="14" t="s">
        <v>71</v>
      </c>
      <c r="M113" s="14" t="s">
        <v>57</v>
      </c>
      <c r="N113" s="14" t="s">
        <v>3</v>
      </c>
      <c r="O113" s="14"/>
      <c r="P113" s="14"/>
      <c r="Q113" s="16"/>
      <c r="R113" s="16"/>
    </row>
    <row r="114" spans="1:18">
      <c r="A114" s="7" t="s">
        <v>60</v>
      </c>
      <c r="B114" s="14" t="s">
        <v>392</v>
      </c>
      <c r="C114" s="14">
        <f>VALUE(RIGHT(B114,LEN(B114)-4))</f>
        <v>114</v>
      </c>
      <c r="D114" s="15"/>
      <c r="E114" s="15"/>
      <c r="F114" s="16" t="s">
        <v>385</v>
      </c>
      <c r="G114" s="16" t="s">
        <v>393</v>
      </c>
      <c r="H114" s="14"/>
      <c r="I114" s="14"/>
      <c r="J114" s="14"/>
      <c r="K114" s="14"/>
      <c r="L114" s="14" t="s">
        <v>71</v>
      </c>
      <c r="M114" s="14" t="s">
        <v>57</v>
      </c>
      <c r="N114" s="14" t="s">
        <v>3</v>
      </c>
      <c r="O114" s="14"/>
      <c r="P114" s="14"/>
      <c r="Q114" s="16"/>
      <c r="R114" s="16"/>
    </row>
    <row r="115" spans="1:18">
      <c r="A115" s="7" t="s">
        <v>60</v>
      </c>
      <c r="B115" s="14" t="s">
        <v>394</v>
      </c>
      <c r="C115" s="14">
        <f>VALUE(RIGHT(B115,LEN(B115)-4))</f>
        <v>115</v>
      </c>
      <c r="D115" s="15"/>
      <c r="E115" s="15"/>
      <c r="F115" s="16" t="s">
        <v>385</v>
      </c>
      <c r="G115" s="16" t="s">
        <v>395</v>
      </c>
      <c r="H115" s="14"/>
      <c r="I115" s="14"/>
      <c r="J115" s="14"/>
      <c r="K115" s="14"/>
      <c r="L115" s="14" t="s">
        <v>71</v>
      </c>
      <c r="M115" s="14" t="s">
        <v>57</v>
      </c>
      <c r="N115" s="14" t="s">
        <v>3</v>
      </c>
      <c r="O115" s="14"/>
      <c r="P115" s="14"/>
      <c r="Q115" s="16"/>
      <c r="R115" s="16"/>
    </row>
    <row r="116" spans="1:18">
      <c r="A116" s="7" t="s">
        <v>60</v>
      </c>
      <c r="B116" s="14" t="s">
        <v>396</v>
      </c>
      <c r="C116" s="14">
        <f>VALUE(RIGHT(B116,LEN(B116)-4))</f>
        <v>116</v>
      </c>
      <c r="D116" s="15"/>
      <c r="E116" s="15"/>
      <c r="F116" s="16" t="s">
        <v>385</v>
      </c>
      <c r="G116" s="16" t="s">
        <v>397</v>
      </c>
      <c r="H116" s="14"/>
      <c r="I116" s="14"/>
      <c r="J116" s="14"/>
      <c r="K116" s="14"/>
      <c r="L116" s="14" t="s">
        <v>71</v>
      </c>
      <c r="M116" s="14" t="s">
        <v>57</v>
      </c>
      <c r="N116" s="14" t="s">
        <v>3</v>
      </c>
      <c r="O116" s="14"/>
      <c r="P116" s="14"/>
      <c r="Q116" s="16"/>
      <c r="R116" s="16"/>
    </row>
    <row r="117" spans="1:18" ht="28.5">
      <c r="A117" s="7" t="s">
        <v>49</v>
      </c>
      <c r="B117" s="8" t="s">
        <v>398</v>
      </c>
      <c r="C117" s="14">
        <f>VALUE(RIGHT(B117,LEN(B117)-4))</f>
        <v>117</v>
      </c>
      <c r="D117" s="9">
        <v>45671</v>
      </c>
      <c r="E117" s="9"/>
      <c r="F117" s="10"/>
      <c r="G117" s="10" t="s">
        <v>399</v>
      </c>
      <c r="H117" s="8" t="s">
        <v>75</v>
      </c>
      <c r="I117" s="8" t="s">
        <v>115</v>
      </c>
      <c r="J117" s="8" t="s">
        <v>202</v>
      </c>
      <c r="K117" s="8" t="s">
        <v>55</v>
      </c>
      <c r="L117" s="8" t="s">
        <v>54</v>
      </c>
      <c r="M117" s="8" t="s">
        <v>227</v>
      </c>
      <c r="N117" s="8" t="s">
        <v>58</v>
      </c>
      <c r="O117" s="8"/>
      <c r="P117" s="8"/>
      <c r="Q117" s="10"/>
      <c r="R117" s="10"/>
    </row>
    <row r="118" spans="1:18" s="26" customFormat="1" ht="28.5">
      <c r="A118" s="25" t="s">
        <v>49</v>
      </c>
      <c r="B118" s="8" t="s">
        <v>400</v>
      </c>
      <c r="C118" s="14">
        <f>VALUE(RIGHT(B118,LEN(B118)-4))</f>
        <v>118</v>
      </c>
      <c r="D118" s="9">
        <v>45671</v>
      </c>
      <c r="E118" s="9"/>
      <c r="F118" s="10"/>
      <c r="G118" s="10" t="s">
        <v>401</v>
      </c>
      <c r="H118" s="8" t="s">
        <v>75</v>
      </c>
      <c r="I118" s="8" t="s">
        <v>115</v>
      </c>
      <c r="J118" s="8" t="s">
        <v>202</v>
      </c>
      <c r="K118" s="8" t="s">
        <v>55</v>
      </c>
      <c r="L118" s="8" t="s">
        <v>54</v>
      </c>
      <c r="M118" s="8" t="s">
        <v>227</v>
      </c>
      <c r="N118" s="8" t="s">
        <v>58</v>
      </c>
      <c r="O118" s="8"/>
      <c r="P118" s="8"/>
      <c r="Q118" s="10"/>
      <c r="R118" s="10"/>
    </row>
    <row r="119" spans="1:18" ht="28.5">
      <c r="A119" s="7" t="s">
        <v>49</v>
      </c>
      <c r="B119" s="8" t="s">
        <v>402</v>
      </c>
      <c r="C119" s="8">
        <f>VALUE(RIGHT(B119,LEN(B119)-4))</f>
        <v>119</v>
      </c>
      <c r="D119" s="9">
        <v>45671</v>
      </c>
      <c r="E119" s="9">
        <v>45671</v>
      </c>
      <c r="F119" s="10"/>
      <c r="G119" s="10" t="s">
        <v>403</v>
      </c>
      <c r="H119" s="8" t="s">
        <v>75</v>
      </c>
      <c r="I119" s="8" t="s">
        <v>115</v>
      </c>
      <c r="J119" s="8" t="s">
        <v>202</v>
      </c>
      <c r="K119" s="8" t="s">
        <v>55</v>
      </c>
      <c r="L119" s="8" t="s">
        <v>54</v>
      </c>
      <c r="M119" s="8" t="s">
        <v>227</v>
      </c>
      <c r="N119" s="8" t="s">
        <v>58</v>
      </c>
      <c r="O119" s="8"/>
      <c r="P119" s="8"/>
      <c r="Q119" s="10" t="s">
        <v>404</v>
      </c>
      <c r="R119" s="10" t="s">
        <v>405</v>
      </c>
    </row>
    <row r="120" spans="1:18" ht="28.5">
      <c r="A120" s="7" t="s">
        <v>49</v>
      </c>
      <c r="B120" s="8" t="s">
        <v>406</v>
      </c>
      <c r="C120" s="8">
        <f>VALUE(RIGHT(B120,LEN(B120)-4))</f>
        <v>120</v>
      </c>
      <c r="D120" s="9">
        <v>45671</v>
      </c>
      <c r="E120" s="9"/>
      <c r="F120" s="10"/>
      <c r="G120" s="10" t="s">
        <v>407</v>
      </c>
      <c r="H120" s="8" t="s">
        <v>75</v>
      </c>
      <c r="I120" s="8" t="s">
        <v>67</v>
      </c>
      <c r="J120" s="8" t="s">
        <v>202</v>
      </c>
      <c r="K120" s="8" t="s">
        <v>55</v>
      </c>
      <c r="L120" s="8" t="s">
        <v>54</v>
      </c>
      <c r="M120" s="8" t="s">
        <v>227</v>
      </c>
      <c r="N120" s="8" t="s">
        <v>58</v>
      </c>
      <c r="O120" s="8"/>
      <c r="P120" s="8"/>
      <c r="Q120" s="10"/>
      <c r="R120" s="10" t="s">
        <v>408</v>
      </c>
    </row>
    <row r="121" spans="1:18" ht="43.5">
      <c r="A121" s="7" t="s">
        <v>49</v>
      </c>
      <c r="B121" s="8" t="s">
        <v>409</v>
      </c>
      <c r="C121" s="8">
        <f>VALUE(RIGHT(B121,LEN(B121)-4))</f>
        <v>121</v>
      </c>
      <c r="D121" s="9">
        <v>45671</v>
      </c>
      <c r="E121" s="9">
        <v>45671</v>
      </c>
      <c r="F121" s="10"/>
      <c r="G121" s="10" t="s">
        <v>410</v>
      </c>
      <c r="H121" s="8" t="s">
        <v>75</v>
      </c>
      <c r="I121" s="8" t="s">
        <v>235</v>
      </c>
      <c r="J121" s="8" t="s">
        <v>202</v>
      </c>
      <c r="K121" s="8" t="s">
        <v>55</v>
      </c>
      <c r="L121" s="8" t="s">
        <v>54</v>
      </c>
      <c r="M121" s="8" t="s">
        <v>227</v>
      </c>
      <c r="N121" s="8" t="s">
        <v>58</v>
      </c>
      <c r="O121" s="8"/>
      <c r="P121" s="8"/>
      <c r="Q121" s="10"/>
      <c r="R121" s="10"/>
    </row>
    <row r="122" spans="1:18" ht="43.5">
      <c r="A122" s="7" t="s">
        <v>49</v>
      </c>
      <c r="B122" s="8" t="s">
        <v>411</v>
      </c>
      <c r="C122" s="8">
        <f>VALUE(RIGHT(B122,LEN(B122)-4))</f>
        <v>122</v>
      </c>
      <c r="D122" s="9">
        <v>45671</v>
      </c>
      <c r="E122" s="9">
        <v>45671</v>
      </c>
      <c r="F122" s="10"/>
      <c r="G122" s="10" t="s">
        <v>412</v>
      </c>
      <c r="H122" s="8" t="s">
        <v>75</v>
      </c>
      <c r="I122" s="8" t="s">
        <v>235</v>
      </c>
      <c r="J122" s="8" t="s">
        <v>202</v>
      </c>
      <c r="K122" s="8" t="s">
        <v>55</v>
      </c>
      <c r="L122" s="8" t="s">
        <v>54</v>
      </c>
      <c r="M122" s="8" t="s">
        <v>227</v>
      </c>
      <c r="N122" s="8" t="s">
        <v>58</v>
      </c>
      <c r="O122" s="8"/>
      <c r="P122" s="8"/>
      <c r="Q122" s="10"/>
      <c r="R122" s="10"/>
    </row>
    <row r="123" spans="1:18" ht="28.5">
      <c r="A123" s="7" t="s">
        <v>49</v>
      </c>
      <c r="B123" s="8" t="s">
        <v>413</v>
      </c>
      <c r="C123" s="8">
        <f>VALUE(RIGHT(B123,LEN(B123)-4))</f>
        <v>123</v>
      </c>
      <c r="D123" s="9">
        <v>45671</v>
      </c>
      <c r="E123" s="9">
        <v>45671</v>
      </c>
      <c r="F123" s="10"/>
      <c r="G123" s="10" t="s">
        <v>414</v>
      </c>
      <c r="H123" s="8" t="s">
        <v>75</v>
      </c>
      <c r="I123" s="8" t="s">
        <v>415</v>
      </c>
      <c r="J123" s="8" t="s">
        <v>202</v>
      </c>
      <c r="K123" s="8" t="s">
        <v>55</v>
      </c>
      <c r="L123" s="8" t="s">
        <v>54</v>
      </c>
      <c r="M123" s="8" t="s">
        <v>57</v>
      </c>
      <c r="N123" s="8" t="s">
        <v>58</v>
      </c>
      <c r="O123" s="8"/>
      <c r="P123" s="8"/>
      <c r="Q123" s="10"/>
      <c r="R123" s="10"/>
    </row>
    <row r="124" spans="1:18" ht="28.5">
      <c r="A124" s="7" t="s">
        <v>49</v>
      </c>
      <c r="B124" s="17" t="s">
        <v>416</v>
      </c>
      <c r="C124" s="17">
        <f>VALUE(RIGHT(B124,LEN(B124)-4))</f>
        <v>124</v>
      </c>
      <c r="D124" s="18">
        <v>45671</v>
      </c>
      <c r="E124" s="18"/>
      <c r="F124" s="19"/>
      <c r="G124" s="19" t="s">
        <v>417</v>
      </c>
      <c r="H124" s="17" t="s">
        <v>75</v>
      </c>
      <c r="I124" s="17" t="s">
        <v>415</v>
      </c>
      <c r="J124" s="17" t="s">
        <v>202</v>
      </c>
      <c r="K124" s="17" t="s">
        <v>55</v>
      </c>
      <c r="L124" s="17" t="s">
        <v>54</v>
      </c>
      <c r="M124" s="17" t="s">
        <v>57</v>
      </c>
      <c r="N124" s="17" t="s">
        <v>144</v>
      </c>
      <c r="O124" s="17"/>
      <c r="P124" s="17"/>
      <c r="Q124" s="19"/>
      <c r="R124" s="19"/>
    </row>
    <row r="125" spans="1:18" ht="28.5">
      <c r="A125" s="7" t="s">
        <v>49</v>
      </c>
      <c r="B125" s="17" t="s">
        <v>418</v>
      </c>
      <c r="C125" s="17">
        <f>VALUE(RIGHT(B125,LEN(B125)-4))</f>
        <v>125</v>
      </c>
      <c r="D125" s="18">
        <v>45671</v>
      </c>
      <c r="E125" s="18"/>
      <c r="F125" s="19"/>
      <c r="G125" s="19" t="s">
        <v>419</v>
      </c>
      <c r="H125" s="17" t="s">
        <v>75</v>
      </c>
      <c r="I125" s="17" t="s">
        <v>235</v>
      </c>
      <c r="J125" s="17" t="s">
        <v>202</v>
      </c>
      <c r="K125" s="17" t="s">
        <v>55</v>
      </c>
      <c r="L125" s="17" t="s">
        <v>54</v>
      </c>
      <c r="M125" s="17" t="s">
        <v>57</v>
      </c>
      <c r="N125" s="17" t="s">
        <v>144</v>
      </c>
      <c r="O125" s="17"/>
      <c r="P125" s="17"/>
      <c r="Q125" s="19"/>
      <c r="R125" s="19"/>
    </row>
    <row r="126" spans="1:18" ht="43.5">
      <c r="A126" s="7" t="s">
        <v>49</v>
      </c>
      <c r="B126" s="8" t="s">
        <v>420</v>
      </c>
      <c r="C126" s="17">
        <f>VALUE(RIGHT(B126,LEN(B126)-4))</f>
        <v>126</v>
      </c>
      <c r="D126" s="9">
        <v>45671</v>
      </c>
      <c r="E126" s="9"/>
      <c r="F126" s="10"/>
      <c r="G126" s="10" t="s">
        <v>421</v>
      </c>
      <c r="H126" s="8" t="s">
        <v>75</v>
      </c>
      <c r="I126" s="8" t="s">
        <v>235</v>
      </c>
      <c r="J126" s="8" t="s">
        <v>202</v>
      </c>
      <c r="K126" s="8" t="s">
        <v>55</v>
      </c>
      <c r="L126" s="8" t="s">
        <v>54</v>
      </c>
      <c r="M126" s="8" t="s">
        <v>57</v>
      </c>
      <c r="N126" s="8" t="s">
        <v>58</v>
      </c>
      <c r="O126" s="8"/>
      <c r="P126" s="8"/>
      <c r="Q126" s="10"/>
      <c r="R126" s="10"/>
    </row>
    <row r="127" spans="1:18" ht="28.5">
      <c r="A127" s="7" t="s">
        <v>49</v>
      </c>
      <c r="B127" s="14" t="s">
        <v>422</v>
      </c>
      <c r="C127" s="14">
        <f>VALUE(RIGHT(B127,LEN(B127)-4))</f>
        <v>127</v>
      </c>
      <c r="D127" s="15">
        <v>45671</v>
      </c>
      <c r="E127" s="15"/>
      <c r="F127" s="16"/>
      <c r="G127" s="16" t="s">
        <v>423</v>
      </c>
      <c r="H127" s="14" t="s">
        <v>75</v>
      </c>
      <c r="I127" s="14" t="s">
        <v>235</v>
      </c>
      <c r="J127" s="14" t="s">
        <v>202</v>
      </c>
      <c r="K127" s="14" t="s">
        <v>55</v>
      </c>
      <c r="L127" s="14" t="s">
        <v>54</v>
      </c>
      <c r="M127" s="14" t="s">
        <v>57</v>
      </c>
      <c r="N127" s="27" t="s">
        <v>144</v>
      </c>
      <c r="O127" s="27"/>
      <c r="P127" s="28">
        <v>45808</v>
      </c>
      <c r="Q127" s="16"/>
      <c r="R127" s="16"/>
    </row>
    <row r="128" spans="1:18" ht="43.5">
      <c r="A128" s="7" t="s">
        <v>49</v>
      </c>
      <c r="B128" s="14" t="s">
        <v>424</v>
      </c>
      <c r="C128" s="14">
        <f>VALUE(RIGHT(B128,LEN(B128)-4))</f>
        <v>128</v>
      </c>
      <c r="D128" s="15">
        <v>45671</v>
      </c>
      <c r="E128" s="15"/>
      <c r="F128" s="16"/>
      <c r="G128" s="16" t="s">
        <v>425</v>
      </c>
      <c r="H128" s="14" t="s">
        <v>75</v>
      </c>
      <c r="I128" s="14" t="s">
        <v>235</v>
      </c>
      <c r="J128" s="14" t="s">
        <v>202</v>
      </c>
      <c r="K128" s="14" t="s">
        <v>55</v>
      </c>
      <c r="L128" s="14" t="s">
        <v>54</v>
      </c>
      <c r="M128" s="14" t="s">
        <v>227</v>
      </c>
      <c r="N128" s="27" t="s">
        <v>144</v>
      </c>
      <c r="O128" s="27"/>
      <c r="P128" s="28">
        <v>45808</v>
      </c>
      <c r="Q128" s="16"/>
      <c r="R128" s="16"/>
    </row>
    <row r="129" spans="1:18">
      <c r="A129" s="7" t="s">
        <v>49</v>
      </c>
      <c r="B129" s="17" t="s">
        <v>426</v>
      </c>
      <c r="C129" s="14">
        <f>VALUE(RIGHT(B129,LEN(B129)-4))</f>
        <v>129</v>
      </c>
      <c r="D129" s="18">
        <v>45671</v>
      </c>
      <c r="E129" s="18"/>
      <c r="F129" s="19"/>
      <c r="G129" s="19" t="s">
        <v>427</v>
      </c>
      <c r="H129" s="17" t="s">
        <v>75</v>
      </c>
      <c r="I129" s="17" t="s">
        <v>53</v>
      </c>
      <c r="J129" s="17" t="s">
        <v>202</v>
      </c>
      <c r="K129" s="17" t="s">
        <v>55</v>
      </c>
      <c r="L129" s="17" t="s">
        <v>54</v>
      </c>
      <c r="M129" s="17" t="s">
        <v>57</v>
      </c>
      <c r="N129" s="17" t="s">
        <v>144</v>
      </c>
      <c r="O129" s="17"/>
      <c r="P129" s="29">
        <v>45772</v>
      </c>
      <c r="Q129" s="19"/>
      <c r="R129" s="19" t="s">
        <v>428</v>
      </c>
    </row>
    <row r="130" spans="1:18" ht="43.5">
      <c r="A130" s="7" t="s">
        <v>49</v>
      </c>
      <c r="B130" s="14" t="s">
        <v>429</v>
      </c>
      <c r="C130" s="14">
        <f>VALUE(RIGHT(B130,LEN(B130)-4))</f>
        <v>130</v>
      </c>
      <c r="D130" s="15">
        <v>45671</v>
      </c>
      <c r="E130" s="15"/>
      <c r="F130" s="16"/>
      <c r="G130" s="16" t="s">
        <v>430</v>
      </c>
      <c r="H130" s="14" t="s">
        <v>75</v>
      </c>
      <c r="I130" s="14" t="s">
        <v>415</v>
      </c>
      <c r="J130" s="14" t="s">
        <v>202</v>
      </c>
      <c r="K130" s="14" t="s">
        <v>55</v>
      </c>
      <c r="L130" s="14" t="s">
        <v>54</v>
      </c>
      <c r="M130" s="14" t="s">
        <v>57</v>
      </c>
      <c r="N130" s="14" t="s">
        <v>3</v>
      </c>
      <c r="O130" s="14"/>
      <c r="P130" s="14"/>
      <c r="Q130" s="16"/>
      <c r="R130" s="16"/>
    </row>
    <row r="131" spans="1:18" ht="43.5">
      <c r="A131" s="7" t="s">
        <v>49</v>
      </c>
      <c r="B131" s="8" t="s">
        <v>431</v>
      </c>
      <c r="C131" s="8">
        <f>VALUE(RIGHT(B131,LEN(B131)-4))</f>
        <v>131</v>
      </c>
      <c r="D131" s="9">
        <v>45671</v>
      </c>
      <c r="E131" s="9">
        <v>45671</v>
      </c>
      <c r="F131" s="10"/>
      <c r="G131" s="10" t="s">
        <v>432</v>
      </c>
      <c r="H131" s="8" t="s">
        <v>75</v>
      </c>
      <c r="I131" s="8" t="s">
        <v>415</v>
      </c>
      <c r="J131" s="8" t="s">
        <v>202</v>
      </c>
      <c r="K131" s="8" t="s">
        <v>55</v>
      </c>
      <c r="L131" s="8" t="s">
        <v>54</v>
      </c>
      <c r="M131" s="8" t="s">
        <v>57</v>
      </c>
      <c r="N131" s="8" t="s">
        <v>58</v>
      </c>
      <c r="O131" s="8"/>
      <c r="P131" s="8"/>
      <c r="Q131" s="10"/>
      <c r="R131" s="10"/>
    </row>
    <row r="132" spans="1:18" ht="28.5">
      <c r="A132" s="7" t="s">
        <v>49</v>
      </c>
      <c r="B132" s="14" t="s">
        <v>433</v>
      </c>
      <c r="C132" s="14">
        <f>VALUE(RIGHT(B132,LEN(B132)-4))</f>
        <v>132</v>
      </c>
      <c r="D132" s="15">
        <v>45671</v>
      </c>
      <c r="E132" s="15"/>
      <c r="F132" s="16"/>
      <c r="G132" s="16" t="s">
        <v>434</v>
      </c>
      <c r="H132" s="14" t="s">
        <v>75</v>
      </c>
      <c r="I132" s="14" t="s">
        <v>415</v>
      </c>
      <c r="J132" s="14" t="s">
        <v>202</v>
      </c>
      <c r="K132" s="14" t="s">
        <v>55</v>
      </c>
      <c r="L132" s="14" t="s">
        <v>54</v>
      </c>
      <c r="M132" s="14" t="s">
        <v>57</v>
      </c>
      <c r="N132" s="14" t="s">
        <v>3</v>
      </c>
      <c r="O132" s="14"/>
      <c r="P132" s="14"/>
      <c r="Q132" s="16"/>
      <c r="R132" s="16"/>
    </row>
    <row r="133" spans="1:18" ht="28.5">
      <c r="A133" s="7" t="s">
        <v>49</v>
      </c>
      <c r="B133" s="14" t="s">
        <v>435</v>
      </c>
      <c r="C133" s="14">
        <f>VALUE(RIGHT(B133,LEN(B133)-4))</f>
        <v>133</v>
      </c>
      <c r="D133" s="15">
        <v>45671</v>
      </c>
      <c r="E133" s="15"/>
      <c r="F133" s="16"/>
      <c r="G133" s="16" t="s">
        <v>436</v>
      </c>
      <c r="H133" s="14" t="s">
        <v>437</v>
      </c>
      <c r="I133" s="14" t="s">
        <v>415</v>
      </c>
      <c r="J133" s="14" t="s">
        <v>202</v>
      </c>
      <c r="K133" s="14" t="s">
        <v>55</v>
      </c>
      <c r="L133" s="14" t="s">
        <v>54</v>
      </c>
      <c r="M133" s="14" t="s">
        <v>57</v>
      </c>
      <c r="N133" s="14" t="s">
        <v>3</v>
      </c>
      <c r="O133" s="14"/>
      <c r="P133" s="14"/>
      <c r="Q133" s="16"/>
      <c r="R133" s="16"/>
    </row>
    <row r="134" spans="1:18" ht="28.5">
      <c r="A134" s="7" t="s">
        <v>49</v>
      </c>
      <c r="B134" s="8" t="s">
        <v>438</v>
      </c>
      <c r="C134" s="8">
        <f>VALUE(RIGHT(B134,LEN(B134)-4))</f>
        <v>134</v>
      </c>
      <c r="D134" s="9">
        <v>45671</v>
      </c>
      <c r="E134" s="9">
        <v>45671</v>
      </c>
      <c r="F134" s="10"/>
      <c r="G134" s="10" t="s">
        <v>439</v>
      </c>
      <c r="H134" s="8" t="s">
        <v>75</v>
      </c>
      <c r="I134" s="8" t="s">
        <v>415</v>
      </c>
      <c r="J134" s="8" t="s">
        <v>202</v>
      </c>
      <c r="K134" s="8" t="s">
        <v>55</v>
      </c>
      <c r="L134" s="8" t="s">
        <v>54</v>
      </c>
      <c r="M134" s="8" t="s">
        <v>57</v>
      </c>
      <c r="N134" s="8" t="s">
        <v>58</v>
      </c>
      <c r="O134" s="8"/>
      <c r="P134" s="8"/>
      <c r="Q134" s="10"/>
      <c r="R134" s="10"/>
    </row>
    <row r="135" spans="1:18" ht="43.5">
      <c r="A135" s="7" t="s">
        <v>49</v>
      </c>
      <c r="B135" s="17" t="s">
        <v>440</v>
      </c>
      <c r="C135" s="14">
        <f>VALUE(RIGHT(B135,LEN(B135)-4))</f>
        <v>135</v>
      </c>
      <c r="D135" s="18">
        <v>45671</v>
      </c>
      <c r="E135" s="18"/>
      <c r="F135" s="19"/>
      <c r="G135" s="19" t="s">
        <v>441</v>
      </c>
      <c r="H135" s="17" t="s">
        <v>75</v>
      </c>
      <c r="I135" s="17" t="s">
        <v>415</v>
      </c>
      <c r="J135" s="17" t="s">
        <v>202</v>
      </c>
      <c r="K135" s="17" t="s">
        <v>55</v>
      </c>
      <c r="L135" s="17" t="s">
        <v>54</v>
      </c>
      <c r="M135" s="17" t="s">
        <v>57</v>
      </c>
      <c r="N135" s="17" t="s">
        <v>144</v>
      </c>
      <c r="O135" s="17" t="s">
        <v>361</v>
      </c>
      <c r="P135" s="17"/>
      <c r="Q135" s="19"/>
      <c r="R135" s="19"/>
    </row>
    <row r="136" spans="1:18" ht="28.5">
      <c r="A136" s="7" t="s">
        <v>49</v>
      </c>
      <c r="B136" s="14" t="s">
        <v>442</v>
      </c>
      <c r="C136" s="14">
        <f>VALUE(RIGHT(B136,LEN(B136)-4))</f>
        <v>136</v>
      </c>
      <c r="D136" s="15">
        <v>45671</v>
      </c>
      <c r="E136" s="15"/>
      <c r="F136" s="16"/>
      <c r="G136" s="16" t="s">
        <v>443</v>
      </c>
      <c r="H136" s="14" t="s">
        <v>75</v>
      </c>
      <c r="I136" s="14" t="s">
        <v>415</v>
      </c>
      <c r="J136" s="14" t="s">
        <v>202</v>
      </c>
      <c r="K136" s="14" t="s">
        <v>55</v>
      </c>
      <c r="L136" s="14" t="s">
        <v>54</v>
      </c>
      <c r="M136" s="14" t="s">
        <v>57</v>
      </c>
      <c r="N136" s="14" t="s">
        <v>3</v>
      </c>
      <c r="O136" s="14"/>
      <c r="P136" s="14"/>
      <c r="Q136" s="16"/>
      <c r="R136" s="16" t="s">
        <v>444</v>
      </c>
    </row>
    <row r="137" spans="1:18" ht="28.5">
      <c r="A137" s="7" t="s">
        <v>49</v>
      </c>
      <c r="B137" s="14" t="s">
        <v>445</v>
      </c>
      <c r="C137" s="14">
        <f>VALUE(RIGHT(B137,LEN(B137)-4))</f>
        <v>137</v>
      </c>
      <c r="D137" s="15">
        <v>45671</v>
      </c>
      <c r="E137" s="15"/>
      <c r="F137" s="16"/>
      <c r="G137" s="16" t="s">
        <v>446</v>
      </c>
      <c r="H137" s="14" t="s">
        <v>75</v>
      </c>
      <c r="I137" s="14" t="s">
        <v>235</v>
      </c>
      <c r="J137" s="14" t="s">
        <v>202</v>
      </c>
      <c r="K137" s="14" t="s">
        <v>55</v>
      </c>
      <c r="L137" s="14" t="s">
        <v>54</v>
      </c>
      <c r="M137" s="14" t="s">
        <v>57</v>
      </c>
      <c r="N137" s="14" t="s">
        <v>3</v>
      </c>
      <c r="O137" s="14"/>
      <c r="P137" s="14"/>
      <c r="Q137" s="16"/>
      <c r="R137" s="16"/>
    </row>
    <row r="138" spans="1:18" ht="28.5">
      <c r="A138" s="7" t="s">
        <v>49</v>
      </c>
      <c r="B138" s="8" t="s">
        <v>447</v>
      </c>
      <c r="C138" s="8">
        <f>VALUE(RIGHT(B138,LEN(B138)-4))</f>
        <v>138</v>
      </c>
      <c r="D138" s="9">
        <v>45671</v>
      </c>
      <c r="E138" s="9">
        <v>45673</v>
      </c>
      <c r="F138" s="10"/>
      <c r="G138" s="10" t="s">
        <v>448</v>
      </c>
      <c r="H138" s="8" t="s">
        <v>75</v>
      </c>
      <c r="I138" s="8" t="s">
        <v>235</v>
      </c>
      <c r="J138" s="8"/>
      <c r="K138" s="8"/>
      <c r="L138" s="8" t="s">
        <v>54</v>
      </c>
      <c r="M138" s="8" t="s">
        <v>57</v>
      </c>
      <c r="N138" s="8" t="s">
        <v>58</v>
      </c>
      <c r="O138" s="8"/>
      <c r="P138" s="8"/>
      <c r="Q138" s="10"/>
      <c r="R138" s="10"/>
    </row>
    <row r="139" spans="1:18" ht="28.5">
      <c r="A139" s="7" t="s">
        <v>49</v>
      </c>
      <c r="B139" s="8" t="s">
        <v>449</v>
      </c>
      <c r="C139" s="8">
        <f>VALUE(RIGHT(B139,LEN(B139)-4))</f>
        <v>139</v>
      </c>
      <c r="D139" s="9">
        <v>45671</v>
      </c>
      <c r="E139" s="9">
        <v>45673</v>
      </c>
      <c r="F139" s="10"/>
      <c r="G139" s="10" t="s">
        <v>448</v>
      </c>
      <c r="H139" s="8" t="s">
        <v>75</v>
      </c>
      <c r="I139" s="8" t="s">
        <v>235</v>
      </c>
      <c r="J139" s="8"/>
      <c r="K139" s="8"/>
      <c r="L139" s="8" t="s">
        <v>54</v>
      </c>
      <c r="M139" s="8" t="s">
        <v>57</v>
      </c>
      <c r="N139" s="8" t="s">
        <v>58</v>
      </c>
      <c r="O139" s="8"/>
      <c r="P139" s="8"/>
      <c r="Q139" s="10"/>
      <c r="R139" s="10"/>
    </row>
    <row r="140" spans="1:18" ht="43.5">
      <c r="A140" s="7" t="s">
        <v>49</v>
      </c>
      <c r="B140" s="14" t="s">
        <v>450</v>
      </c>
      <c r="C140" s="14">
        <f>VALUE(RIGHT(B140,LEN(B140)-4))</f>
        <v>140</v>
      </c>
      <c r="D140" s="15">
        <v>45671</v>
      </c>
      <c r="E140" s="15"/>
      <c r="F140" s="16"/>
      <c r="G140" s="16" t="s">
        <v>451</v>
      </c>
      <c r="H140" s="14" t="s">
        <v>75</v>
      </c>
      <c r="I140" s="14" t="s">
        <v>235</v>
      </c>
      <c r="J140" s="14"/>
      <c r="K140" s="14"/>
      <c r="L140" s="14" t="s">
        <v>54</v>
      </c>
      <c r="M140" s="14" t="s">
        <v>57</v>
      </c>
      <c r="N140" s="14" t="s">
        <v>3</v>
      </c>
      <c r="O140" s="14"/>
      <c r="P140" s="14"/>
      <c r="Q140" s="16"/>
      <c r="R140" s="16"/>
    </row>
    <row r="141" spans="1:18" ht="28.5">
      <c r="A141" s="7" t="s">
        <v>49</v>
      </c>
      <c r="B141" s="8" t="s">
        <v>452</v>
      </c>
      <c r="C141" s="8">
        <f>VALUE(RIGHT(B141,LEN(B141)-4))</f>
        <v>141</v>
      </c>
      <c r="D141" s="9">
        <v>45671</v>
      </c>
      <c r="E141" s="9">
        <v>45671</v>
      </c>
      <c r="F141" s="10"/>
      <c r="G141" s="10" t="s">
        <v>453</v>
      </c>
      <c r="H141" s="8" t="s">
        <v>75</v>
      </c>
      <c r="I141" s="8" t="s">
        <v>235</v>
      </c>
      <c r="J141" s="8"/>
      <c r="K141" s="8"/>
      <c r="L141" s="8" t="s">
        <v>54</v>
      </c>
      <c r="M141" s="8" t="s">
        <v>57</v>
      </c>
      <c r="N141" s="8" t="s">
        <v>58</v>
      </c>
      <c r="O141" s="8"/>
      <c r="P141" s="8"/>
      <c r="Q141" s="10"/>
      <c r="R141" s="10"/>
    </row>
    <row r="142" spans="1:18" ht="28.5">
      <c r="A142" s="7" t="s">
        <v>171</v>
      </c>
      <c r="B142" s="14" t="s">
        <v>454</v>
      </c>
      <c r="C142" s="14">
        <f>VALUE(RIGHT(B142,LEN(B142)-4))</f>
        <v>142</v>
      </c>
      <c r="D142" s="15">
        <v>45671</v>
      </c>
      <c r="E142" s="15"/>
      <c r="F142" s="16"/>
      <c r="G142" s="16" t="s">
        <v>448</v>
      </c>
      <c r="H142" s="14" t="s">
        <v>75</v>
      </c>
      <c r="I142" s="14" t="s">
        <v>235</v>
      </c>
      <c r="J142" s="14"/>
      <c r="K142" s="14"/>
      <c r="L142" s="14" t="s">
        <v>54</v>
      </c>
      <c r="M142" s="14" t="s">
        <v>57</v>
      </c>
      <c r="N142" s="14" t="s">
        <v>3</v>
      </c>
      <c r="O142" s="14"/>
      <c r="P142" s="14"/>
      <c r="Q142" s="16"/>
      <c r="R142" s="16" t="s">
        <v>455</v>
      </c>
    </row>
    <row r="143" spans="1:18" ht="174">
      <c r="A143" s="7" t="s">
        <v>171</v>
      </c>
      <c r="B143" s="8" t="s">
        <v>456</v>
      </c>
      <c r="C143" s="8">
        <f>VALUE(RIGHT(B143,LEN(B143)-4))</f>
        <v>143</v>
      </c>
      <c r="D143" s="9">
        <v>45671</v>
      </c>
      <c r="E143" s="9">
        <v>45671</v>
      </c>
      <c r="F143" s="10"/>
      <c r="G143" s="10" t="s">
        <v>457</v>
      </c>
      <c r="H143" s="8" t="s">
        <v>75</v>
      </c>
      <c r="I143" s="8" t="s">
        <v>345</v>
      </c>
      <c r="J143" s="8"/>
      <c r="K143" s="8"/>
      <c r="L143" s="8" t="s">
        <v>54</v>
      </c>
      <c r="M143" s="8" t="s">
        <v>57</v>
      </c>
      <c r="N143" s="8" t="s">
        <v>58</v>
      </c>
      <c r="O143" s="8"/>
      <c r="P143" s="8"/>
      <c r="Q143" s="10"/>
      <c r="R143" s="10" t="s">
        <v>458</v>
      </c>
    </row>
    <row r="144" spans="1:18" ht="101.25">
      <c r="A144" s="7" t="s">
        <v>171</v>
      </c>
      <c r="B144" s="14" t="s">
        <v>459</v>
      </c>
      <c r="C144" s="14">
        <f>VALUE(RIGHT(B144,LEN(B144)-4))</f>
        <v>144</v>
      </c>
      <c r="D144" s="15">
        <v>45671</v>
      </c>
      <c r="E144" s="15"/>
      <c r="F144" s="16"/>
      <c r="G144" s="16" t="s">
        <v>460</v>
      </c>
      <c r="H144" s="14" t="s">
        <v>75</v>
      </c>
      <c r="I144" s="14" t="s">
        <v>235</v>
      </c>
      <c r="J144" s="14"/>
      <c r="K144" s="14"/>
      <c r="L144" s="14" t="s">
        <v>54</v>
      </c>
      <c r="M144" s="14" t="s">
        <v>57</v>
      </c>
      <c r="N144" s="14" t="s">
        <v>3</v>
      </c>
      <c r="O144" s="14"/>
      <c r="P144" s="14"/>
      <c r="Q144" s="16"/>
      <c r="R144" s="16" t="s">
        <v>461</v>
      </c>
    </row>
    <row r="145" spans="1:18" ht="57.75">
      <c r="A145" s="7" t="s">
        <v>171</v>
      </c>
      <c r="B145" s="17" t="s">
        <v>462</v>
      </c>
      <c r="C145" s="17">
        <f>VALUE(RIGHT(B145,LEN(B145)-4))</f>
        <v>145</v>
      </c>
      <c r="D145" s="18">
        <v>45671</v>
      </c>
      <c r="E145" s="18"/>
      <c r="F145" s="19"/>
      <c r="G145" s="19" t="s">
        <v>463</v>
      </c>
      <c r="H145" s="17" t="s">
        <v>75</v>
      </c>
      <c r="I145" s="17" t="s">
        <v>67</v>
      </c>
      <c r="J145" s="17"/>
      <c r="K145" s="17"/>
      <c r="L145" s="17" t="s">
        <v>54</v>
      </c>
      <c r="M145" s="17" t="s">
        <v>57</v>
      </c>
      <c r="N145" s="17" t="s">
        <v>144</v>
      </c>
      <c r="O145" s="17"/>
      <c r="P145" s="17"/>
      <c r="Q145" s="19"/>
      <c r="R145" s="19" t="s">
        <v>464</v>
      </c>
    </row>
    <row r="146" spans="1:18" ht="57.75">
      <c r="A146" s="7" t="s">
        <v>171</v>
      </c>
      <c r="B146" s="8" t="s">
        <v>465</v>
      </c>
      <c r="C146" s="8">
        <f>VALUE(RIGHT(B146,LEN(B146)-4))</f>
        <v>146</v>
      </c>
      <c r="D146" s="9">
        <v>45671</v>
      </c>
      <c r="E146" s="9">
        <v>45671</v>
      </c>
      <c r="F146" s="10"/>
      <c r="G146" s="10" t="s">
        <v>466</v>
      </c>
      <c r="H146" s="8" t="s">
        <v>75</v>
      </c>
      <c r="I146" s="8" t="s">
        <v>235</v>
      </c>
      <c r="J146" s="8"/>
      <c r="K146" s="8"/>
      <c r="L146" s="8" t="s">
        <v>54</v>
      </c>
      <c r="M146" s="8" t="s">
        <v>57</v>
      </c>
      <c r="N146" s="8" t="s">
        <v>58</v>
      </c>
      <c r="O146" s="8"/>
      <c r="P146" s="8"/>
      <c r="Q146" s="10"/>
      <c r="R146" s="10" t="s">
        <v>467</v>
      </c>
    </row>
    <row r="147" spans="1:18" ht="28.5">
      <c r="A147" s="7" t="s">
        <v>49</v>
      </c>
      <c r="B147" s="8" t="s">
        <v>468</v>
      </c>
      <c r="C147" s="17">
        <f>VALUE(RIGHT(B147,LEN(B147)-4))</f>
        <v>147</v>
      </c>
      <c r="D147" s="9">
        <v>45672</v>
      </c>
      <c r="E147" s="9">
        <v>45678</v>
      </c>
      <c r="F147" s="10"/>
      <c r="G147" s="10" t="s">
        <v>469</v>
      </c>
      <c r="H147" s="8" t="s">
        <v>107</v>
      </c>
      <c r="I147" s="8" t="s">
        <v>89</v>
      </c>
      <c r="J147" s="8" t="s">
        <v>71</v>
      </c>
      <c r="K147" s="8" t="s">
        <v>72</v>
      </c>
      <c r="L147" s="8" t="s">
        <v>54</v>
      </c>
      <c r="M147" s="8" t="s">
        <v>227</v>
      </c>
      <c r="N147" s="8" t="s">
        <v>58</v>
      </c>
      <c r="O147" s="8"/>
      <c r="P147" s="8"/>
      <c r="Q147" s="10"/>
      <c r="R147" s="10" t="s">
        <v>470</v>
      </c>
    </row>
    <row r="148" spans="1:18" ht="115.5">
      <c r="A148" s="7" t="s">
        <v>49</v>
      </c>
      <c r="B148" s="30" t="s">
        <v>471</v>
      </c>
      <c r="C148" s="31">
        <f>VALUE(RIGHT(B148,LEN(B148)-4))</f>
        <v>148</v>
      </c>
      <c r="D148" s="18">
        <v>45672</v>
      </c>
      <c r="E148" s="32"/>
      <c r="F148" s="19"/>
      <c r="G148" s="19" t="s">
        <v>472</v>
      </c>
      <c r="H148" s="17" t="s">
        <v>102</v>
      </c>
      <c r="I148" s="17" t="s">
        <v>89</v>
      </c>
      <c r="J148" s="17" t="s">
        <v>202</v>
      </c>
      <c r="K148" s="17" t="s">
        <v>55</v>
      </c>
      <c r="L148" s="17" t="s">
        <v>54</v>
      </c>
      <c r="M148" s="17" t="s">
        <v>227</v>
      </c>
      <c r="N148" s="17" t="s">
        <v>144</v>
      </c>
      <c r="O148" s="17" t="s">
        <v>289</v>
      </c>
      <c r="P148" s="17"/>
      <c r="Q148" s="19"/>
      <c r="R148" s="19" t="s">
        <v>473</v>
      </c>
    </row>
    <row r="149" spans="1:18" ht="101.25">
      <c r="A149" s="7" t="s">
        <v>49</v>
      </c>
      <c r="B149" s="8" t="s">
        <v>474</v>
      </c>
      <c r="C149" s="8">
        <f>VALUE(RIGHT(B149,LEN(B149)-4))</f>
        <v>149</v>
      </c>
      <c r="D149" s="9">
        <v>45672</v>
      </c>
      <c r="E149" s="9">
        <v>45681</v>
      </c>
      <c r="F149" s="10"/>
      <c r="G149" s="10" t="s">
        <v>475</v>
      </c>
      <c r="H149" s="8" t="s">
        <v>225</v>
      </c>
      <c r="I149" s="8" t="s">
        <v>89</v>
      </c>
      <c r="J149" s="8" t="s">
        <v>202</v>
      </c>
      <c r="K149" s="8" t="s">
        <v>55</v>
      </c>
      <c r="L149" s="8" t="s">
        <v>54</v>
      </c>
      <c r="M149" s="8" t="s">
        <v>227</v>
      </c>
      <c r="N149" s="8" t="s">
        <v>58</v>
      </c>
      <c r="O149" s="8" t="s">
        <v>289</v>
      </c>
      <c r="P149" s="8"/>
      <c r="Q149" s="10"/>
      <c r="R149" s="10" t="s">
        <v>476</v>
      </c>
    </row>
    <row r="150" spans="1:18" ht="28.5">
      <c r="A150" s="7" t="s">
        <v>49</v>
      </c>
      <c r="B150" s="8" t="s">
        <v>477</v>
      </c>
      <c r="C150" s="8">
        <f>VALUE(RIGHT(B150,LEN(B150)-4))</f>
        <v>150</v>
      </c>
      <c r="D150" s="9">
        <v>45672</v>
      </c>
      <c r="E150" s="9">
        <v>45709</v>
      </c>
      <c r="F150" s="10"/>
      <c r="G150" s="10" t="s">
        <v>478</v>
      </c>
      <c r="H150" s="8" t="s">
        <v>98</v>
      </c>
      <c r="I150" s="8" t="s">
        <v>53</v>
      </c>
      <c r="J150" s="8" t="s">
        <v>71</v>
      </c>
      <c r="K150" s="8" t="s">
        <v>72</v>
      </c>
      <c r="L150" s="8" t="s">
        <v>54</v>
      </c>
      <c r="M150" s="8" t="s">
        <v>227</v>
      </c>
      <c r="N150" s="8" t="s">
        <v>58</v>
      </c>
      <c r="O150" s="8" t="s">
        <v>479</v>
      </c>
      <c r="P150" s="8"/>
      <c r="Q150" s="10"/>
      <c r="R150" s="10" t="s">
        <v>480</v>
      </c>
    </row>
    <row r="151" spans="1:18" ht="28.5">
      <c r="A151" s="7" t="s">
        <v>49</v>
      </c>
      <c r="B151" s="8" t="s">
        <v>481</v>
      </c>
      <c r="C151" s="14">
        <f>VALUE(RIGHT(B151,LEN(B151)-4))</f>
        <v>151</v>
      </c>
      <c r="D151" s="9">
        <v>45672</v>
      </c>
      <c r="E151" s="9"/>
      <c r="F151" s="10"/>
      <c r="G151" s="10" t="s">
        <v>482</v>
      </c>
      <c r="H151" s="8" t="s">
        <v>75</v>
      </c>
      <c r="I151" s="8" t="s">
        <v>235</v>
      </c>
      <c r="J151" s="8" t="s">
        <v>202</v>
      </c>
      <c r="K151" s="8" t="s">
        <v>55</v>
      </c>
      <c r="L151" s="8" t="s">
        <v>54</v>
      </c>
      <c r="M151" s="8" t="s">
        <v>241</v>
      </c>
      <c r="N151" s="8" t="s">
        <v>58</v>
      </c>
      <c r="O151" s="8"/>
      <c r="P151" s="8"/>
      <c r="Q151" s="10"/>
      <c r="R151" s="10"/>
    </row>
    <row r="152" spans="1:18" ht="43.5">
      <c r="A152" s="7" t="s">
        <v>49</v>
      </c>
      <c r="B152" s="8" t="s">
        <v>483</v>
      </c>
      <c r="C152" s="8">
        <f>VALUE(RIGHT(B152,LEN(B152)-4))</f>
        <v>152</v>
      </c>
      <c r="D152" s="9">
        <v>45672</v>
      </c>
      <c r="E152" s="9">
        <v>45673</v>
      </c>
      <c r="F152" s="10"/>
      <c r="G152" s="10" t="s">
        <v>484</v>
      </c>
      <c r="H152" s="8" t="s">
        <v>75</v>
      </c>
      <c r="I152" s="8" t="s">
        <v>53</v>
      </c>
      <c r="J152" s="8" t="s">
        <v>54</v>
      </c>
      <c r="K152" s="8" t="s">
        <v>55</v>
      </c>
      <c r="L152" s="8" t="s">
        <v>54</v>
      </c>
      <c r="M152" s="8" t="s">
        <v>227</v>
      </c>
      <c r="N152" s="8" t="s">
        <v>58</v>
      </c>
      <c r="O152" s="8"/>
      <c r="P152" s="8"/>
      <c r="Q152" s="10"/>
      <c r="R152" s="10"/>
    </row>
    <row r="153" spans="1:18" ht="43.5">
      <c r="A153" s="7" t="s">
        <v>49</v>
      </c>
      <c r="B153" s="8" t="s">
        <v>485</v>
      </c>
      <c r="C153" s="8">
        <f>VALUE(RIGHT(B153,LEN(B153)-4))</f>
        <v>153</v>
      </c>
      <c r="D153" s="9">
        <v>45672</v>
      </c>
      <c r="E153" s="9">
        <v>45672</v>
      </c>
      <c r="F153" s="10"/>
      <c r="G153" s="10" t="s">
        <v>486</v>
      </c>
      <c r="H153" s="8" t="s">
        <v>75</v>
      </c>
      <c r="I153" s="8" t="s">
        <v>235</v>
      </c>
      <c r="J153" s="8" t="s">
        <v>202</v>
      </c>
      <c r="K153" s="8" t="s">
        <v>55</v>
      </c>
      <c r="L153" s="8" t="s">
        <v>54</v>
      </c>
      <c r="M153" s="8" t="s">
        <v>227</v>
      </c>
      <c r="N153" s="8" t="s">
        <v>58</v>
      </c>
      <c r="O153" s="8"/>
      <c r="P153" s="8"/>
      <c r="Q153" s="10" t="s">
        <v>487</v>
      </c>
      <c r="R153" s="10"/>
    </row>
    <row r="154" spans="1:18" ht="28.5">
      <c r="A154" s="7" t="s">
        <v>49</v>
      </c>
      <c r="B154" s="8" t="s">
        <v>488</v>
      </c>
      <c r="C154" s="8">
        <f>VALUE(RIGHT(B154,LEN(B154)-4))</f>
        <v>154</v>
      </c>
      <c r="D154" s="9">
        <v>45672</v>
      </c>
      <c r="E154" s="9">
        <v>45672</v>
      </c>
      <c r="F154" s="10"/>
      <c r="G154" s="10" t="s">
        <v>489</v>
      </c>
      <c r="H154" s="8" t="s">
        <v>75</v>
      </c>
      <c r="I154" s="8" t="s">
        <v>235</v>
      </c>
      <c r="J154" s="8" t="s">
        <v>202</v>
      </c>
      <c r="K154" s="8" t="s">
        <v>55</v>
      </c>
      <c r="L154" s="8" t="s">
        <v>54</v>
      </c>
      <c r="M154" s="8" t="s">
        <v>227</v>
      </c>
      <c r="N154" s="8" t="s">
        <v>58</v>
      </c>
      <c r="O154" s="8"/>
      <c r="P154" s="8"/>
      <c r="Q154" s="10" t="s">
        <v>490</v>
      </c>
      <c r="R154" s="10"/>
    </row>
    <row r="155" spans="1:18" ht="28.5">
      <c r="A155" s="7" t="s">
        <v>49</v>
      </c>
      <c r="B155" s="8" t="s">
        <v>491</v>
      </c>
      <c r="C155" s="8">
        <f>VALUE(RIGHT(B155,LEN(B155)-4))</f>
        <v>155</v>
      </c>
      <c r="D155" s="9">
        <v>45672</v>
      </c>
      <c r="E155" s="9">
        <v>45672</v>
      </c>
      <c r="F155" s="10"/>
      <c r="G155" s="10" t="s">
        <v>492</v>
      </c>
      <c r="H155" s="8" t="s">
        <v>75</v>
      </c>
      <c r="I155" s="8" t="s">
        <v>235</v>
      </c>
      <c r="J155" s="8" t="s">
        <v>202</v>
      </c>
      <c r="K155" s="8" t="s">
        <v>55</v>
      </c>
      <c r="L155" s="8" t="s">
        <v>54</v>
      </c>
      <c r="M155" s="8" t="s">
        <v>227</v>
      </c>
      <c r="N155" s="8" t="s">
        <v>58</v>
      </c>
      <c r="O155" s="8"/>
      <c r="P155" s="8"/>
      <c r="Q155" s="10"/>
      <c r="R155" s="10"/>
    </row>
    <row r="156" spans="1:18" ht="28.5">
      <c r="A156" s="7" t="s">
        <v>49</v>
      </c>
      <c r="B156" s="8" t="s">
        <v>493</v>
      </c>
      <c r="C156" s="8">
        <f>VALUE(RIGHT(B156,LEN(B156)-4))</f>
        <v>156</v>
      </c>
      <c r="D156" s="9">
        <v>45672</v>
      </c>
      <c r="E156" s="9">
        <v>45672</v>
      </c>
      <c r="F156" s="10"/>
      <c r="G156" s="10" t="s">
        <v>494</v>
      </c>
      <c r="H156" s="8" t="s">
        <v>75</v>
      </c>
      <c r="I156" s="8" t="s">
        <v>235</v>
      </c>
      <c r="J156" s="8" t="s">
        <v>202</v>
      </c>
      <c r="K156" s="8" t="s">
        <v>55</v>
      </c>
      <c r="L156" s="8" t="s">
        <v>54</v>
      </c>
      <c r="M156" s="8" t="s">
        <v>227</v>
      </c>
      <c r="N156" s="8" t="s">
        <v>58</v>
      </c>
      <c r="O156" s="8"/>
      <c r="P156" s="8"/>
      <c r="Q156" s="10"/>
      <c r="R156" s="10"/>
    </row>
    <row r="157" spans="1:18" ht="43.5">
      <c r="A157" s="7" t="s">
        <v>49</v>
      </c>
      <c r="B157" s="8" t="s">
        <v>495</v>
      </c>
      <c r="C157" s="8">
        <f>VALUE(RIGHT(B157,LEN(B157)-4))</f>
        <v>157</v>
      </c>
      <c r="D157" s="9">
        <v>45673</v>
      </c>
      <c r="E157" s="9">
        <v>45685</v>
      </c>
      <c r="F157" s="10"/>
      <c r="G157" s="10" t="s">
        <v>496</v>
      </c>
      <c r="H157" s="8" t="s">
        <v>98</v>
      </c>
      <c r="I157" s="8" t="s">
        <v>89</v>
      </c>
      <c r="J157" s="8" t="s">
        <v>202</v>
      </c>
      <c r="K157" s="8" t="s">
        <v>55</v>
      </c>
      <c r="L157" s="8" t="s">
        <v>54</v>
      </c>
      <c r="M157" s="8" t="s">
        <v>227</v>
      </c>
      <c r="N157" s="8" t="s">
        <v>58</v>
      </c>
      <c r="O157" s="8"/>
      <c r="P157" s="8"/>
      <c r="Q157" s="10"/>
      <c r="R157" s="10" t="s">
        <v>497</v>
      </c>
    </row>
    <row r="158" spans="1:18" ht="43.5">
      <c r="A158" s="7" t="s">
        <v>49</v>
      </c>
      <c r="B158" s="8" t="s">
        <v>498</v>
      </c>
      <c r="C158" s="8">
        <f>VALUE(RIGHT(B158,LEN(B158)-4))</f>
        <v>158</v>
      </c>
      <c r="D158" s="9">
        <v>45673</v>
      </c>
      <c r="E158" s="9">
        <v>45673</v>
      </c>
      <c r="F158" s="10"/>
      <c r="G158" s="10" t="s">
        <v>499</v>
      </c>
      <c r="H158" s="8" t="s">
        <v>75</v>
      </c>
      <c r="I158" s="8" t="s">
        <v>235</v>
      </c>
      <c r="J158" s="8" t="s">
        <v>202</v>
      </c>
      <c r="K158" s="8" t="s">
        <v>55</v>
      </c>
      <c r="L158" s="8" t="s">
        <v>54</v>
      </c>
      <c r="M158" s="8" t="s">
        <v>57</v>
      </c>
      <c r="N158" s="8" t="s">
        <v>58</v>
      </c>
      <c r="O158" s="8"/>
      <c r="P158" s="8"/>
      <c r="Q158" s="10"/>
      <c r="R158" s="10"/>
    </row>
    <row r="159" spans="1:18" ht="43.5">
      <c r="A159" s="7" t="s">
        <v>49</v>
      </c>
      <c r="B159" s="8" t="s">
        <v>500</v>
      </c>
      <c r="C159" s="8">
        <f>VALUE(RIGHT(B159,LEN(B159)-4))</f>
        <v>159</v>
      </c>
      <c r="D159" s="9">
        <v>45673</v>
      </c>
      <c r="E159" s="9">
        <v>45673</v>
      </c>
      <c r="F159" s="10"/>
      <c r="G159" s="10" t="s">
        <v>501</v>
      </c>
      <c r="H159" s="8" t="s">
        <v>75</v>
      </c>
      <c r="I159" s="8" t="s">
        <v>415</v>
      </c>
      <c r="J159" s="8" t="s">
        <v>202</v>
      </c>
      <c r="K159" s="8" t="s">
        <v>55</v>
      </c>
      <c r="L159" s="8" t="s">
        <v>54</v>
      </c>
      <c r="M159" s="8" t="s">
        <v>57</v>
      </c>
      <c r="N159" s="8" t="s">
        <v>58</v>
      </c>
      <c r="O159" s="8"/>
      <c r="P159" s="8"/>
      <c r="Q159" s="10"/>
      <c r="R159" s="10"/>
    </row>
    <row r="160" spans="1:18" ht="202.5">
      <c r="A160" s="7" t="s">
        <v>49</v>
      </c>
      <c r="B160" s="8" t="s">
        <v>502</v>
      </c>
      <c r="C160" s="8">
        <f>VALUE(RIGHT(B160,LEN(B160)-4))</f>
        <v>160</v>
      </c>
      <c r="D160" s="9">
        <v>45673</v>
      </c>
      <c r="E160" s="9">
        <v>45691</v>
      </c>
      <c r="F160" s="10"/>
      <c r="G160" s="10" t="s">
        <v>503</v>
      </c>
      <c r="H160" s="8" t="s">
        <v>98</v>
      </c>
      <c r="I160" s="8" t="s">
        <v>89</v>
      </c>
      <c r="J160" s="8" t="s">
        <v>202</v>
      </c>
      <c r="K160" s="8" t="s">
        <v>55</v>
      </c>
      <c r="L160" s="8" t="s">
        <v>54</v>
      </c>
      <c r="M160" s="8" t="s">
        <v>227</v>
      </c>
      <c r="N160" s="8" t="s">
        <v>58</v>
      </c>
      <c r="O160" s="8"/>
      <c r="P160" s="8"/>
      <c r="Q160" s="10"/>
      <c r="R160" s="10" t="s">
        <v>504</v>
      </c>
    </row>
    <row r="161" spans="1:18" ht="87">
      <c r="A161" s="7" t="s">
        <v>49</v>
      </c>
      <c r="B161" s="8" t="s">
        <v>505</v>
      </c>
      <c r="C161" s="8">
        <f>VALUE(RIGHT(B161,LEN(B161)-4))</f>
        <v>161</v>
      </c>
      <c r="D161" s="9">
        <v>45674</v>
      </c>
      <c r="E161" s="9">
        <v>45693</v>
      </c>
      <c r="F161" s="10"/>
      <c r="G161" s="10" t="s">
        <v>506</v>
      </c>
      <c r="H161" s="8" t="s">
        <v>52</v>
      </c>
      <c r="I161" s="8" t="s">
        <v>67</v>
      </c>
      <c r="J161" s="8"/>
      <c r="K161" s="8"/>
      <c r="L161" s="8" t="s">
        <v>54</v>
      </c>
      <c r="M161" s="8" t="s">
        <v>227</v>
      </c>
      <c r="N161" s="8" t="s">
        <v>58</v>
      </c>
      <c r="O161" s="8" t="s">
        <v>184</v>
      </c>
      <c r="P161" s="8"/>
      <c r="Q161" s="10"/>
      <c r="R161" s="10" t="s">
        <v>507</v>
      </c>
    </row>
    <row r="162" spans="1:18" ht="159">
      <c r="A162" s="7" t="s">
        <v>49</v>
      </c>
      <c r="B162" s="17" t="s">
        <v>508</v>
      </c>
      <c r="C162" s="17">
        <f>VALUE(RIGHT(B162,LEN(B162)-4))</f>
        <v>162</v>
      </c>
      <c r="D162" s="18">
        <v>45674</v>
      </c>
      <c r="E162" s="18"/>
      <c r="F162" s="19"/>
      <c r="G162" s="19" t="s">
        <v>509</v>
      </c>
      <c r="H162" s="17" t="s">
        <v>84</v>
      </c>
      <c r="I162" s="17" t="s">
        <v>339</v>
      </c>
      <c r="J162" s="17" t="s">
        <v>288</v>
      </c>
      <c r="K162" s="17" t="s">
        <v>80</v>
      </c>
      <c r="L162" s="17" t="s">
        <v>71</v>
      </c>
      <c r="M162" s="17" t="s">
        <v>57</v>
      </c>
      <c r="N162" s="17" t="s">
        <v>144</v>
      </c>
      <c r="O162" s="17"/>
      <c r="P162" s="17"/>
      <c r="Q162" s="19"/>
      <c r="R162" s="19" t="s">
        <v>510</v>
      </c>
    </row>
    <row r="163" spans="1:18" ht="202.5">
      <c r="A163" s="7" t="s">
        <v>49</v>
      </c>
      <c r="B163" s="8" t="s">
        <v>511</v>
      </c>
      <c r="C163" s="8">
        <f>VALUE(RIGHT(B163,LEN(B163)-4))</f>
        <v>163</v>
      </c>
      <c r="D163" s="9">
        <v>45674</v>
      </c>
      <c r="E163" s="9">
        <v>45678</v>
      </c>
      <c r="F163" s="10"/>
      <c r="G163" s="10" t="s">
        <v>512</v>
      </c>
      <c r="H163" s="8" t="s">
        <v>107</v>
      </c>
      <c r="I163" s="8" t="s">
        <v>108</v>
      </c>
      <c r="J163" s="8" t="s">
        <v>71</v>
      </c>
      <c r="K163" s="8" t="s">
        <v>72</v>
      </c>
      <c r="L163" s="8" t="s">
        <v>54</v>
      </c>
      <c r="M163" s="8" t="s">
        <v>227</v>
      </c>
      <c r="N163" s="8" t="s">
        <v>58</v>
      </c>
      <c r="O163" s="8"/>
      <c r="P163" s="8"/>
      <c r="Q163" s="10"/>
      <c r="R163" s="10" t="s">
        <v>513</v>
      </c>
    </row>
    <row r="164" spans="1:18" ht="318.75">
      <c r="A164" s="7" t="s">
        <v>49</v>
      </c>
      <c r="B164" s="14" t="s">
        <v>514</v>
      </c>
      <c r="C164" s="14">
        <f>VALUE(RIGHT(B164,LEN(B164)-4))</f>
        <v>164</v>
      </c>
      <c r="D164" s="15">
        <v>45674</v>
      </c>
      <c r="E164" s="15"/>
      <c r="F164" s="16"/>
      <c r="G164" s="16" t="s">
        <v>515</v>
      </c>
      <c r="H164" s="14" t="s">
        <v>107</v>
      </c>
      <c r="I164" s="14" t="s">
        <v>108</v>
      </c>
      <c r="J164" s="14" t="s">
        <v>516</v>
      </c>
      <c r="K164" s="14" t="s">
        <v>55</v>
      </c>
      <c r="L164" s="14" t="s">
        <v>54</v>
      </c>
      <c r="M164" s="14" t="s">
        <v>227</v>
      </c>
      <c r="N164" s="14" t="s">
        <v>3</v>
      </c>
      <c r="O164" s="14"/>
      <c r="P164" s="14"/>
      <c r="Q164" s="16" t="s">
        <v>517</v>
      </c>
      <c r="R164" s="16" t="s">
        <v>518</v>
      </c>
    </row>
    <row r="165" spans="1:18" ht="28.5">
      <c r="A165" s="7" t="s">
        <v>49</v>
      </c>
      <c r="B165" s="8" t="s">
        <v>519</v>
      </c>
      <c r="C165" s="8">
        <f>VALUE(RIGHT(B165,LEN(B165)-4))</f>
        <v>165</v>
      </c>
      <c r="D165" s="9">
        <v>45674</v>
      </c>
      <c r="E165" s="9">
        <v>45687</v>
      </c>
      <c r="F165" s="10"/>
      <c r="G165" s="10" t="s">
        <v>520</v>
      </c>
      <c r="H165" s="8" t="s">
        <v>225</v>
      </c>
      <c r="I165" s="8" t="s">
        <v>53</v>
      </c>
      <c r="J165" s="8"/>
      <c r="K165" s="8"/>
      <c r="L165" s="8" t="s">
        <v>54</v>
      </c>
      <c r="M165" s="8" t="s">
        <v>57</v>
      </c>
      <c r="N165" s="8" t="s">
        <v>58</v>
      </c>
      <c r="O165" s="8" t="s">
        <v>184</v>
      </c>
      <c r="P165" s="8"/>
      <c r="Q165" s="10"/>
      <c r="R165" s="10"/>
    </row>
    <row r="166" spans="1:18" ht="28.5">
      <c r="A166" s="7" t="s">
        <v>49</v>
      </c>
      <c r="B166" s="8" t="s">
        <v>521</v>
      </c>
      <c r="C166" s="8">
        <f>VALUE(RIGHT(B166,LEN(B166)-4))</f>
        <v>166</v>
      </c>
      <c r="D166" s="9">
        <v>45674</v>
      </c>
      <c r="E166" s="9">
        <v>45679</v>
      </c>
      <c r="F166" s="10"/>
      <c r="G166" s="10" t="s">
        <v>522</v>
      </c>
      <c r="H166" s="8" t="s">
        <v>225</v>
      </c>
      <c r="I166" s="8" t="s">
        <v>53</v>
      </c>
      <c r="J166" s="8"/>
      <c r="K166" s="8"/>
      <c r="L166" s="8" t="s">
        <v>54</v>
      </c>
      <c r="M166" s="8" t="s">
        <v>57</v>
      </c>
      <c r="N166" s="8" t="s">
        <v>58</v>
      </c>
      <c r="O166" s="8"/>
      <c r="P166" s="8"/>
      <c r="Q166" s="10"/>
      <c r="R166" s="10"/>
    </row>
    <row r="167" spans="1:18">
      <c r="A167" s="7" t="s">
        <v>60</v>
      </c>
      <c r="B167" s="8" t="s">
        <v>523</v>
      </c>
      <c r="C167" s="8">
        <f>VALUE(RIGHT(B167,LEN(B167)-4))</f>
        <v>167</v>
      </c>
      <c r="D167" s="9"/>
      <c r="E167" s="9"/>
      <c r="F167" s="10" t="s">
        <v>172</v>
      </c>
      <c r="G167" s="10" t="s">
        <v>297</v>
      </c>
      <c r="H167" s="8"/>
      <c r="I167" s="8"/>
      <c r="J167" s="8" t="s">
        <v>288</v>
      </c>
      <c r="K167" s="8"/>
      <c r="L167" s="8" t="s">
        <v>56</v>
      </c>
      <c r="M167" s="8" t="s">
        <v>57</v>
      </c>
      <c r="N167" s="8" t="s">
        <v>58</v>
      </c>
      <c r="O167" s="8"/>
      <c r="P167" s="8"/>
      <c r="Q167" s="10"/>
      <c r="R167" s="10"/>
    </row>
    <row r="168" spans="1:18" ht="57.75">
      <c r="A168" s="7" t="s">
        <v>49</v>
      </c>
      <c r="B168" s="8" t="s">
        <v>524</v>
      </c>
      <c r="C168" s="8">
        <f>VALUE(RIGHT(B168,LEN(B168)-4))</f>
        <v>168</v>
      </c>
      <c r="D168" s="9">
        <v>45674</v>
      </c>
      <c r="E168" s="9">
        <v>45684</v>
      </c>
      <c r="F168" s="10"/>
      <c r="G168" s="10" t="s">
        <v>525</v>
      </c>
      <c r="H168" s="8" t="s">
        <v>98</v>
      </c>
      <c r="I168" s="8" t="s">
        <v>89</v>
      </c>
      <c r="J168" s="8" t="s">
        <v>202</v>
      </c>
      <c r="K168" s="8" t="s">
        <v>55</v>
      </c>
      <c r="L168" s="8" t="s">
        <v>54</v>
      </c>
      <c r="M168" s="8" t="s">
        <v>227</v>
      </c>
      <c r="N168" s="8" t="s">
        <v>58</v>
      </c>
      <c r="O168" s="8"/>
      <c r="P168" s="8"/>
      <c r="Q168" s="10"/>
      <c r="R168" s="10" t="s">
        <v>526</v>
      </c>
    </row>
    <row r="169" spans="1:18" ht="28.5">
      <c r="A169" s="7" t="s">
        <v>49</v>
      </c>
      <c r="B169" s="8" t="s">
        <v>527</v>
      </c>
      <c r="C169" s="8">
        <f>VALUE(RIGHT(B169,LEN(B169)-4))</f>
        <v>169</v>
      </c>
      <c r="D169" s="9">
        <v>45675</v>
      </c>
      <c r="E169" s="9">
        <v>45680</v>
      </c>
      <c r="F169" s="10"/>
      <c r="G169" s="10" t="s">
        <v>528</v>
      </c>
      <c r="H169" s="8" t="s">
        <v>52</v>
      </c>
      <c r="I169" s="8" t="s">
        <v>67</v>
      </c>
      <c r="J169" s="8" t="s">
        <v>202</v>
      </c>
      <c r="K169" s="8" t="s">
        <v>55</v>
      </c>
      <c r="L169" s="8" t="s">
        <v>54</v>
      </c>
      <c r="M169" s="8" t="s">
        <v>57</v>
      </c>
      <c r="N169" s="8" t="s">
        <v>58</v>
      </c>
      <c r="O169" s="8"/>
      <c r="P169" s="8"/>
      <c r="Q169" s="10"/>
      <c r="R169" s="10"/>
    </row>
    <row r="170" spans="1:18" ht="28.5">
      <c r="A170" s="7" t="s">
        <v>49</v>
      </c>
      <c r="B170" s="17" t="s">
        <v>529</v>
      </c>
      <c r="C170" s="17">
        <f>VALUE(RIGHT(B170,LEN(B170)-4))</f>
        <v>170</v>
      </c>
      <c r="D170" s="18">
        <v>45675</v>
      </c>
      <c r="E170" s="18"/>
      <c r="F170" s="19"/>
      <c r="G170" s="19" t="s">
        <v>530</v>
      </c>
      <c r="H170" s="17" t="s">
        <v>52</v>
      </c>
      <c r="I170" s="17" t="s">
        <v>67</v>
      </c>
      <c r="J170" s="17" t="s">
        <v>103</v>
      </c>
      <c r="K170" s="17" t="s">
        <v>80</v>
      </c>
      <c r="L170" s="17" t="s">
        <v>54</v>
      </c>
      <c r="M170" s="17" t="s">
        <v>57</v>
      </c>
      <c r="N170" s="17" t="s">
        <v>144</v>
      </c>
      <c r="O170" s="17" t="s">
        <v>184</v>
      </c>
      <c r="P170" s="17"/>
      <c r="Q170" s="19" t="s">
        <v>531</v>
      </c>
      <c r="R170" s="19"/>
    </row>
    <row r="171" spans="1:18" ht="28.5">
      <c r="A171" s="7" t="s">
        <v>49</v>
      </c>
      <c r="B171" s="8" t="s">
        <v>532</v>
      </c>
      <c r="C171" s="8">
        <f>VALUE(RIGHT(B171,LEN(B171)-4))</f>
        <v>171</v>
      </c>
      <c r="D171" s="9">
        <v>45675</v>
      </c>
      <c r="E171" s="9">
        <v>45679</v>
      </c>
      <c r="F171" s="10"/>
      <c r="G171" s="10" t="s">
        <v>533</v>
      </c>
      <c r="H171" s="8" t="s">
        <v>52</v>
      </c>
      <c r="I171" s="8" t="s">
        <v>53</v>
      </c>
      <c r="J171" s="8" t="s">
        <v>103</v>
      </c>
      <c r="K171" s="8" t="s">
        <v>80</v>
      </c>
      <c r="L171" s="8" t="s">
        <v>54</v>
      </c>
      <c r="M171" s="8" t="s">
        <v>57</v>
      </c>
      <c r="N171" s="8" t="s">
        <v>58</v>
      </c>
      <c r="O171" s="8" t="s">
        <v>479</v>
      </c>
      <c r="P171" s="8"/>
      <c r="Q171" s="10" t="s">
        <v>534</v>
      </c>
      <c r="R171" s="10"/>
    </row>
    <row r="172" spans="1:18" ht="28.5">
      <c r="A172" s="7" t="s">
        <v>49</v>
      </c>
      <c r="B172" s="8" t="s">
        <v>535</v>
      </c>
      <c r="C172" s="8">
        <f>VALUE(RIGHT(B172,LEN(B172)-4))</f>
        <v>172</v>
      </c>
      <c r="D172" s="9">
        <v>45675</v>
      </c>
      <c r="E172" s="9">
        <v>45680</v>
      </c>
      <c r="F172" s="10"/>
      <c r="G172" s="10" t="s">
        <v>536</v>
      </c>
      <c r="H172" s="8" t="s">
        <v>52</v>
      </c>
      <c r="I172" s="8" t="s">
        <v>339</v>
      </c>
      <c r="J172" s="8" t="s">
        <v>202</v>
      </c>
      <c r="K172" s="8" t="s">
        <v>55</v>
      </c>
      <c r="L172" s="8" t="s">
        <v>54</v>
      </c>
      <c r="M172" s="8" t="s">
        <v>57</v>
      </c>
      <c r="N172" s="8" t="s">
        <v>58</v>
      </c>
      <c r="O172" s="8"/>
      <c r="P172" s="8"/>
      <c r="Q172" s="10"/>
      <c r="R172" s="10"/>
    </row>
    <row r="173" spans="1:18" ht="28.5">
      <c r="A173" s="7" t="s">
        <v>49</v>
      </c>
      <c r="B173" s="8" t="s">
        <v>537</v>
      </c>
      <c r="C173" s="8">
        <f>VALUE(RIGHT(B173,LEN(B173)-4))</f>
        <v>173</v>
      </c>
      <c r="D173" s="9">
        <v>45675</v>
      </c>
      <c r="E173" s="9">
        <v>45678</v>
      </c>
      <c r="F173" s="10"/>
      <c r="G173" s="10" t="s">
        <v>538</v>
      </c>
      <c r="H173" s="8" t="s">
        <v>52</v>
      </c>
      <c r="I173" s="8" t="s">
        <v>89</v>
      </c>
      <c r="J173" s="8"/>
      <c r="K173" s="8"/>
      <c r="L173" s="8" t="s">
        <v>54</v>
      </c>
      <c r="M173" s="8" t="s">
        <v>57</v>
      </c>
      <c r="N173" s="8" t="s">
        <v>58</v>
      </c>
      <c r="O173" s="8"/>
      <c r="P173" s="8"/>
      <c r="Q173" s="10"/>
      <c r="R173" s="10" t="s">
        <v>539</v>
      </c>
    </row>
    <row r="174" spans="1:18" ht="43.5">
      <c r="A174" s="7" t="s">
        <v>49</v>
      </c>
      <c r="B174" s="8" t="s">
        <v>540</v>
      </c>
      <c r="C174" s="8">
        <f>VALUE(RIGHT(B174,LEN(B174)-4))</f>
        <v>174</v>
      </c>
      <c r="D174" s="9">
        <v>45675</v>
      </c>
      <c r="E174" s="9">
        <v>45680</v>
      </c>
      <c r="F174" s="10"/>
      <c r="G174" s="10" t="s">
        <v>541</v>
      </c>
      <c r="H174" s="8" t="s">
        <v>52</v>
      </c>
      <c r="I174" s="8" t="s">
        <v>89</v>
      </c>
      <c r="J174" s="8" t="s">
        <v>202</v>
      </c>
      <c r="K174" s="8" t="s">
        <v>55</v>
      </c>
      <c r="L174" s="8" t="s">
        <v>54</v>
      </c>
      <c r="M174" s="8" t="s">
        <v>57</v>
      </c>
      <c r="N174" s="8" t="s">
        <v>58</v>
      </c>
      <c r="O174" s="8"/>
      <c r="P174" s="8"/>
      <c r="Q174" s="10"/>
      <c r="R174" s="10"/>
    </row>
    <row r="175" spans="1:18" ht="28.5">
      <c r="A175" s="7" t="s">
        <v>49</v>
      </c>
      <c r="B175" s="8" t="s">
        <v>542</v>
      </c>
      <c r="C175" s="8">
        <f>VALUE(RIGHT(B175,LEN(B175)-4))</f>
        <v>175</v>
      </c>
      <c r="D175" s="9">
        <v>45675</v>
      </c>
      <c r="E175" s="9">
        <v>45675</v>
      </c>
      <c r="F175" s="10"/>
      <c r="G175" s="10" t="s">
        <v>543</v>
      </c>
      <c r="H175" s="8" t="s">
        <v>52</v>
      </c>
      <c r="I175" s="8" t="s">
        <v>89</v>
      </c>
      <c r="J175" s="8" t="s">
        <v>202</v>
      </c>
      <c r="K175" s="8" t="s">
        <v>55</v>
      </c>
      <c r="L175" s="8" t="s">
        <v>54</v>
      </c>
      <c r="M175" s="8" t="s">
        <v>57</v>
      </c>
      <c r="N175" s="8" t="s">
        <v>58</v>
      </c>
      <c r="O175" s="8"/>
      <c r="P175" s="8"/>
      <c r="Q175" s="10"/>
      <c r="R175" s="10"/>
    </row>
    <row r="176" spans="1:18" ht="28.5">
      <c r="A176" s="7" t="s">
        <v>49</v>
      </c>
      <c r="B176" s="8" t="s">
        <v>544</v>
      </c>
      <c r="C176" s="14">
        <f>VALUE(RIGHT(B176,LEN(B176)-4))</f>
        <v>176</v>
      </c>
      <c r="D176" s="9">
        <v>45675</v>
      </c>
      <c r="E176" s="9"/>
      <c r="F176" s="10"/>
      <c r="G176" s="10" t="s">
        <v>545</v>
      </c>
      <c r="H176" s="8" t="s">
        <v>107</v>
      </c>
      <c r="I176" s="8" t="s">
        <v>53</v>
      </c>
      <c r="J176" s="8" t="s">
        <v>202</v>
      </c>
      <c r="K176" s="8" t="s">
        <v>55</v>
      </c>
      <c r="L176" s="8" t="s">
        <v>54</v>
      </c>
      <c r="M176" s="8" t="s">
        <v>57</v>
      </c>
      <c r="N176" s="8" t="s">
        <v>18</v>
      </c>
      <c r="O176" s="8"/>
      <c r="P176" s="8"/>
      <c r="Q176" s="10" t="s">
        <v>546</v>
      </c>
      <c r="R176" s="10"/>
    </row>
    <row r="177" spans="1:18" ht="43.5">
      <c r="A177" s="7" t="s">
        <v>49</v>
      </c>
      <c r="B177" s="8" t="s">
        <v>547</v>
      </c>
      <c r="C177" s="14">
        <f>VALUE(RIGHT(B177,LEN(B177)-4))</f>
        <v>177</v>
      </c>
      <c r="D177" s="9">
        <v>45675</v>
      </c>
      <c r="E177" s="9"/>
      <c r="F177" s="10"/>
      <c r="G177" s="10" t="s">
        <v>548</v>
      </c>
      <c r="H177" s="8" t="s">
        <v>107</v>
      </c>
      <c r="I177" s="8" t="s">
        <v>53</v>
      </c>
      <c r="J177" s="8" t="s">
        <v>202</v>
      </c>
      <c r="K177" s="8" t="s">
        <v>55</v>
      </c>
      <c r="L177" s="8" t="s">
        <v>54</v>
      </c>
      <c r="M177" s="8" t="s">
        <v>57</v>
      </c>
      <c r="N177" s="8" t="s">
        <v>18</v>
      </c>
      <c r="O177" s="8"/>
      <c r="P177" s="8"/>
      <c r="Q177" s="10" t="s">
        <v>546</v>
      </c>
      <c r="R177" s="10" t="s">
        <v>549</v>
      </c>
    </row>
    <row r="178" spans="1:18" ht="28.5">
      <c r="A178" s="7" t="s">
        <v>49</v>
      </c>
      <c r="B178" s="8" t="s">
        <v>550</v>
      </c>
      <c r="C178" s="8">
        <f>VALUE(RIGHT(B178,LEN(B178)-4))</f>
        <v>178</v>
      </c>
      <c r="D178" s="9">
        <v>45675</v>
      </c>
      <c r="E178" s="9">
        <v>45681</v>
      </c>
      <c r="F178" s="10"/>
      <c r="G178" s="10" t="s">
        <v>551</v>
      </c>
      <c r="H178" s="8" t="s">
        <v>107</v>
      </c>
      <c r="I178" s="8" t="s">
        <v>115</v>
      </c>
      <c r="J178" s="8" t="s">
        <v>202</v>
      </c>
      <c r="K178" s="8" t="s">
        <v>55</v>
      </c>
      <c r="L178" s="8" t="s">
        <v>54</v>
      </c>
      <c r="M178" s="8" t="s">
        <v>57</v>
      </c>
      <c r="N178" s="8" t="s">
        <v>58</v>
      </c>
      <c r="O178" s="8"/>
      <c r="P178" s="8"/>
      <c r="Q178" s="10"/>
      <c r="R178" s="10"/>
    </row>
    <row r="179" spans="1:18" ht="28.5">
      <c r="A179" s="7" t="s">
        <v>49</v>
      </c>
      <c r="B179" s="8" t="s">
        <v>552</v>
      </c>
      <c r="C179" s="8">
        <f>VALUE(RIGHT(B179,LEN(B179)-4))</f>
        <v>179</v>
      </c>
      <c r="D179" s="9">
        <v>45675</v>
      </c>
      <c r="E179" s="9">
        <v>45681</v>
      </c>
      <c r="F179" s="10"/>
      <c r="G179" s="10" t="s">
        <v>553</v>
      </c>
      <c r="H179" s="8" t="s">
        <v>107</v>
      </c>
      <c r="I179" s="8" t="s">
        <v>53</v>
      </c>
      <c r="J179" s="8" t="s">
        <v>202</v>
      </c>
      <c r="K179" s="8" t="s">
        <v>55</v>
      </c>
      <c r="L179" s="8" t="s">
        <v>54</v>
      </c>
      <c r="M179" s="8" t="s">
        <v>57</v>
      </c>
      <c r="N179" s="8" t="s">
        <v>58</v>
      </c>
      <c r="O179" s="8"/>
      <c r="P179" s="8"/>
      <c r="Q179" s="10"/>
      <c r="R179" s="10"/>
    </row>
    <row r="180" spans="1:18" ht="28.5">
      <c r="A180" s="7" t="s">
        <v>49</v>
      </c>
      <c r="B180" s="8" t="s">
        <v>554</v>
      </c>
      <c r="C180" s="8">
        <f>VALUE(RIGHT(B180,LEN(B180)-4))</f>
        <v>180</v>
      </c>
      <c r="D180" s="9">
        <v>45675</v>
      </c>
      <c r="E180" s="9">
        <v>45681</v>
      </c>
      <c r="F180" s="10"/>
      <c r="G180" s="10" t="s">
        <v>555</v>
      </c>
      <c r="H180" s="8" t="s">
        <v>107</v>
      </c>
      <c r="I180" s="8" t="s">
        <v>89</v>
      </c>
      <c r="J180" s="8" t="s">
        <v>202</v>
      </c>
      <c r="K180" s="8" t="s">
        <v>55</v>
      </c>
      <c r="L180" s="8" t="s">
        <v>54</v>
      </c>
      <c r="M180" s="8" t="s">
        <v>57</v>
      </c>
      <c r="N180" s="8" t="s">
        <v>58</v>
      </c>
      <c r="O180" s="8"/>
      <c r="P180" s="8"/>
      <c r="Q180" s="10"/>
      <c r="R180" s="10"/>
    </row>
    <row r="181" spans="1:18" ht="72">
      <c r="A181" s="7" t="s">
        <v>60</v>
      </c>
      <c r="B181" s="8" t="s">
        <v>556</v>
      </c>
      <c r="C181" s="8">
        <f>VALUE(RIGHT(B181,LEN(B181)-4))</f>
        <v>182</v>
      </c>
      <c r="D181" s="9"/>
      <c r="E181" s="9"/>
      <c r="F181" s="10" t="s">
        <v>511</v>
      </c>
      <c r="G181" s="10" t="s">
        <v>557</v>
      </c>
      <c r="H181" s="8"/>
      <c r="I181" s="8"/>
      <c r="J181" s="8"/>
      <c r="K181" s="8"/>
      <c r="L181" s="8" t="s">
        <v>71</v>
      </c>
      <c r="M181" s="8" t="s">
        <v>57</v>
      </c>
      <c r="N181" s="8" t="s">
        <v>58</v>
      </c>
      <c r="O181" s="8"/>
      <c r="P181" s="8"/>
      <c r="Q181" s="10"/>
      <c r="R181" s="10" t="s">
        <v>558</v>
      </c>
    </row>
    <row r="182" spans="1:18" ht="43.5">
      <c r="A182" s="7" t="s">
        <v>49</v>
      </c>
      <c r="B182" s="17" t="s">
        <v>559</v>
      </c>
      <c r="C182" s="17">
        <f>VALUE(RIGHT(B182,LEN(B182)-4))</f>
        <v>183</v>
      </c>
      <c r="D182" s="18">
        <v>45708</v>
      </c>
      <c r="E182" s="18"/>
      <c r="F182" s="19"/>
      <c r="G182" s="19" t="s">
        <v>560</v>
      </c>
      <c r="H182" s="17" t="s">
        <v>66</v>
      </c>
      <c r="I182" s="17" t="s">
        <v>53</v>
      </c>
      <c r="J182" s="17" t="s">
        <v>561</v>
      </c>
      <c r="K182" s="17" t="s">
        <v>72</v>
      </c>
      <c r="L182" s="17" t="s">
        <v>54</v>
      </c>
      <c r="M182" s="17" t="s">
        <v>227</v>
      </c>
      <c r="N182" s="17" t="s">
        <v>562</v>
      </c>
      <c r="O182" s="17" t="s">
        <v>563</v>
      </c>
      <c r="P182" s="17"/>
      <c r="Q182" s="19" t="s">
        <v>564</v>
      </c>
      <c r="R182" s="19" t="s">
        <v>565</v>
      </c>
    </row>
    <row r="183" spans="1:18" ht="57.75">
      <c r="A183" s="7" t="s">
        <v>60</v>
      </c>
      <c r="B183" s="8" t="s">
        <v>566</v>
      </c>
      <c r="C183" s="8">
        <f>VALUE(RIGHT(B183,LEN(B183)-4))</f>
        <v>184</v>
      </c>
      <c r="D183" s="9"/>
      <c r="E183" s="9"/>
      <c r="F183" s="10" t="s">
        <v>286</v>
      </c>
      <c r="G183" s="10" t="s">
        <v>567</v>
      </c>
      <c r="H183" s="8"/>
      <c r="I183" s="8"/>
      <c r="J183" s="8" t="s">
        <v>56</v>
      </c>
      <c r="K183" s="8"/>
      <c r="L183" s="8" t="s">
        <v>56</v>
      </c>
      <c r="M183" s="8" t="s">
        <v>57</v>
      </c>
      <c r="N183" s="8" t="s">
        <v>58</v>
      </c>
      <c r="O183" s="8" t="s">
        <v>289</v>
      </c>
      <c r="P183" s="8"/>
      <c r="Q183" s="10"/>
      <c r="R183" s="10" t="s">
        <v>568</v>
      </c>
    </row>
    <row r="184" spans="1:18" ht="348">
      <c r="A184" s="7" t="s">
        <v>60</v>
      </c>
      <c r="B184" s="14" t="s">
        <v>569</v>
      </c>
      <c r="C184" s="14">
        <f>VALUE(RIGHT(B184,LEN(B184)-4))</f>
        <v>185</v>
      </c>
      <c r="D184" s="15"/>
      <c r="E184" s="15"/>
      <c r="F184" s="16" t="s">
        <v>214</v>
      </c>
      <c r="G184" s="16" t="s">
        <v>570</v>
      </c>
      <c r="H184" s="14"/>
      <c r="I184" s="14"/>
      <c r="J184" s="14" t="s">
        <v>71</v>
      </c>
      <c r="K184" s="14"/>
      <c r="L184" s="14" t="s">
        <v>79</v>
      </c>
      <c r="M184" s="14" t="s">
        <v>57</v>
      </c>
      <c r="N184" s="14" t="s">
        <v>3</v>
      </c>
      <c r="O184" s="14" t="s">
        <v>122</v>
      </c>
      <c r="P184" s="14"/>
      <c r="Q184" s="16"/>
      <c r="R184" s="16" t="s">
        <v>571</v>
      </c>
    </row>
    <row r="185" spans="1:18" ht="333">
      <c r="A185" s="7" t="s">
        <v>60</v>
      </c>
      <c r="B185" s="8" t="s">
        <v>572</v>
      </c>
      <c r="C185" s="8">
        <f>VALUE(RIGHT(B185,LEN(B185)-4))</f>
        <v>186</v>
      </c>
      <c r="D185" s="9"/>
      <c r="E185" s="9"/>
      <c r="F185" s="10" t="s">
        <v>119</v>
      </c>
      <c r="G185" s="10" t="s">
        <v>573</v>
      </c>
      <c r="H185" s="8"/>
      <c r="I185" s="8"/>
      <c r="J185" s="8" t="s">
        <v>71</v>
      </c>
      <c r="K185" s="8"/>
      <c r="L185" s="8" t="s">
        <v>79</v>
      </c>
      <c r="M185" s="8" t="s">
        <v>57</v>
      </c>
      <c r="N185" s="8" t="s">
        <v>58</v>
      </c>
      <c r="O185" s="8" t="s">
        <v>122</v>
      </c>
      <c r="P185" s="8"/>
      <c r="Q185" s="10"/>
      <c r="R185" s="10" t="s">
        <v>574</v>
      </c>
    </row>
    <row r="186" spans="1:18" ht="43.5">
      <c r="A186" s="7" t="s">
        <v>49</v>
      </c>
      <c r="B186" s="8" t="s">
        <v>575</v>
      </c>
      <c r="C186" s="8">
        <f>VALUE(RIGHT(B186,LEN(B186)-4))</f>
        <v>187</v>
      </c>
      <c r="D186" s="9">
        <v>45679</v>
      </c>
      <c r="E186" s="9">
        <v>45691</v>
      </c>
      <c r="F186" s="10"/>
      <c r="G186" s="10" t="s">
        <v>576</v>
      </c>
      <c r="H186" s="8" t="s">
        <v>52</v>
      </c>
      <c r="I186" s="8" t="s">
        <v>53</v>
      </c>
      <c r="J186" s="8" t="s">
        <v>71</v>
      </c>
      <c r="K186" s="8" t="s">
        <v>72</v>
      </c>
      <c r="L186" s="8" t="s">
        <v>202</v>
      </c>
      <c r="M186" s="8" t="s">
        <v>57</v>
      </c>
      <c r="N186" s="8" t="s">
        <v>58</v>
      </c>
      <c r="O186" s="8"/>
      <c r="P186" s="8"/>
      <c r="Q186" s="10"/>
      <c r="R186" s="10" t="s">
        <v>577</v>
      </c>
    </row>
    <row r="187" spans="1:18" ht="43.5">
      <c r="A187" s="7" t="s">
        <v>60</v>
      </c>
      <c r="B187" s="17" t="s">
        <v>578</v>
      </c>
      <c r="C187" s="17">
        <f>VALUE(RIGHT(B187,LEN(B187)-4))</f>
        <v>188</v>
      </c>
      <c r="D187" s="18"/>
      <c r="E187" s="18"/>
      <c r="F187" s="19" t="s">
        <v>315</v>
      </c>
      <c r="G187" s="19" t="s">
        <v>579</v>
      </c>
      <c r="H187" s="17"/>
      <c r="I187" s="17"/>
      <c r="J187" s="17" t="s">
        <v>103</v>
      </c>
      <c r="K187" s="17"/>
      <c r="L187" s="17" t="s">
        <v>79</v>
      </c>
      <c r="M187" s="17" t="s">
        <v>57</v>
      </c>
      <c r="N187" s="17" t="s">
        <v>144</v>
      </c>
      <c r="O187" s="17" t="s">
        <v>289</v>
      </c>
      <c r="P187" s="17"/>
      <c r="Q187" s="19"/>
      <c r="R187" s="19" t="s">
        <v>580</v>
      </c>
    </row>
    <row r="188" spans="1:18" ht="159">
      <c r="A188" s="7" t="s">
        <v>60</v>
      </c>
      <c r="B188" s="8" t="s">
        <v>581</v>
      </c>
      <c r="C188" s="8">
        <f>VALUE(RIGHT(B188,LEN(B188)-4))</f>
        <v>189</v>
      </c>
      <c r="D188" s="9"/>
      <c r="E188" s="9"/>
      <c r="F188" s="10" t="s">
        <v>315</v>
      </c>
      <c r="G188" s="10" t="s">
        <v>582</v>
      </c>
      <c r="H188" s="8"/>
      <c r="I188" s="8"/>
      <c r="J188" s="8" t="s">
        <v>380</v>
      </c>
      <c r="K188" s="8"/>
      <c r="L188" s="8" t="s">
        <v>79</v>
      </c>
      <c r="M188" s="8" t="s">
        <v>57</v>
      </c>
      <c r="N188" s="8" t="s">
        <v>58</v>
      </c>
      <c r="O188" s="8" t="s">
        <v>289</v>
      </c>
      <c r="P188" s="8"/>
      <c r="Q188" s="10"/>
      <c r="R188" s="10" t="s">
        <v>583</v>
      </c>
    </row>
    <row r="189" spans="1:18">
      <c r="A189" s="7" t="s">
        <v>60</v>
      </c>
      <c r="B189" s="17" t="s">
        <v>584</v>
      </c>
      <c r="C189" s="17">
        <f>VALUE(RIGHT(B189,LEN(B189)-4))</f>
        <v>190</v>
      </c>
      <c r="D189" s="18"/>
      <c r="E189" s="18"/>
      <c r="F189" s="19" t="s">
        <v>243</v>
      </c>
      <c r="G189" s="19" t="s">
        <v>585</v>
      </c>
      <c r="H189" s="17"/>
      <c r="I189" s="17"/>
      <c r="J189" s="17"/>
      <c r="K189" s="17"/>
      <c r="L189" s="17" t="s">
        <v>71</v>
      </c>
      <c r="M189" s="17" t="s">
        <v>57</v>
      </c>
      <c r="N189" s="17" t="s">
        <v>144</v>
      </c>
      <c r="O189" s="17"/>
      <c r="P189" s="17"/>
      <c r="Q189" s="19"/>
      <c r="R189" s="19"/>
    </row>
    <row r="190" spans="1:18">
      <c r="A190" s="7" t="s">
        <v>60</v>
      </c>
      <c r="B190" s="8" t="s">
        <v>586</v>
      </c>
      <c r="C190" s="8">
        <f>VALUE(RIGHT(B190,LEN(B190)-4))</f>
        <v>191</v>
      </c>
      <c r="D190" s="9"/>
      <c r="E190" s="9"/>
      <c r="F190" s="10" t="s">
        <v>286</v>
      </c>
      <c r="G190" s="10" t="s">
        <v>154</v>
      </c>
      <c r="H190" s="8"/>
      <c r="I190" s="8"/>
      <c r="J190" s="8" t="s">
        <v>71</v>
      </c>
      <c r="K190" s="8"/>
      <c r="L190" s="8" t="s">
        <v>56</v>
      </c>
      <c r="M190" s="8" t="s">
        <v>57</v>
      </c>
      <c r="N190" s="8" t="s">
        <v>58</v>
      </c>
      <c r="O190" s="8" t="s">
        <v>289</v>
      </c>
      <c r="P190" s="8"/>
      <c r="Q190" s="10"/>
      <c r="R190" s="10"/>
    </row>
    <row r="191" spans="1:18">
      <c r="A191" s="7" t="s">
        <v>171</v>
      </c>
      <c r="B191" s="8" t="s">
        <v>587</v>
      </c>
      <c r="C191" s="8">
        <f>VALUE(RIGHT(B191,LEN(B191)-4))</f>
        <v>192</v>
      </c>
      <c r="D191" s="9">
        <v>45680</v>
      </c>
      <c r="E191" s="9">
        <v>45680</v>
      </c>
      <c r="F191" s="10"/>
      <c r="G191" s="10" t="s">
        <v>588</v>
      </c>
      <c r="H191" s="8" t="s">
        <v>52</v>
      </c>
      <c r="I191" s="8" t="s">
        <v>53</v>
      </c>
      <c r="J191" s="8" t="s">
        <v>589</v>
      </c>
      <c r="K191" s="8" t="s">
        <v>80</v>
      </c>
      <c r="L191" s="8" t="s">
        <v>71</v>
      </c>
      <c r="M191" s="8" t="s">
        <v>241</v>
      </c>
      <c r="N191" s="8" t="s">
        <v>58</v>
      </c>
      <c r="O191" s="8"/>
      <c r="P191" s="8"/>
      <c r="Q191" s="10"/>
      <c r="R191" s="10" t="s">
        <v>590</v>
      </c>
    </row>
    <row r="192" spans="1:18" ht="72">
      <c r="A192" s="7" t="s">
        <v>49</v>
      </c>
      <c r="B192" s="30" t="s">
        <v>591</v>
      </c>
      <c r="C192" s="31">
        <f>VALUE(RIGHT(B192,LEN(B192)-4))</f>
        <v>193</v>
      </c>
      <c r="D192" s="18">
        <v>45711</v>
      </c>
      <c r="E192" s="32"/>
      <c r="F192" s="19"/>
      <c r="G192" s="19" t="s">
        <v>592</v>
      </c>
      <c r="H192" s="17" t="s">
        <v>75</v>
      </c>
      <c r="I192" s="17" t="s">
        <v>235</v>
      </c>
      <c r="J192" s="17" t="s">
        <v>593</v>
      </c>
      <c r="K192" s="17" t="s">
        <v>80</v>
      </c>
      <c r="L192" s="17" t="s">
        <v>202</v>
      </c>
      <c r="M192" s="17" t="s">
        <v>57</v>
      </c>
      <c r="N192" s="17" t="s">
        <v>562</v>
      </c>
      <c r="O192" s="17" t="s">
        <v>563</v>
      </c>
      <c r="P192" s="17"/>
      <c r="Q192" s="19" t="s">
        <v>594</v>
      </c>
      <c r="R192" s="19" t="s">
        <v>595</v>
      </c>
    </row>
    <row r="193" spans="1:18" ht="159">
      <c r="A193" s="7" t="s">
        <v>60</v>
      </c>
      <c r="B193" s="14" t="s">
        <v>596</v>
      </c>
      <c r="C193" s="14">
        <f>VALUE(RIGHT(B193,LEN(B193)-4))</f>
        <v>194</v>
      </c>
      <c r="D193" s="15"/>
      <c r="E193" s="15"/>
      <c r="F193" s="16" t="s">
        <v>508</v>
      </c>
      <c r="G193" s="16" t="s">
        <v>597</v>
      </c>
      <c r="H193" s="14"/>
      <c r="I193" s="14"/>
      <c r="J193" s="14"/>
      <c r="K193" s="14"/>
      <c r="L193" s="14" t="s">
        <v>288</v>
      </c>
      <c r="M193" s="14" t="s">
        <v>57</v>
      </c>
      <c r="N193" s="14" t="s">
        <v>3</v>
      </c>
      <c r="O193" s="14"/>
      <c r="P193" s="14"/>
      <c r="Q193" s="16"/>
      <c r="R193" s="16" t="s">
        <v>598</v>
      </c>
    </row>
    <row r="194" spans="1:18" ht="87">
      <c r="A194" s="7" t="s">
        <v>171</v>
      </c>
      <c r="B194" s="8" t="s">
        <v>599</v>
      </c>
      <c r="C194" s="8">
        <f>VALUE(RIGHT(B194,LEN(B194)-4))</f>
        <v>195</v>
      </c>
      <c r="D194" s="9">
        <v>45681</v>
      </c>
      <c r="E194" s="9">
        <v>45691</v>
      </c>
      <c r="F194" s="10"/>
      <c r="G194" s="10" t="s">
        <v>600</v>
      </c>
      <c r="H194" s="8" t="s">
        <v>75</v>
      </c>
      <c r="I194" s="8" t="s">
        <v>235</v>
      </c>
      <c r="J194" s="8" t="s">
        <v>202</v>
      </c>
      <c r="K194" s="8" t="s">
        <v>55</v>
      </c>
      <c r="L194" s="8" t="s">
        <v>71</v>
      </c>
      <c r="M194" s="8" t="s">
        <v>57</v>
      </c>
      <c r="N194" s="8" t="s">
        <v>58</v>
      </c>
      <c r="O194" s="8"/>
      <c r="P194" s="8"/>
      <c r="Q194" s="10"/>
      <c r="R194" s="10" t="s">
        <v>601</v>
      </c>
    </row>
    <row r="195" spans="1:18" ht="217.5">
      <c r="A195" s="7" t="s">
        <v>60</v>
      </c>
      <c r="B195" s="8" t="s">
        <v>602</v>
      </c>
      <c r="C195" s="8">
        <f>VALUE(RIGHT(B195,LEN(B195)-4))</f>
        <v>196</v>
      </c>
      <c r="D195" s="9"/>
      <c r="E195" s="9"/>
      <c r="F195" s="10" t="s">
        <v>172</v>
      </c>
      <c r="G195" s="10" t="s">
        <v>567</v>
      </c>
      <c r="H195" s="8"/>
      <c r="I195" s="8"/>
      <c r="J195" s="8" t="s">
        <v>56</v>
      </c>
      <c r="K195" s="8"/>
      <c r="L195" s="8" t="s">
        <v>56</v>
      </c>
      <c r="M195" s="8" t="s">
        <v>57</v>
      </c>
      <c r="N195" s="8" t="s">
        <v>58</v>
      </c>
      <c r="O195" s="8"/>
      <c r="P195" s="8"/>
      <c r="Q195" s="10"/>
      <c r="R195" s="10" t="s">
        <v>603</v>
      </c>
    </row>
    <row r="196" spans="1:18" ht="28.5">
      <c r="A196" s="7" t="s">
        <v>49</v>
      </c>
      <c r="B196" s="17" t="s">
        <v>604</v>
      </c>
      <c r="C196" s="17">
        <f>VALUE(RIGHT(B196,LEN(B196)-4))</f>
        <v>197</v>
      </c>
      <c r="D196" s="18">
        <v>45711</v>
      </c>
      <c r="E196" s="18"/>
      <c r="F196" s="19"/>
      <c r="G196" s="19" t="s">
        <v>605</v>
      </c>
      <c r="H196" s="17" t="s">
        <v>75</v>
      </c>
      <c r="I196" s="17" t="s">
        <v>67</v>
      </c>
      <c r="J196" s="17" t="s">
        <v>310</v>
      </c>
      <c r="K196" s="17" t="s">
        <v>80</v>
      </c>
      <c r="L196" s="17" t="s">
        <v>202</v>
      </c>
      <c r="M196" s="17" t="s">
        <v>57</v>
      </c>
      <c r="N196" s="17" t="s">
        <v>144</v>
      </c>
      <c r="O196" s="17" t="s">
        <v>479</v>
      </c>
      <c r="P196" s="17" t="s">
        <v>606</v>
      </c>
      <c r="Q196" s="19"/>
      <c r="R196" s="33" t="s">
        <v>607</v>
      </c>
    </row>
    <row r="197" spans="1:18">
      <c r="A197" s="7" t="s">
        <v>60</v>
      </c>
      <c r="B197" s="8" t="s">
        <v>608</v>
      </c>
      <c r="C197" s="8">
        <f>VALUE(RIGHT(B197,LEN(B197)-4))</f>
        <v>198</v>
      </c>
      <c r="D197" s="9"/>
      <c r="E197" s="9"/>
      <c r="F197" s="10" t="s">
        <v>172</v>
      </c>
      <c r="G197" s="10" t="s">
        <v>154</v>
      </c>
      <c r="H197" s="8"/>
      <c r="I197" s="8"/>
      <c r="J197" s="8" t="s">
        <v>71</v>
      </c>
      <c r="K197" s="8"/>
      <c r="L197" s="8" t="s">
        <v>56</v>
      </c>
      <c r="M197" s="8" t="s">
        <v>57</v>
      </c>
      <c r="N197" s="8" t="s">
        <v>58</v>
      </c>
      <c r="O197" s="8"/>
      <c r="P197" s="8"/>
      <c r="Q197" s="10"/>
      <c r="R197" s="10"/>
    </row>
    <row r="198" spans="1:18" ht="28.5">
      <c r="A198" s="7" t="s">
        <v>171</v>
      </c>
      <c r="B198" s="8" t="s">
        <v>609</v>
      </c>
      <c r="C198" s="8">
        <f>VALUE(RIGHT(B198,LEN(B198)-4))</f>
        <v>199</v>
      </c>
      <c r="D198" s="9">
        <v>45685</v>
      </c>
      <c r="E198" s="9">
        <v>45686</v>
      </c>
      <c r="F198" s="10"/>
      <c r="G198" s="10" t="s">
        <v>610</v>
      </c>
      <c r="H198" s="8" t="s">
        <v>75</v>
      </c>
      <c r="I198" s="8" t="s">
        <v>245</v>
      </c>
      <c r="J198" s="8" t="s">
        <v>71</v>
      </c>
      <c r="K198" s="8" t="s">
        <v>72</v>
      </c>
      <c r="L198" s="8" t="s">
        <v>71</v>
      </c>
      <c r="M198" s="8" t="s">
        <v>57</v>
      </c>
      <c r="N198" s="8" t="s">
        <v>58</v>
      </c>
      <c r="O198" s="8"/>
      <c r="P198" s="8"/>
      <c r="Q198" s="10"/>
      <c r="R198" s="10" t="s">
        <v>611</v>
      </c>
    </row>
    <row r="199" spans="1:18" ht="28.5">
      <c r="A199" s="7" t="s">
        <v>60</v>
      </c>
      <c r="B199" s="8" t="s">
        <v>612</v>
      </c>
      <c r="C199" s="8">
        <f>VALUE(RIGHT(B199,LEN(B199)-4))</f>
        <v>200</v>
      </c>
      <c r="D199" s="9"/>
      <c r="E199" s="9"/>
      <c r="F199" s="10" t="s">
        <v>172</v>
      </c>
      <c r="G199" s="10" t="s">
        <v>613</v>
      </c>
      <c r="H199" s="8"/>
      <c r="I199" s="8"/>
      <c r="J199" s="8"/>
      <c r="K199" s="8"/>
      <c r="L199" s="8" t="s">
        <v>71</v>
      </c>
      <c r="M199" s="8" t="s">
        <v>57</v>
      </c>
      <c r="N199" s="8" t="s">
        <v>58</v>
      </c>
      <c r="O199" s="8"/>
      <c r="P199" s="8"/>
      <c r="Q199" s="10"/>
      <c r="R199" s="10" t="s">
        <v>614</v>
      </c>
    </row>
    <row r="200" spans="1:18" ht="57.75">
      <c r="A200" s="7" t="s">
        <v>171</v>
      </c>
      <c r="B200" s="8" t="s">
        <v>615</v>
      </c>
      <c r="C200" s="8">
        <f>VALUE(RIGHT(B200,LEN(B200)-4))</f>
        <v>201</v>
      </c>
      <c r="D200" s="9">
        <v>45685</v>
      </c>
      <c r="E200" s="9">
        <v>45691</v>
      </c>
      <c r="F200" s="10"/>
      <c r="G200" s="10" t="s">
        <v>616</v>
      </c>
      <c r="H200" s="8" t="s">
        <v>102</v>
      </c>
      <c r="I200" s="8" t="s">
        <v>53</v>
      </c>
      <c r="J200" s="8" t="s">
        <v>202</v>
      </c>
      <c r="K200" s="8" t="s">
        <v>55</v>
      </c>
      <c r="L200" s="8" t="s">
        <v>202</v>
      </c>
      <c r="M200" s="8" t="s">
        <v>241</v>
      </c>
      <c r="N200" s="8" t="s">
        <v>58</v>
      </c>
      <c r="O200" s="8"/>
      <c r="P200" s="8"/>
      <c r="Q200" s="10"/>
      <c r="R200" s="10" t="s">
        <v>617</v>
      </c>
    </row>
    <row r="201" spans="1:18" ht="115.5">
      <c r="A201" s="7" t="s">
        <v>171</v>
      </c>
      <c r="B201" s="8" t="s">
        <v>618</v>
      </c>
      <c r="C201" s="8">
        <f>VALUE(RIGHT(B201,LEN(B201)-4))</f>
        <v>202</v>
      </c>
      <c r="D201" s="9">
        <v>45686</v>
      </c>
      <c r="E201" s="9">
        <v>45688</v>
      </c>
      <c r="F201" s="10"/>
      <c r="G201" s="10" t="s">
        <v>619</v>
      </c>
      <c r="H201" s="8" t="s">
        <v>75</v>
      </c>
      <c r="I201" s="8" t="s">
        <v>216</v>
      </c>
      <c r="J201" s="8" t="s">
        <v>288</v>
      </c>
      <c r="K201" s="8" t="s">
        <v>80</v>
      </c>
      <c r="L201" s="8" t="s">
        <v>202</v>
      </c>
      <c r="M201" s="8" t="s">
        <v>227</v>
      </c>
      <c r="N201" s="8" t="s">
        <v>58</v>
      </c>
      <c r="O201" s="8"/>
      <c r="P201" s="8"/>
      <c r="Q201" s="10"/>
      <c r="R201" s="10" t="s">
        <v>620</v>
      </c>
    </row>
    <row r="202" spans="1:18" ht="28.5">
      <c r="A202" s="7" t="s">
        <v>49</v>
      </c>
      <c r="B202" s="8" t="s">
        <v>621</v>
      </c>
      <c r="C202" s="8">
        <f>VALUE(RIGHT(B202,LEN(B202)-4))</f>
        <v>203</v>
      </c>
      <c r="D202" s="9">
        <v>45686</v>
      </c>
      <c r="E202" s="9">
        <v>45691</v>
      </c>
      <c r="F202" s="10"/>
      <c r="G202" s="10" t="s">
        <v>576</v>
      </c>
      <c r="H202" s="8" t="s">
        <v>52</v>
      </c>
      <c r="I202" s="8" t="s">
        <v>622</v>
      </c>
      <c r="J202" s="8" t="s">
        <v>71</v>
      </c>
      <c r="K202" s="8" t="s">
        <v>72</v>
      </c>
      <c r="L202" s="8" t="s">
        <v>202</v>
      </c>
      <c r="M202" s="8" t="s">
        <v>57</v>
      </c>
      <c r="N202" s="8" t="s">
        <v>58</v>
      </c>
      <c r="O202" s="8"/>
      <c r="P202" s="8"/>
      <c r="Q202" s="10"/>
      <c r="R202" s="10" t="s">
        <v>623</v>
      </c>
    </row>
    <row r="203" spans="1:18" ht="43.5">
      <c r="A203" s="7" t="s">
        <v>49</v>
      </c>
      <c r="B203" s="8" t="s">
        <v>624</v>
      </c>
      <c r="C203" s="8">
        <f>VALUE(RIGHT(B203,LEN(B203)-4))</f>
        <v>204</v>
      </c>
      <c r="D203" s="9">
        <v>45686</v>
      </c>
      <c r="E203" s="9">
        <v>45686</v>
      </c>
      <c r="F203" s="10"/>
      <c r="G203" s="10" t="s">
        <v>625</v>
      </c>
      <c r="H203" s="8" t="s">
        <v>66</v>
      </c>
      <c r="I203" s="8" t="s">
        <v>89</v>
      </c>
      <c r="J203" s="8" t="s">
        <v>202</v>
      </c>
      <c r="K203" s="8" t="s">
        <v>55</v>
      </c>
      <c r="L203" s="8" t="s">
        <v>202</v>
      </c>
      <c r="M203" s="8" t="s">
        <v>57</v>
      </c>
      <c r="N203" s="8" t="s">
        <v>58</v>
      </c>
      <c r="O203" s="8"/>
      <c r="P203" s="8"/>
      <c r="Q203" s="10"/>
      <c r="R203" s="10" t="s">
        <v>626</v>
      </c>
    </row>
    <row r="204" spans="1:18">
      <c r="A204" s="7" t="s">
        <v>60</v>
      </c>
      <c r="B204" s="14" t="s">
        <v>627</v>
      </c>
      <c r="C204" s="14">
        <f>VALUE(RIGHT(B204,LEN(B204)-4))</f>
        <v>205</v>
      </c>
      <c r="D204" s="15"/>
      <c r="E204" s="15"/>
      <c r="F204" s="16" t="s">
        <v>359</v>
      </c>
      <c r="G204" s="16" t="s">
        <v>628</v>
      </c>
      <c r="H204" s="14"/>
      <c r="I204" s="14"/>
      <c r="J204" s="14" t="s">
        <v>629</v>
      </c>
      <c r="K204" s="14"/>
      <c r="L204" s="14" t="s">
        <v>155</v>
      </c>
      <c r="M204" s="14" t="s">
        <v>57</v>
      </c>
      <c r="N204" s="14" t="s">
        <v>3</v>
      </c>
      <c r="O204" s="14"/>
      <c r="P204" s="14"/>
      <c r="Q204" s="16"/>
      <c r="R204" s="16"/>
    </row>
    <row r="205" spans="1:18" ht="57.75">
      <c r="A205" s="7" t="s">
        <v>49</v>
      </c>
      <c r="B205" s="10" t="s">
        <v>630</v>
      </c>
      <c r="C205" s="34">
        <f>VALUE(RIGHT(B205,LEN(B205)-4))</f>
        <v>206</v>
      </c>
      <c r="D205" s="35">
        <v>45686</v>
      </c>
      <c r="E205" s="35"/>
      <c r="F205" s="10"/>
      <c r="G205" s="10" t="s">
        <v>631</v>
      </c>
      <c r="H205" s="10" t="s">
        <v>52</v>
      </c>
      <c r="I205" s="10" t="s">
        <v>67</v>
      </c>
      <c r="J205" s="10" t="s">
        <v>103</v>
      </c>
      <c r="K205" s="10" t="s">
        <v>80</v>
      </c>
      <c r="L205" s="10" t="s">
        <v>202</v>
      </c>
      <c r="M205" s="10" t="s">
        <v>57</v>
      </c>
      <c r="N205" s="10" t="s">
        <v>58</v>
      </c>
      <c r="O205" s="10" t="s">
        <v>184</v>
      </c>
      <c r="P205" s="10"/>
      <c r="Q205" s="10" t="s">
        <v>632</v>
      </c>
      <c r="R205" s="10" t="s">
        <v>633</v>
      </c>
    </row>
    <row r="206" spans="1:18" ht="28.5">
      <c r="A206" s="7" t="s">
        <v>49</v>
      </c>
      <c r="B206" s="8" t="s">
        <v>634</v>
      </c>
      <c r="C206" s="17">
        <f>VALUE(RIGHT(B206,LEN(B206)-4))</f>
        <v>207</v>
      </c>
      <c r="D206" s="9">
        <v>45686</v>
      </c>
      <c r="E206" s="9"/>
      <c r="F206" s="10"/>
      <c r="G206" s="10" t="s">
        <v>635</v>
      </c>
      <c r="H206" s="8" t="s">
        <v>75</v>
      </c>
      <c r="I206" s="8" t="s">
        <v>183</v>
      </c>
      <c r="J206" s="8" t="s">
        <v>103</v>
      </c>
      <c r="K206" s="8" t="s">
        <v>80</v>
      </c>
      <c r="L206" s="8" t="s">
        <v>202</v>
      </c>
      <c r="M206" s="8" t="s">
        <v>57</v>
      </c>
      <c r="N206" s="8" t="s">
        <v>58</v>
      </c>
      <c r="O206" s="8" t="s">
        <v>479</v>
      </c>
      <c r="P206" s="8"/>
      <c r="Q206" s="10" t="s">
        <v>636</v>
      </c>
      <c r="R206" s="10" t="s">
        <v>637</v>
      </c>
    </row>
    <row r="207" spans="1:18" ht="28.5">
      <c r="A207" s="7" t="s">
        <v>49</v>
      </c>
      <c r="B207" s="21" t="s">
        <v>638</v>
      </c>
      <c r="C207" s="21">
        <f>VALUE(RIGHT(B207,LEN(B207)-4))</f>
        <v>208</v>
      </c>
      <c r="D207" s="36">
        <v>45686</v>
      </c>
      <c r="E207" s="22"/>
      <c r="F207" s="20"/>
      <c r="G207" s="20" t="s">
        <v>639</v>
      </c>
      <c r="H207" s="21" t="s">
        <v>107</v>
      </c>
      <c r="I207" s="21" t="s">
        <v>67</v>
      </c>
      <c r="J207" s="21" t="s">
        <v>202</v>
      </c>
      <c r="K207" s="21" t="s">
        <v>55</v>
      </c>
      <c r="L207" s="21" t="s">
        <v>71</v>
      </c>
      <c r="M207" s="21" t="s">
        <v>57</v>
      </c>
      <c r="N207" s="21" t="s">
        <v>640</v>
      </c>
      <c r="O207" s="21"/>
      <c r="P207" s="21"/>
      <c r="Q207" s="20"/>
      <c r="R207" s="20" t="s">
        <v>641</v>
      </c>
    </row>
    <row r="208" spans="1:18" ht="28.5">
      <c r="A208" s="7" t="s">
        <v>49</v>
      </c>
      <c r="B208" s="20" t="s">
        <v>642</v>
      </c>
      <c r="C208" s="20">
        <f>VALUE(RIGHT(B208,LEN(B208)-4))</f>
        <v>209</v>
      </c>
      <c r="D208" s="36">
        <v>45686</v>
      </c>
      <c r="E208" s="36"/>
      <c r="F208" s="20"/>
      <c r="G208" s="20" t="s">
        <v>643</v>
      </c>
      <c r="H208" s="21" t="s">
        <v>84</v>
      </c>
      <c r="I208" s="21" t="s">
        <v>85</v>
      </c>
      <c r="J208" s="21" t="s">
        <v>71</v>
      </c>
      <c r="K208" s="21" t="s">
        <v>72</v>
      </c>
      <c r="L208" s="21" t="s">
        <v>202</v>
      </c>
      <c r="M208" s="21" t="s">
        <v>57</v>
      </c>
      <c r="N208" s="21" t="s">
        <v>14</v>
      </c>
      <c r="O208" s="21" t="s">
        <v>184</v>
      </c>
      <c r="P208" s="21"/>
      <c r="Q208" s="20" t="s">
        <v>644</v>
      </c>
      <c r="R208" s="20" t="s">
        <v>645</v>
      </c>
    </row>
    <row r="209" spans="1:18" ht="28.5">
      <c r="A209" s="7" t="s">
        <v>49</v>
      </c>
      <c r="B209" s="10" t="s">
        <v>646</v>
      </c>
      <c r="C209" s="10">
        <f>VALUE(RIGHT(B209,LEN(B209)-4))</f>
        <v>210</v>
      </c>
      <c r="D209" s="9">
        <v>45686</v>
      </c>
      <c r="E209" s="9">
        <v>45701</v>
      </c>
      <c r="F209" s="10"/>
      <c r="G209" s="10" t="s">
        <v>647</v>
      </c>
      <c r="H209" s="8" t="s">
        <v>84</v>
      </c>
      <c r="I209" s="8" t="s">
        <v>85</v>
      </c>
      <c r="J209" s="8" t="s">
        <v>71</v>
      </c>
      <c r="K209" s="8" t="s">
        <v>72</v>
      </c>
      <c r="L209" s="8" t="s">
        <v>202</v>
      </c>
      <c r="M209" s="8" t="s">
        <v>57</v>
      </c>
      <c r="N209" s="8" t="s">
        <v>58</v>
      </c>
      <c r="O209" s="8" t="s">
        <v>184</v>
      </c>
      <c r="P209" s="8"/>
      <c r="Q209" s="10" t="s">
        <v>648</v>
      </c>
      <c r="R209" s="20" t="s">
        <v>649</v>
      </c>
    </row>
    <row r="210" spans="1:18">
      <c r="A210" s="7" t="s">
        <v>60</v>
      </c>
      <c r="B210" s="14" t="s">
        <v>650</v>
      </c>
      <c r="C210" s="14">
        <f>VALUE(RIGHT(B210,LEN(B210)-4))</f>
        <v>211</v>
      </c>
      <c r="D210" s="15"/>
      <c r="E210" s="15"/>
      <c r="F210" s="16" t="s">
        <v>324</v>
      </c>
      <c r="G210" s="16" t="s">
        <v>154</v>
      </c>
      <c r="H210" s="14"/>
      <c r="I210" s="14"/>
      <c r="J210" s="14" t="s">
        <v>71</v>
      </c>
      <c r="K210" s="14"/>
      <c r="L210" s="14" t="s">
        <v>56</v>
      </c>
      <c r="M210" s="14" t="s">
        <v>57</v>
      </c>
      <c r="N210" s="14" t="s">
        <v>3</v>
      </c>
      <c r="O210" s="14" t="s">
        <v>289</v>
      </c>
      <c r="P210" s="14"/>
      <c r="Q210" s="16"/>
      <c r="R210" s="16"/>
    </row>
    <row r="211" spans="1:18">
      <c r="A211" s="7" t="s">
        <v>60</v>
      </c>
      <c r="B211" s="14" t="s">
        <v>651</v>
      </c>
      <c r="C211" s="14">
        <f>VALUE(RIGHT(B211,LEN(B211)-4))</f>
        <v>212</v>
      </c>
      <c r="D211" s="15"/>
      <c r="E211" s="15"/>
      <c r="F211" s="16" t="s">
        <v>642</v>
      </c>
      <c r="G211" s="16" t="s">
        <v>652</v>
      </c>
      <c r="H211" s="14"/>
      <c r="I211" s="14"/>
      <c r="J211" s="14" t="s">
        <v>380</v>
      </c>
      <c r="K211" s="14"/>
      <c r="L211" s="14" t="s">
        <v>202</v>
      </c>
      <c r="M211" s="14" t="s">
        <v>57</v>
      </c>
      <c r="N211" s="14" t="s">
        <v>3</v>
      </c>
      <c r="O211" s="14" t="s">
        <v>184</v>
      </c>
      <c r="P211" s="14"/>
      <c r="Q211" s="16"/>
      <c r="R211" s="16"/>
    </row>
    <row r="212" spans="1:18">
      <c r="A212" s="7" t="s">
        <v>60</v>
      </c>
      <c r="B212" s="14" t="s">
        <v>653</v>
      </c>
      <c r="C212" s="14">
        <f>VALUE(RIGHT(B212,LEN(B212)-4))</f>
        <v>213</v>
      </c>
      <c r="D212" s="15"/>
      <c r="E212" s="15"/>
      <c r="F212" s="16" t="s">
        <v>646</v>
      </c>
      <c r="G212" s="16" t="s">
        <v>652</v>
      </c>
      <c r="H212" s="14"/>
      <c r="I212" s="14"/>
      <c r="J212" s="14"/>
      <c r="K212" s="14"/>
      <c r="L212" s="14" t="s">
        <v>155</v>
      </c>
      <c r="M212" s="14" t="s">
        <v>57</v>
      </c>
      <c r="N212" s="14"/>
      <c r="O212" s="14" t="s">
        <v>184</v>
      </c>
      <c r="P212" s="14"/>
      <c r="Q212" s="16"/>
      <c r="R212" s="16"/>
    </row>
    <row r="213" spans="1:18" ht="57.75">
      <c r="A213" s="7" t="s">
        <v>49</v>
      </c>
      <c r="B213" s="14" t="s">
        <v>654</v>
      </c>
      <c r="C213" s="14">
        <f>VALUE(RIGHT(B213,LEN(B213)-4))</f>
        <v>214</v>
      </c>
      <c r="D213" s="15">
        <v>45687</v>
      </c>
      <c r="E213" s="15"/>
      <c r="F213" s="16"/>
      <c r="G213" s="16" t="s">
        <v>655</v>
      </c>
      <c r="H213" s="14" t="s">
        <v>350</v>
      </c>
      <c r="I213" s="14" t="s">
        <v>115</v>
      </c>
      <c r="J213" s="14"/>
      <c r="K213" s="14"/>
      <c r="L213" s="14" t="s">
        <v>71</v>
      </c>
      <c r="M213" s="14" t="s">
        <v>57</v>
      </c>
      <c r="N213" s="14" t="s">
        <v>3</v>
      </c>
      <c r="O213" s="14"/>
      <c r="P213" s="14"/>
      <c r="Q213" s="16"/>
      <c r="R213" s="16" t="s">
        <v>656</v>
      </c>
    </row>
    <row r="214" spans="1:18">
      <c r="A214" s="7" t="s">
        <v>49</v>
      </c>
      <c r="B214" s="8" t="s">
        <v>657</v>
      </c>
      <c r="C214" s="8">
        <f>VALUE(RIGHT(B214,LEN(B214)-4))</f>
        <v>215</v>
      </c>
      <c r="D214" s="9">
        <v>45687</v>
      </c>
      <c r="E214" s="9">
        <v>45687</v>
      </c>
      <c r="F214" s="10"/>
      <c r="G214" s="10" t="s">
        <v>658</v>
      </c>
      <c r="H214" s="8" t="s">
        <v>659</v>
      </c>
      <c r="I214" s="8" t="s">
        <v>660</v>
      </c>
      <c r="J214" s="8" t="s">
        <v>202</v>
      </c>
      <c r="K214" s="8" t="s">
        <v>55</v>
      </c>
      <c r="L214" s="8" t="s">
        <v>71</v>
      </c>
      <c r="M214" s="8" t="s">
        <v>57</v>
      </c>
      <c r="N214" s="8" t="s">
        <v>18</v>
      </c>
      <c r="O214" s="8"/>
      <c r="P214" s="8"/>
      <c r="Q214" s="10"/>
      <c r="R214" s="10" t="s">
        <v>661</v>
      </c>
    </row>
    <row r="215" spans="1:18" ht="43.5">
      <c r="A215" s="7" t="s">
        <v>49</v>
      </c>
      <c r="B215" s="8" t="s">
        <v>662</v>
      </c>
      <c r="C215" s="8">
        <f>VALUE(RIGHT(B215,LEN(B215)-4))</f>
        <v>216</v>
      </c>
      <c r="D215" s="37">
        <v>45687</v>
      </c>
      <c r="E215" s="37">
        <v>45688</v>
      </c>
      <c r="F215" s="38"/>
      <c r="G215" s="38" t="s">
        <v>663</v>
      </c>
      <c r="H215" s="39" t="s">
        <v>88</v>
      </c>
      <c r="I215" s="39" t="s">
        <v>660</v>
      </c>
      <c r="J215" s="39" t="s">
        <v>202</v>
      </c>
      <c r="K215" s="39" t="s">
        <v>55</v>
      </c>
      <c r="L215" s="39" t="s">
        <v>71</v>
      </c>
      <c r="M215" s="39" t="s">
        <v>57</v>
      </c>
      <c r="N215" s="39" t="s">
        <v>18</v>
      </c>
      <c r="O215" s="39"/>
      <c r="P215" s="39"/>
      <c r="Q215" s="38"/>
      <c r="R215" s="38" t="s">
        <v>664</v>
      </c>
    </row>
    <row r="216" spans="1:18">
      <c r="A216" s="40" t="s">
        <v>49</v>
      </c>
      <c r="B216" s="41" t="s">
        <v>665</v>
      </c>
      <c r="C216" s="42">
        <f>VALUE(RIGHT(B216,LEN(B216)-4))</f>
        <v>217</v>
      </c>
      <c r="D216" s="9">
        <v>45687</v>
      </c>
      <c r="E216" s="9">
        <v>45699</v>
      </c>
      <c r="F216" s="10"/>
      <c r="G216" s="10" t="s">
        <v>666</v>
      </c>
      <c r="H216" s="8" t="s">
        <v>225</v>
      </c>
      <c r="I216" s="8" t="s">
        <v>115</v>
      </c>
      <c r="J216" s="8" t="s">
        <v>103</v>
      </c>
      <c r="K216" s="8" t="s">
        <v>80</v>
      </c>
      <c r="L216" s="8" t="s">
        <v>202</v>
      </c>
      <c r="M216" s="8" t="s">
        <v>57</v>
      </c>
      <c r="N216" s="8" t="s">
        <v>58</v>
      </c>
      <c r="O216" s="8" t="s">
        <v>667</v>
      </c>
      <c r="P216" s="8"/>
      <c r="Q216" s="10" t="s">
        <v>668</v>
      </c>
      <c r="R216" s="43" t="s">
        <v>669</v>
      </c>
    </row>
    <row r="217" spans="1:18" ht="28.5">
      <c r="A217" s="44" t="s">
        <v>60</v>
      </c>
      <c r="B217" s="45" t="s">
        <v>665</v>
      </c>
      <c r="C217" s="46"/>
      <c r="D217" s="9">
        <v>45722</v>
      </c>
      <c r="E217" s="9"/>
      <c r="F217" s="10"/>
      <c r="G217" s="10" t="s">
        <v>670</v>
      </c>
      <c r="H217" s="8" t="s">
        <v>225</v>
      </c>
      <c r="I217" s="8" t="s">
        <v>115</v>
      </c>
      <c r="J217" s="8" t="s">
        <v>671</v>
      </c>
      <c r="K217" s="8"/>
      <c r="L217" s="8"/>
      <c r="M217" s="8" t="s">
        <v>57</v>
      </c>
      <c r="N217" s="8" t="s">
        <v>58</v>
      </c>
      <c r="O217" s="8"/>
      <c r="P217" s="8"/>
      <c r="Q217" s="10" t="s">
        <v>672</v>
      </c>
      <c r="R217" s="43"/>
    </row>
    <row r="218" spans="1:18" ht="43.5">
      <c r="A218" s="7" t="s">
        <v>49</v>
      </c>
      <c r="B218" s="8" t="s">
        <v>673</v>
      </c>
      <c r="C218" s="47">
        <f>VALUE(RIGHT(B218,LEN(B218)-4))</f>
        <v>218</v>
      </c>
      <c r="D218" s="9">
        <v>45687</v>
      </c>
      <c r="E218" s="9">
        <v>45688</v>
      </c>
      <c r="F218" s="10"/>
      <c r="G218" s="10" t="s">
        <v>674</v>
      </c>
      <c r="H218" s="8" t="s">
        <v>66</v>
      </c>
      <c r="I218" s="8" t="s">
        <v>53</v>
      </c>
      <c r="J218" s="8" t="s">
        <v>103</v>
      </c>
      <c r="K218" s="8" t="s">
        <v>80</v>
      </c>
      <c r="L218" s="8" t="s">
        <v>202</v>
      </c>
      <c r="M218" s="8" t="s">
        <v>57</v>
      </c>
      <c r="N218" s="8" t="s">
        <v>58</v>
      </c>
      <c r="O218" s="8"/>
      <c r="P218" s="8"/>
      <c r="Q218" s="10"/>
      <c r="R218" s="10" t="s">
        <v>675</v>
      </c>
    </row>
    <row r="219" spans="1:18" ht="28.5">
      <c r="A219" s="7" t="s">
        <v>49</v>
      </c>
      <c r="B219" s="14" t="s">
        <v>676</v>
      </c>
      <c r="C219" s="14">
        <f>VALUE(RIGHT(B219,LEN(B219)-4))</f>
        <v>219</v>
      </c>
      <c r="D219" s="48">
        <v>45688</v>
      </c>
      <c r="E219" s="48"/>
      <c r="F219" s="49"/>
      <c r="G219" s="49" t="s">
        <v>677</v>
      </c>
      <c r="H219" s="50" t="s">
        <v>350</v>
      </c>
      <c r="I219" s="50" t="s">
        <v>235</v>
      </c>
      <c r="J219" s="50"/>
      <c r="K219" s="50"/>
      <c r="L219" s="50" t="s">
        <v>71</v>
      </c>
      <c r="M219" s="50" t="s">
        <v>57</v>
      </c>
      <c r="N219" s="50" t="s">
        <v>3</v>
      </c>
      <c r="O219" s="50"/>
      <c r="P219" s="50"/>
      <c r="Q219" s="49"/>
      <c r="R219" s="49" t="s">
        <v>678</v>
      </c>
    </row>
    <row r="220" spans="1:18" ht="43.5">
      <c r="A220" s="7" t="s">
        <v>49</v>
      </c>
      <c r="B220" s="8" t="s">
        <v>679</v>
      </c>
      <c r="C220" s="14">
        <f>VALUE(RIGHT(B220,LEN(B220)-4))</f>
        <v>220</v>
      </c>
      <c r="D220" s="9">
        <v>45691</v>
      </c>
      <c r="E220" s="9"/>
      <c r="F220" s="10"/>
      <c r="G220" s="10" t="s">
        <v>680</v>
      </c>
      <c r="H220" s="8" t="s">
        <v>75</v>
      </c>
      <c r="I220" s="8" t="s">
        <v>53</v>
      </c>
      <c r="J220" s="8"/>
      <c r="K220" s="8"/>
      <c r="L220" s="8" t="s">
        <v>202</v>
      </c>
      <c r="M220" s="8" t="s">
        <v>57</v>
      </c>
      <c r="N220" s="8" t="s">
        <v>58</v>
      </c>
      <c r="O220" s="8"/>
      <c r="P220" s="8"/>
      <c r="Q220" s="10"/>
      <c r="R220" s="10" t="s">
        <v>681</v>
      </c>
    </row>
    <row r="221" spans="1:18" ht="28.5">
      <c r="A221" s="7" t="s">
        <v>49</v>
      </c>
      <c r="B221" s="8" t="s">
        <v>682</v>
      </c>
      <c r="C221" s="8">
        <f>VALUE(RIGHT(B221,LEN(B221)-4))</f>
        <v>221</v>
      </c>
      <c r="D221" s="9">
        <v>45691</v>
      </c>
      <c r="E221" s="9">
        <v>45720</v>
      </c>
      <c r="F221" s="10"/>
      <c r="G221" s="10" t="s">
        <v>683</v>
      </c>
      <c r="H221" s="8" t="s">
        <v>66</v>
      </c>
      <c r="I221" s="8" t="s">
        <v>89</v>
      </c>
      <c r="J221" s="8"/>
      <c r="K221" s="8"/>
      <c r="L221" s="8" t="s">
        <v>202</v>
      </c>
      <c r="M221" s="8" t="s">
        <v>227</v>
      </c>
      <c r="N221" s="8" t="s">
        <v>58</v>
      </c>
      <c r="O221" s="8"/>
      <c r="P221" s="8"/>
      <c r="Q221" s="10"/>
      <c r="R221" s="10" t="s">
        <v>684</v>
      </c>
    </row>
    <row r="222" spans="1:18" ht="28.5">
      <c r="A222" s="7" t="s">
        <v>49</v>
      </c>
      <c r="B222" s="21" t="s">
        <v>685</v>
      </c>
      <c r="C222" s="17">
        <f>VALUE(RIGHT(B222,LEN(B222)-4))</f>
        <v>222</v>
      </c>
      <c r="D222" s="22">
        <v>45691</v>
      </c>
      <c r="E222" s="22"/>
      <c r="F222" s="20"/>
      <c r="G222" s="20" t="s">
        <v>686</v>
      </c>
      <c r="H222" s="21" t="s">
        <v>102</v>
      </c>
      <c r="I222" s="21" t="s">
        <v>53</v>
      </c>
      <c r="J222" s="21" t="s">
        <v>103</v>
      </c>
      <c r="K222" s="21" t="s">
        <v>80</v>
      </c>
      <c r="L222" s="21" t="s">
        <v>202</v>
      </c>
      <c r="M222" s="21" t="s">
        <v>241</v>
      </c>
      <c r="N222" s="21" t="s">
        <v>14</v>
      </c>
      <c r="O222" s="21" t="s">
        <v>479</v>
      </c>
      <c r="P222" s="21"/>
      <c r="Q222" s="20" t="s">
        <v>687</v>
      </c>
      <c r="R222" s="20" t="s">
        <v>688</v>
      </c>
    </row>
    <row r="223" spans="1:18">
      <c r="A223" s="7" t="s">
        <v>60</v>
      </c>
      <c r="B223" s="8" t="s">
        <v>689</v>
      </c>
      <c r="C223" s="8">
        <f>VALUE(RIGHT(B223,LEN(B223)-4))</f>
        <v>223</v>
      </c>
      <c r="D223" s="9"/>
      <c r="E223" s="9"/>
      <c r="F223" s="10" t="s">
        <v>315</v>
      </c>
      <c r="G223" s="10" t="s">
        <v>62</v>
      </c>
      <c r="H223" s="8"/>
      <c r="I223" s="8"/>
      <c r="J223" s="8" t="s">
        <v>103</v>
      </c>
      <c r="K223" s="8"/>
      <c r="L223" s="8" t="s">
        <v>155</v>
      </c>
      <c r="M223" s="8" t="s">
        <v>57</v>
      </c>
      <c r="N223" s="8" t="s">
        <v>58</v>
      </c>
      <c r="O223" s="8" t="s">
        <v>289</v>
      </c>
      <c r="P223" s="8"/>
      <c r="Q223" s="10"/>
      <c r="R223" s="10"/>
    </row>
    <row r="224" spans="1:18" ht="28.5">
      <c r="A224" s="7" t="s">
        <v>49</v>
      </c>
      <c r="B224" s="8" t="s">
        <v>690</v>
      </c>
      <c r="C224" s="8">
        <f>VALUE(RIGHT(B224,LEN(B224)-4))</f>
        <v>224</v>
      </c>
      <c r="D224" s="9">
        <v>45691</v>
      </c>
      <c r="E224" s="9">
        <v>45692</v>
      </c>
      <c r="F224" s="10"/>
      <c r="G224" s="10" t="s">
        <v>691</v>
      </c>
      <c r="H224" s="8" t="s">
        <v>75</v>
      </c>
      <c r="I224" s="8" t="s">
        <v>235</v>
      </c>
      <c r="J224" s="8" t="s">
        <v>202</v>
      </c>
      <c r="K224" s="8" t="s">
        <v>55</v>
      </c>
      <c r="L224" s="8" t="s">
        <v>202</v>
      </c>
      <c r="M224" s="8" t="s">
        <v>57</v>
      </c>
      <c r="N224" s="8" t="s">
        <v>58</v>
      </c>
      <c r="O224" s="8"/>
      <c r="P224" s="8"/>
      <c r="Q224" s="10"/>
      <c r="R224" s="10" t="s">
        <v>692</v>
      </c>
    </row>
    <row r="225" spans="1:18">
      <c r="A225" s="7" t="s">
        <v>60</v>
      </c>
      <c r="B225" s="8" t="s">
        <v>693</v>
      </c>
      <c r="C225" s="8">
        <f>VALUE(RIGHT(B225,LEN(B225)-4))</f>
        <v>225</v>
      </c>
      <c r="D225" s="9"/>
      <c r="E225" s="9"/>
      <c r="F225" s="8" t="s">
        <v>119</v>
      </c>
      <c r="G225" s="8" t="s">
        <v>154</v>
      </c>
      <c r="H225" s="8"/>
      <c r="I225" s="8"/>
      <c r="J225" s="8" t="s">
        <v>71</v>
      </c>
      <c r="K225" s="8"/>
      <c r="L225" s="8" t="s">
        <v>155</v>
      </c>
      <c r="M225" s="8" t="s">
        <v>57</v>
      </c>
      <c r="N225" s="8" t="s">
        <v>58</v>
      </c>
      <c r="O225" s="8" t="s">
        <v>122</v>
      </c>
      <c r="P225" s="8"/>
      <c r="Q225" s="8"/>
      <c r="R225" s="8"/>
    </row>
    <row r="226" spans="1:18">
      <c r="A226" s="7" t="s">
        <v>60</v>
      </c>
      <c r="B226" s="8" t="s">
        <v>694</v>
      </c>
      <c r="C226" s="8">
        <f>VALUE(RIGHT(B226,LEN(B226)-4))</f>
        <v>226</v>
      </c>
      <c r="D226" s="9"/>
      <c r="E226" s="9"/>
      <c r="F226" s="8" t="s">
        <v>315</v>
      </c>
      <c r="G226" s="8" t="s">
        <v>154</v>
      </c>
      <c r="H226" s="8"/>
      <c r="I226" s="8"/>
      <c r="J226" s="8" t="s">
        <v>71</v>
      </c>
      <c r="K226" s="8"/>
      <c r="L226" s="8" t="s">
        <v>155</v>
      </c>
      <c r="M226" s="8" t="s">
        <v>57</v>
      </c>
      <c r="N226" s="8" t="s">
        <v>58</v>
      </c>
      <c r="O226" s="8" t="s">
        <v>289</v>
      </c>
      <c r="P226" s="8"/>
      <c r="Q226" s="8"/>
      <c r="R226" s="8"/>
    </row>
    <row r="227" spans="1:18" ht="43.5">
      <c r="A227" s="7" t="s">
        <v>49</v>
      </c>
      <c r="B227" s="14" t="s">
        <v>695</v>
      </c>
      <c r="C227" s="14">
        <f>VALUE(RIGHT(B227,LEN(B227)-4))</f>
        <v>227</v>
      </c>
      <c r="D227" s="15">
        <v>45691</v>
      </c>
      <c r="E227" s="15"/>
      <c r="F227" s="16"/>
      <c r="G227" s="16" t="s">
        <v>696</v>
      </c>
      <c r="H227" s="14" t="s">
        <v>52</v>
      </c>
      <c r="I227" s="14" t="s">
        <v>53</v>
      </c>
      <c r="J227" s="14" t="s">
        <v>71</v>
      </c>
      <c r="K227" s="14" t="s">
        <v>72</v>
      </c>
      <c r="L227" s="14" t="s">
        <v>202</v>
      </c>
      <c r="M227" s="14" t="s">
        <v>57</v>
      </c>
      <c r="N227" s="14" t="s">
        <v>3</v>
      </c>
      <c r="O227" s="14"/>
      <c r="P227" s="14"/>
      <c r="Q227" s="16" t="s">
        <v>697</v>
      </c>
      <c r="R227" s="16" t="s">
        <v>698</v>
      </c>
    </row>
    <row r="228" spans="1:18" ht="28.5">
      <c r="A228" s="7" t="s">
        <v>60</v>
      </c>
      <c r="B228" s="8" t="s">
        <v>699</v>
      </c>
      <c r="C228" s="8">
        <f>VALUE(RIGHT(B228,LEN(B228)-4))</f>
        <v>228</v>
      </c>
      <c r="D228" s="9"/>
      <c r="E228" s="9"/>
      <c r="F228" s="10" t="s">
        <v>665</v>
      </c>
      <c r="G228" s="10" t="s">
        <v>700</v>
      </c>
      <c r="H228" s="8"/>
      <c r="I228" s="8"/>
      <c r="J228" s="8" t="s">
        <v>288</v>
      </c>
      <c r="K228" s="8"/>
      <c r="L228" s="8" t="s">
        <v>155</v>
      </c>
      <c r="M228" s="8" t="s">
        <v>57</v>
      </c>
      <c r="N228" s="8" t="s">
        <v>58</v>
      </c>
      <c r="O228" s="8" t="s">
        <v>667</v>
      </c>
      <c r="P228" s="8"/>
      <c r="Q228" s="10"/>
      <c r="R228" s="10" t="s">
        <v>701</v>
      </c>
    </row>
    <row r="229" spans="1:18" ht="43.5">
      <c r="A229" s="7" t="s">
        <v>60</v>
      </c>
      <c r="B229" s="14" t="s">
        <v>702</v>
      </c>
      <c r="C229" s="14">
        <f>VALUE(RIGHT(B229,LEN(B229)-4))</f>
        <v>229</v>
      </c>
      <c r="D229" s="15"/>
      <c r="E229" s="15"/>
      <c r="F229" s="16" t="s">
        <v>665</v>
      </c>
      <c r="G229" s="16" t="s">
        <v>703</v>
      </c>
      <c r="H229" s="14"/>
      <c r="I229" s="14"/>
      <c r="J229" s="14"/>
      <c r="K229" s="14"/>
      <c r="L229" s="14" t="s">
        <v>155</v>
      </c>
      <c r="M229" s="14" t="s">
        <v>57</v>
      </c>
      <c r="N229" s="14" t="s">
        <v>3</v>
      </c>
      <c r="O229" s="14" t="s">
        <v>667</v>
      </c>
      <c r="P229" s="14"/>
      <c r="Q229" s="16"/>
      <c r="R229" s="16" t="s">
        <v>704</v>
      </c>
    </row>
    <row r="230" spans="1:18" ht="130.5">
      <c r="A230" s="7" t="s">
        <v>49</v>
      </c>
      <c r="B230" s="14" t="s">
        <v>705</v>
      </c>
      <c r="C230" s="14">
        <f>VALUE(RIGHT(B230,LEN(B230)-4))</f>
        <v>230</v>
      </c>
      <c r="D230" s="15">
        <v>45692</v>
      </c>
      <c r="E230" s="15"/>
      <c r="F230" s="16"/>
      <c r="G230" s="16" t="s">
        <v>706</v>
      </c>
      <c r="H230" s="14" t="s">
        <v>75</v>
      </c>
      <c r="I230" s="14" t="s">
        <v>235</v>
      </c>
      <c r="J230" s="14"/>
      <c r="K230" s="14"/>
      <c r="L230" s="14" t="s">
        <v>202</v>
      </c>
      <c r="M230" s="14" t="s">
        <v>57</v>
      </c>
      <c r="N230" s="14" t="s">
        <v>3</v>
      </c>
      <c r="O230" s="14"/>
      <c r="P230" s="14"/>
      <c r="Q230" s="16"/>
      <c r="R230" s="16" t="s">
        <v>707</v>
      </c>
    </row>
    <row r="231" spans="1:18" ht="57.75">
      <c r="A231" s="7" t="s">
        <v>171</v>
      </c>
      <c r="B231" s="51" t="s">
        <v>708</v>
      </c>
      <c r="C231" s="52">
        <f>VALUE(RIGHT(B231,LEN(B231)-4))</f>
        <v>231</v>
      </c>
      <c r="D231" s="15">
        <v>45694</v>
      </c>
      <c r="E231" s="53"/>
      <c r="F231" s="54"/>
      <c r="G231" s="54" t="s">
        <v>709</v>
      </c>
      <c r="H231" s="55" t="s">
        <v>75</v>
      </c>
      <c r="I231" s="55" t="s">
        <v>53</v>
      </c>
      <c r="J231" s="55"/>
      <c r="K231" s="55"/>
      <c r="L231" s="55" t="s">
        <v>202</v>
      </c>
      <c r="M231" s="55" t="s">
        <v>227</v>
      </c>
      <c r="N231" s="55" t="s">
        <v>3</v>
      </c>
      <c r="O231" s="55"/>
      <c r="P231" s="55"/>
      <c r="Q231" s="54" t="s">
        <v>710</v>
      </c>
      <c r="R231" s="54" t="s">
        <v>711</v>
      </c>
    </row>
    <row r="232" spans="1:18" ht="43.5">
      <c r="A232" s="7" t="s">
        <v>171</v>
      </c>
      <c r="B232" s="56" t="s">
        <v>712</v>
      </c>
      <c r="C232" s="57">
        <f>VALUE(RIGHT(B232,LEN(B232)-4))</f>
        <v>232</v>
      </c>
      <c r="D232" s="15">
        <v>45694</v>
      </c>
      <c r="E232" s="58"/>
      <c r="F232" s="16"/>
      <c r="G232" s="16" t="s">
        <v>713</v>
      </c>
      <c r="H232" s="14" t="s">
        <v>75</v>
      </c>
      <c r="I232" s="14" t="s">
        <v>67</v>
      </c>
      <c r="J232" s="14" t="s">
        <v>593</v>
      </c>
      <c r="K232" s="14" t="s">
        <v>80</v>
      </c>
      <c r="L232" s="14" t="s">
        <v>202</v>
      </c>
      <c r="M232" s="14" t="s">
        <v>227</v>
      </c>
      <c r="N232" s="14" t="s">
        <v>3</v>
      </c>
      <c r="O232" s="14"/>
      <c r="P232" s="14"/>
      <c r="Q232" s="16"/>
      <c r="R232" s="16" t="s">
        <v>714</v>
      </c>
    </row>
    <row r="233" spans="1:18" ht="87">
      <c r="A233" s="7" t="s">
        <v>49</v>
      </c>
      <c r="B233" s="59" t="s">
        <v>715</v>
      </c>
      <c r="C233" s="60">
        <f>VALUE(RIGHT(B233,LEN(B233)-4))</f>
        <v>233</v>
      </c>
      <c r="D233" s="9">
        <v>45694</v>
      </c>
      <c r="E233" s="9">
        <v>45715</v>
      </c>
      <c r="F233" s="10"/>
      <c r="G233" s="10" t="s">
        <v>716</v>
      </c>
      <c r="H233" s="8" t="s">
        <v>52</v>
      </c>
      <c r="I233" s="8" t="s">
        <v>53</v>
      </c>
      <c r="J233" s="8" t="s">
        <v>103</v>
      </c>
      <c r="K233" s="8" t="s">
        <v>80</v>
      </c>
      <c r="L233" s="8" t="s">
        <v>202</v>
      </c>
      <c r="M233" s="8" t="s">
        <v>57</v>
      </c>
      <c r="N233" s="8" t="s">
        <v>58</v>
      </c>
      <c r="O233" s="8" t="s">
        <v>479</v>
      </c>
      <c r="P233" s="8"/>
      <c r="Q233" s="10"/>
      <c r="R233" s="10" t="s">
        <v>717</v>
      </c>
    </row>
    <row r="234" spans="1:18">
      <c r="A234" s="7" t="s">
        <v>171</v>
      </c>
      <c r="B234" s="17" t="s">
        <v>718</v>
      </c>
      <c r="C234" s="31">
        <f>VALUE(RIGHT(B234,LEN(B234)-4))</f>
        <v>234</v>
      </c>
      <c r="D234" s="18">
        <v>45694</v>
      </c>
      <c r="E234" s="32"/>
      <c r="F234" s="19"/>
      <c r="G234" s="19" t="s">
        <v>719</v>
      </c>
      <c r="H234" s="17" t="s">
        <v>75</v>
      </c>
      <c r="I234" s="17" t="s">
        <v>720</v>
      </c>
      <c r="J234" s="19" t="s">
        <v>593</v>
      </c>
      <c r="K234" s="19" t="s">
        <v>80</v>
      </c>
      <c r="L234" s="17" t="s">
        <v>721</v>
      </c>
      <c r="M234" s="17" t="s">
        <v>227</v>
      </c>
      <c r="N234" s="17" t="s">
        <v>144</v>
      </c>
      <c r="O234" s="17"/>
      <c r="P234" s="17"/>
      <c r="Q234" s="19" t="s">
        <v>722</v>
      </c>
      <c r="R234" s="19" t="s">
        <v>723</v>
      </c>
    </row>
    <row r="235" spans="1:18">
      <c r="A235" s="7" t="s">
        <v>171</v>
      </c>
      <c r="B235" s="14" t="s">
        <v>724</v>
      </c>
      <c r="C235" s="57">
        <f>VALUE(RIGHT(B235,LEN(B235)-4))</f>
        <v>235</v>
      </c>
      <c r="D235" s="15">
        <v>45694</v>
      </c>
      <c r="E235" s="58"/>
      <c r="F235" s="16"/>
      <c r="G235" s="16" t="s">
        <v>719</v>
      </c>
      <c r="H235" s="14" t="s">
        <v>75</v>
      </c>
      <c r="I235" s="14" t="s">
        <v>720</v>
      </c>
      <c r="J235" s="16" t="s">
        <v>593</v>
      </c>
      <c r="K235" s="16" t="s">
        <v>80</v>
      </c>
      <c r="L235" s="14" t="s">
        <v>721</v>
      </c>
      <c r="M235" s="14" t="s">
        <v>227</v>
      </c>
      <c r="N235" s="14" t="s">
        <v>3</v>
      </c>
      <c r="O235" s="14"/>
      <c r="P235" s="14"/>
      <c r="Q235" s="16" t="s">
        <v>725</v>
      </c>
      <c r="R235" s="16" t="s">
        <v>726</v>
      </c>
    </row>
    <row r="236" spans="1:18">
      <c r="A236" s="7" t="s">
        <v>171</v>
      </c>
      <c r="B236" s="14" t="s">
        <v>727</v>
      </c>
      <c r="C236" s="57">
        <f>VALUE(RIGHT(B236,LEN(B236)-4))</f>
        <v>236</v>
      </c>
      <c r="D236" s="15">
        <v>45694</v>
      </c>
      <c r="E236" s="58"/>
      <c r="F236" s="16"/>
      <c r="G236" s="16" t="s">
        <v>719</v>
      </c>
      <c r="H236" s="14" t="s">
        <v>75</v>
      </c>
      <c r="I236" s="14" t="s">
        <v>720</v>
      </c>
      <c r="J236" s="16" t="s">
        <v>593</v>
      </c>
      <c r="K236" s="16" t="s">
        <v>80</v>
      </c>
      <c r="L236" s="14" t="s">
        <v>721</v>
      </c>
      <c r="M236" s="14" t="s">
        <v>227</v>
      </c>
      <c r="N236" s="14" t="s">
        <v>3</v>
      </c>
      <c r="O236" s="14"/>
      <c r="P236" s="14"/>
      <c r="Q236" s="16" t="s">
        <v>728</v>
      </c>
      <c r="R236" s="16" t="s">
        <v>729</v>
      </c>
    </row>
    <row r="237" spans="1:18">
      <c r="A237" s="7" t="s">
        <v>171</v>
      </c>
      <c r="B237" s="14" t="s">
        <v>730</v>
      </c>
      <c r="C237" s="57">
        <f>VALUE(RIGHT(B237,LEN(B237)-4))</f>
        <v>237</v>
      </c>
      <c r="D237" s="15">
        <v>45694</v>
      </c>
      <c r="E237" s="58"/>
      <c r="F237" s="16"/>
      <c r="G237" s="16" t="s">
        <v>719</v>
      </c>
      <c r="H237" s="14" t="s">
        <v>75</v>
      </c>
      <c r="I237" s="14" t="s">
        <v>720</v>
      </c>
      <c r="J237" s="16" t="s">
        <v>593</v>
      </c>
      <c r="K237" s="16" t="s">
        <v>80</v>
      </c>
      <c r="L237" s="14" t="s">
        <v>721</v>
      </c>
      <c r="M237" s="14" t="s">
        <v>227</v>
      </c>
      <c r="N237" s="14" t="s">
        <v>3</v>
      </c>
      <c r="O237" s="14"/>
      <c r="P237" s="14"/>
      <c r="Q237" s="16" t="s">
        <v>731</v>
      </c>
      <c r="R237" s="16" t="s">
        <v>732</v>
      </c>
    </row>
    <row r="238" spans="1:18">
      <c r="A238" s="7" t="s">
        <v>171</v>
      </c>
      <c r="B238" s="14" t="s">
        <v>733</v>
      </c>
      <c r="C238" s="57">
        <f>VALUE(RIGHT(B238,LEN(B238)-4))</f>
        <v>238</v>
      </c>
      <c r="D238" s="15">
        <v>45694</v>
      </c>
      <c r="E238" s="58"/>
      <c r="F238" s="16"/>
      <c r="G238" s="16" t="s">
        <v>719</v>
      </c>
      <c r="H238" s="14" t="s">
        <v>75</v>
      </c>
      <c r="I238" s="14" t="s">
        <v>720</v>
      </c>
      <c r="J238" s="16" t="s">
        <v>593</v>
      </c>
      <c r="K238" s="16" t="s">
        <v>80</v>
      </c>
      <c r="L238" s="14" t="s">
        <v>721</v>
      </c>
      <c r="M238" s="14" t="s">
        <v>227</v>
      </c>
      <c r="N238" s="14" t="s">
        <v>3</v>
      </c>
      <c r="O238" s="14"/>
      <c r="P238" s="14"/>
      <c r="Q238" s="16" t="s">
        <v>734</v>
      </c>
      <c r="R238" s="16" t="s">
        <v>735</v>
      </c>
    </row>
    <row r="239" spans="1:18">
      <c r="A239" s="7" t="s">
        <v>171</v>
      </c>
      <c r="B239" s="14" t="s">
        <v>736</v>
      </c>
      <c r="C239" s="57">
        <f>VALUE(RIGHT(B239,LEN(B239)-4))</f>
        <v>239</v>
      </c>
      <c r="D239" s="15">
        <v>45694</v>
      </c>
      <c r="E239" s="58"/>
      <c r="F239" s="16"/>
      <c r="G239" s="16" t="s">
        <v>719</v>
      </c>
      <c r="H239" s="14" t="s">
        <v>75</v>
      </c>
      <c r="I239" s="14" t="s">
        <v>720</v>
      </c>
      <c r="J239" s="16" t="s">
        <v>593</v>
      </c>
      <c r="K239" s="16" t="s">
        <v>80</v>
      </c>
      <c r="L239" s="14" t="s">
        <v>721</v>
      </c>
      <c r="M239" s="14" t="s">
        <v>227</v>
      </c>
      <c r="N239" s="14" t="s">
        <v>3</v>
      </c>
      <c r="O239" s="14"/>
      <c r="P239" s="14"/>
      <c r="Q239" s="16" t="s">
        <v>737</v>
      </c>
      <c r="R239" s="16" t="s">
        <v>738</v>
      </c>
    </row>
    <row r="240" spans="1:18">
      <c r="A240" s="7" t="s">
        <v>171</v>
      </c>
      <c r="B240" s="17" t="s">
        <v>739</v>
      </c>
      <c r="C240" s="31">
        <f>VALUE(RIGHT(B240,LEN(B240)-4))</f>
        <v>240</v>
      </c>
      <c r="D240" s="18">
        <v>45694</v>
      </c>
      <c r="E240" s="32"/>
      <c r="F240" s="19"/>
      <c r="G240" s="19" t="s">
        <v>719</v>
      </c>
      <c r="H240" s="17" t="s">
        <v>75</v>
      </c>
      <c r="I240" s="17" t="s">
        <v>720</v>
      </c>
      <c r="J240" s="19" t="s">
        <v>593</v>
      </c>
      <c r="K240" s="19" t="s">
        <v>80</v>
      </c>
      <c r="L240" s="17" t="s">
        <v>721</v>
      </c>
      <c r="M240" s="17" t="s">
        <v>227</v>
      </c>
      <c r="N240" s="17" t="s">
        <v>144</v>
      </c>
      <c r="O240" s="17"/>
      <c r="P240" s="17"/>
      <c r="Q240" s="19" t="s">
        <v>740</v>
      </c>
      <c r="R240" s="19" t="s">
        <v>741</v>
      </c>
    </row>
    <row r="241" spans="1:18">
      <c r="A241" s="7" t="s">
        <v>49</v>
      </c>
      <c r="B241" s="14" t="s">
        <v>742</v>
      </c>
      <c r="C241" s="57">
        <f>VALUE(RIGHT(B241,LEN(B241)-4))</f>
        <v>241</v>
      </c>
      <c r="D241" s="15">
        <v>45694</v>
      </c>
      <c r="E241" s="58"/>
      <c r="F241" s="16">
        <v>2</v>
      </c>
      <c r="G241" s="16" t="s">
        <v>719</v>
      </c>
      <c r="H241" s="14" t="s">
        <v>75</v>
      </c>
      <c r="I241" s="14" t="s">
        <v>720</v>
      </c>
      <c r="J241" s="16" t="s">
        <v>202</v>
      </c>
      <c r="K241" s="16" t="s">
        <v>55</v>
      </c>
      <c r="L241" s="14" t="s">
        <v>721</v>
      </c>
      <c r="M241" s="14" t="s">
        <v>57</v>
      </c>
      <c r="N241" s="14" t="s">
        <v>3</v>
      </c>
      <c r="O241" s="14"/>
      <c r="P241" s="14"/>
      <c r="Q241" s="16" t="s">
        <v>743</v>
      </c>
      <c r="R241" s="16" t="s">
        <v>744</v>
      </c>
    </row>
    <row r="242" spans="1:18">
      <c r="A242" s="7" t="s">
        <v>49</v>
      </c>
      <c r="B242" s="14" t="s">
        <v>745</v>
      </c>
      <c r="C242" s="57">
        <f>VALUE(RIGHT(B242,LEN(B242)-4))</f>
        <v>242</v>
      </c>
      <c r="D242" s="15">
        <v>45694</v>
      </c>
      <c r="E242" s="58"/>
      <c r="F242" s="16">
        <v>2</v>
      </c>
      <c r="G242" s="16" t="s">
        <v>719</v>
      </c>
      <c r="H242" s="14" t="s">
        <v>75</v>
      </c>
      <c r="I242" s="14" t="s">
        <v>720</v>
      </c>
      <c r="J242" s="16" t="s">
        <v>202</v>
      </c>
      <c r="K242" s="16" t="s">
        <v>55</v>
      </c>
      <c r="L242" s="14" t="s">
        <v>721</v>
      </c>
      <c r="M242" s="14" t="s">
        <v>57</v>
      </c>
      <c r="N242" s="14" t="s">
        <v>3</v>
      </c>
      <c r="O242" s="14"/>
      <c r="P242" s="14"/>
      <c r="Q242" s="16" t="s">
        <v>746</v>
      </c>
      <c r="R242" s="16" t="s">
        <v>747</v>
      </c>
    </row>
    <row r="243" spans="1:18">
      <c r="A243" s="7" t="s">
        <v>49</v>
      </c>
      <c r="B243" s="14" t="s">
        <v>748</v>
      </c>
      <c r="C243" s="57">
        <f>VALUE(RIGHT(B243,LEN(B243)-4))</f>
        <v>243</v>
      </c>
      <c r="D243" s="15">
        <v>45694</v>
      </c>
      <c r="E243" s="58"/>
      <c r="F243" s="16">
        <v>1</v>
      </c>
      <c r="G243" s="16" t="s">
        <v>719</v>
      </c>
      <c r="H243" s="14" t="s">
        <v>75</v>
      </c>
      <c r="I243" s="14" t="s">
        <v>720</v>
      </c>
      <c r="J243" s="16" t="s">
        <v>202</v>
      </c>
      <c r="K243" s="16" t="s">
        <v>55</v>
      </c>
      <c r="L243" s="14" t="s">
        <v>721</v>
      </c>
      <c r="M243" s="14" t="s">
        <v>57</v>
      </c>
      <c r="N243" s="14" t="s">
        <v>3</v>
      </c>
      <c r="O243" s="14"/>
      <c r="P243" s="14"/>
      <c r="Q243" s="16" t="s">
        <v>749</v>
      </c>
      <c r="R243" s="16" t="s">
        <v>750</v>
      </c>
    </row>
    <row r="244" spans="1:18">
      <c r="A244" s="7" t="s">
        <v>49</v>
      </c>
      <c r="B244" s="14" t="s">
        <v>751</v>
      </c>
      <c r="C244" s="57">
        <f>VALUE(RIGHT(B244,LEN(B244)-4))</f>
        <v>244</v>
      </c>
      <c r="D244" s="15">
        <v>45694</v>
      </c>
      <c r="E244" s="58"/>
      <c r="F244" s="16">
        <v>1</v>
      </c>
      <c r="G244" s="16" t="s">
        <v>719</v>
      </c>
      <c r="H244" s="14" t="s">
        <v>75</v>
      </c>
      <c r="I244" s="14" t="s">
        <v>720</v>
      </c>
      <c r="J244" s="16" t="s">
        <v>202</v>
      </c>
      <c r="K244" s="16" t="s">
        <v>55</v>
      </c>
      <c r="L244" s="14" t="s">
        <v>721</v>
      </c>
      <c r="M244" s="14" t="s">
        <v>57</v>
      </c>
      <c r="N244" s="14" t="s">
        <v>3</v>
      </c>
      <c r="O244" s="14"/>
      <c r="P244" s="14"/>
      <c r="Q244" s="16" t="s">
        <v>752</v>
      </c>
      <c r="R244" s="16" t="s">
        <v>753</v>
      </c>
    </row>
    <row r="245" spans="1:18">
      <c r="A245" s="7" t="s">
        <v>49</v>
      </c>
      <c r="B245" s="14" t="s">
        <v>754</v>
      </c>
      <c r="C245" s="57">
        <f>VALUE(RIGHT(B245,LEN(B245)-4))</f>
        <v>245</v>
      </c>
      <c r="D245" s="15">
        <v>45694</v>
      </c>
      <c r="E245" s="58"/>
      <c r="F245" s="16">
        <v>4</v>
      </c>
      <c r="G245" s="16" t="s">
        <v>719</v>
      </c>
      <c r="H245" s="14" t="s">
        <v>75</v>
      </c>
      <c r="I245" s="14" t="s">
        <v>720</v>
      </c>
      <c r="J245" s="16" t="s">
        <v>202</v>
      </c>
      <c r="K245" s="16" t="s">
        <v>55</v>
      </c>
      <c r="L245" s="14" t="s">
        <v>721</v>
      </c>
      <c r="M245" s="14" t="s">
        <v>57</v>
      </c>
      <c r="N245" s="14" t="s">
        <v>3</v>
      </c>
      <c r="O245" s="14"/>
      <c r="P245" s="14"/>
      <c r="Q245" s="16" t="s">
        <v>755</v>
      </c>
      <c r="R245" s="16" t="s">
        <v>756</v>
      </c>
    </row>
    <row r="246" spans="1:18">
      <c r="A246" s="7" t="s">
        <v>49</v>
      </c>
      <c r="B246" s="14" t="s">
        <v>757</v>
      </c>
      <c r="C246" s="57">
        <f>VALUE(RIGHT(B246,LEN(B246)-4))</f>
        <v>246</v>
      </c>
      <c r="D246" s="15">
        <v>45694</v>
      </c>
      <c r="E246" s="58"/>
      <c r="F246" s="16">
        <v>4</v>
      </c>
      <c r="G246" s="16" t="s">
        <v>719</v>
      </c>
      <c r="H246" s="14" t="s">
        <v>75</v>
      </c>
      <c r="I246" s="14" t="s">
        <v>720</v>
      </c>
      <c r="J246" s="16" t="s">
        <v>202</v>
      </c>
      <c r="K246" s="16" t="s">
        <v>55</v>
      </c>
      <c r="L246" s="14" t="s">
        <v>721</v>
      </c>
      <c r="M246" s="14" t="s">
        <v>57</v>
      </c>
      <c r="N246" s="14" t="s">
        <v>3</v>
      </c>
      <c r="O246" s="14"/>
      <c r="P246" s="14"/>
      <c r="Q246" s="16" t="s">
        <v>758</v>
      </c>
      <c r="R246" s="16" t="s">
        <v>759</v>
      </c>
    </row>
    <row r="247" spans="1:18">
      <c r="A247" s="7" t="s">
        <v>49</v>
      </c>
      <c r="B247" s="14" t="s">
        <v>760</v>
      </c>
      <c r="C247" s="57">
        <f>VALUE(RIGHT(B247,LEN(B247)-4))</f>
        <v>247</v>
      </c>
      <c r="D247" s="15">
        <v>45694</v>
      </c>
      <c r="E247" s="58"/>
      <c r="F247" s="16">
        <v>3</v>
      </c>
      <c r="G247" s="16" t="s">
        <v>719</v>
      </c>
      <c r="H247" s="14" t="s">
        <v>75</v>
      </c>
      <c r="I247" s="14" t="s">
        <v>720</v>
      </c>
      <c r="J247" s="16" t="s">
        <v>202</v>
      </c>
      <c r="K247" s="16" t="s">
        <v>55</v>
      </c>
      <c r="L247" s="14" t="s">
        <v>721</v>
      </c>
      <c r="M247" s="14" t="s">
        <v>57</v>
      </c>
      <c r="N247" s="14" t="s">
        <v>3</v>
      </c>
      <c r="O247" s="14"/>
      <c r="P247" s="14"/>
      <c r="Q247" s="16" t="s">
        <v>761</v>
      </c>
      <c r="R247" s="16" t="s">
        <v>762</v>
      </c>
    </row>
    <row r="248" spans="1:18">
      <c r="A248" s="7" t="s">
        <v>49</v>
      </c>
      <c r="B248" s="14" t="s">
        <v>763</v>
      </c>
      <c r="C248" s="57">
        <f>VALUE(RIGHT(B248,LEN(B248)-4))</f>
        <v>248</v>
      </c>
      <c r="D248" s="15">
        <v>45694</v>
      </c>
      <c r="E248" s="58"/>
      <c r="F248" s="16">
        <v>3</v>
      </c>
      <c r="G248" s="16" t="s">
        <v>719</v>
      </c>
      <c r="H248" s="14" t="s">
        <v>75</v>
      </c>
      <c r="I248" s="14" t="s">
        <v>720</v>
      </c>
      <c r="J248" s="16" t="s">
        <v>202</v>
      </c>
      <c r="K248" s="16" t="s">
        <v>55</v>
      </c>
      <c r="L248" s="14" t="s">
        <v>721</v>
      </c>
      <c r="M248" s="14" t="s">
        <v>57</v>
      </c>
      <c r="N248" s="14" t="s">
        <v>3</v>
      </c>
      <c r="O248" s="14"/>
      <c r="P248" s="14"/>
      <c r="Q248" s="16" t="s">
        <v>764</v>
      </c>
      <c r="R248" s="16" t="s">
        <v>765</v>
      </c>
    </row>
    <row r="249" spans="1:18">
      <c r="A249" s="7" t="s">
        <v>49</v>
      </c>
      <c r="B249" s="14" t="s">
        <v>766</v>
      </c>
      <c r="C249" s="57">
        <f>VALUE(RIGHT(B249,LEN(B249)-4))</f>
        <v>249</v>
      </c>
      <c r="D249" s="15">
        <v>45694</v>
      </c>
      <c r="E249" s="58"/>
      <c r="F249" s="16"/>
      <c r="G249" s="16" t="s">
        <v>719</v>
      </c>
      <c r="H249" s="14" t="s">
        <v>767</v>
      </c>
      <c r="I249" s="14" t="s">
        <v>720</v>
      </c>
      <c r="J249" s="16" t="s">
        <v>380</v>
      </c>
      <c r="K249" s="16" t="s">
        <v>80</v>
      </c>
      <c r="L249" s="14" t="s">
        <v>56</v>
      </c>
      <c r="M249" s="14" t="s">
        <v>227</v>
      </c>
      <c r="N249" s="14" t="s">
        <v>3</v>
      </c>
      <c r="O249" s="14"/>
      <c r="P249" s="14"/>
      <c r="Q249" s="16"/>
      <c r="R249" s="16" t="s">
        <v>768</v>
      </c>
    </row>
    <row r="250" spans="1:18" ht="101.25">
      <c r="A250" s="40" t="s">
        <v>171</v>
      </c>
      <c r="B250" s="8" t="s">
        <v>769</v>
      </c>
      <c r="C250" s="61">
        <f>VALUE(RIGHT(B250,LEN(B250)-4))</f>
        <v>250</v>
      </c>
      <c r="D250" s="62">
        <v>45694</v>
      </c>
      <c r="E250" s="63">
        <v>45702</v>
      </c>
      <c r="F250" s="38"/>
      <c r="G250" s="38" t="s">
        <v>770</v>
      </c>
      <c r="H250" s="39" t="s">
        <v>75</v>
      </c>
      <c r="I250" s="39" t="s">
        <v>235</v>
      </c>
      <c r="J250" s="38"/>
      <c r="K250" s="38"/>
      <c r="L250" s="39" t="s">
        <v>771</v>
      </c>
      <c r="M250" s="39" t="s">
        <v>227</v>
      </c>
      <c r="N250" s="39" t="s">
        <v>58</v>
      </c>
      <c r="O250" s="39"/>
      <c r="P250" s="39"/>
      <c r="Q250" s="38"/>
      <c r="R250" s="38" t="s">
        <v>772</v>
      </c>
    </row>
    <row r="251" spans="1:18">
      <c r="A251" s="40" t="s">
        <v>49</v>
      </c>
      <c r="B251" s="8" t="s">
        <v>773</v>
      </c>
      <c r="C251" s="60">
        <f>VALUE(RIGHT(B251,LEN(B251)-4))</f>
        <v>251</v>
      </c>
      <c r="D251" s="62">
        <v>45694</v>
      </c>
      <c r="E251" s="63">
        <v>45699</v>
      </c>
      <c r="F251" s="10"/>
      <c r="G251" s="10" t="s">
        <v>774</v>
      </c>
      <c r="H251" s="8" t="s">
        <v>659</v>
      </c>
      <c r="I251" s="8" t="s">
        <v>775</v>
      </c>
      <c r="J251" s="8" t="s">
        <v>776</v>
      </c>
      <c r="K251" s="8" t="s">
        <v>777</v>
      </c>
      <c r="L251" s="8" t="s">
        <v>71</v>
      </c>
      <c r="M251" s="8" t="s">
        <v>227</v>
      </c>
      <c r="N251" s="8" t="s">
        <v>58</v>
      </c>
      <c r="O251" s="8"/>
      <c r="P251" s="8"/>
      <c r="Q251" s="10"/>
      <c r="R251" s="10" t="s">
        <v>778</v>
      </c>
    </row>
    <row r="252" spans="1:18" ht="101.25">
      <c r="A252" s="40" t="s">
        <v>49</v>
      </c>
      <c r="B252" s="30" t="s">
        <v>779</v>
      </c>
      <c r="C252" s="31">
        <f>VALUE(RIGHT(B252,LEN(B252)-4))</f>
        <v>252</v>
      </c>
      <c r="D252" s="18">
        <v>45698</v>
      </c>
      <c r="E252" s="32"/>
      <c r="F252" s="19"/>
      <c r="G252" s="19" t="s">
        <v>780</v>
      </c>
      <c r="H252" s="17" t="s">
        <v>75</v>
      </c>
      <c r="I252" s="17" t="s">
        <v>53</v>
      </c>
      <c r="J252" s="17" t="s">
        <v>781</v>
      </c>
      <c r="K252" s="17" t="s">
        <v>80</v>
      </c>
      <c r="L252" s="17" t="s">
        <v>782</v>
      </c>
      <c r="M252" s="17" t="s">
        <v>57</v>
      </c>
      <c r="N252" s="17" t="s">
        <v>144</v>
      </c>
      <c r="O252" s="17"/>
      <c r="P252" s="17"/>
      <c r="Q252" s="19" t="s">
        <v>783</v>
      </c>
      <c r="R252" s="19" t="s">
        <v>784</v>
      </c>
    </row>
    <row r="253" spans="1:18" ht="43.5">
      <c r="A253" s="40" t="s">
        <v>49</v>
      </c>
      <c r="B253" s="8" t="s">
        <v>785</v>
      </c>
      <c r="C253" s="60">
        <f>VALUE(RIGHT(B253,LEN(B253)-4))</f>
        <v>253</v>
      </c>
      <c r="D253" s="62">
        <v>45698</v>
      </c>
      <c r="E253" s="63">
        <v>45705</v>
      </c>
      <c r="F253" s="10"/>
      <c r="G253" s="10" t="s">
        <v>786</v>
      </c>
      <c r="H253" s="8" t="s">
        <v>98</v>
      </c>
      <c r="I253" s="8" t="s">
        <v>787</v>
      </c>
      <c r="J253" s="8" t="s">
        <v>561</v>
      </c>
      <c r="K253" s="8" t="s">
        <v>72</v>
      </c>
      <c r="L253" s="8" t="s">
        <v>561</v>
      </c>
      <c r="M253" s="8" t="s">
        <v>57</v>
      </c>
      <c r="N253" s="8" t="s">
        <v>58</v>
      </c>
      <c r="O253" s="8"/>
      <c r="P253" s="8"/>
      <c r="Q253" s="10"/>
      <c r="R253" s="10" t="s">
        <v>788</v>
      </c>
    </row>
    <row r="254" spans="1:18" ht="159">
      <c r="A254" s="40" t="s">
        <v>171</v>
      </c>
      <c r="B254" s="56" t="s">
        <v>789</v>
      </c>
      <c r="C254" s="57">
        <f>VALUE(RIGHT(B254,LEN(B254)-4))</f>
        <v>254</v>
      </c>
      <c r="D254" s="15">
        <v>45699</v>
      </c>
      <c r="E254" s="58"/>
      <c r="F254" s="16"/>
      <c r="G254" s="16" t="s">
        <v>790</v>
      </c>
      <c r="H254" s="14" t="s">
        <v>98</v>
      </c>
      <c r="I254" s="14" t="s">
        <v>53</v>
      </c>
      <c r="J254" s="14"/>
      <c r="K254" s="14"/>
      <c r="L254" s="14" t="s">
        <v>721</v>
      </c>
      <c r="M254" s="14" t="s">
        <v>227</v>
      </c>
      <c r="N254" s="14" t="s">
        <v>3</v>
      </c>
      <c r="O254" s="14"/>
      <c r="P254" s="14"/>
      <c r="Q254" s="16" t="s">
        <v>791</v>
      </c>
      <c r="R254" s="16" t="s">
        <v>792</v>
      </c>
    </row>
    <row r="255" spans="1:18" ht="159">
      <c r="A255" s="7" t="s">
        <v>171</v>
      </c>
      <c r="B255" s="64" t="s">
        <v>793</v>
      </c>
      <c r="C255" s="64">
        <f>VALUE(RIGHT(B255,LEN(B255)-4))</f>
        <v>255</v>
      </c>
      <c r="D255" s="65">
        <v>45699</v>
      </c>
      <c r="E255" s="65">
        <v>45702</v>
      </c>
      <c r="F255" s="38"/>
      <c r="G255" s="38" t="s">
        <v>794</v>
      </c>
      <c r="H255" s="39" t="s">
        <v>308</v>
      </c>
      <c r="I255" s="39" t="s">
        <v>795</v>
      </c>
      <c r="J255" s="39" t="s">
        <v>629</v>
      </c>
      <c r="K255" s="39" t="s">
        <v>80</v>
      </c>
      <c r="L255" s="39" t="s">
        <v>796</v>
      </c>
      <c r="M255" s="39" t="s">
        <v>57</v>
      </c>
      <c r="N255" s="39" t="s">
        <v>58</v>
      </c>
      <c r="O255" s="39"/>
      <c r="P255" s="39"/>
      <c r="Q255" s="38" t="s">
        <v>797</v>
      </c>
      <c r="R255" s="38" t="s">
        <v>798</v>
      </c>
    </row>
    <row r="256" spans="1:18" ht="87">
      <c r="A256" s="7" t="s">
        <v>49</v>
      </c>
      <c r="B256" s="64" t="s">
        <v>799</v>
      </c>
      <c r="C256" s="66">
        <f>VALUE(RIGHT(B256,LEN(B256)-4))</f>
        <v>256</v>
      </c>
      <c r="D256" s="65">
        <v>45699</v>
      </c>
      <c r="E256" s="65">
        <v>45709</v>
      </c>
      <c r="F256" s="10"/>
      <c r="G256" s="10" t="s">
        <v>800</v>
      </c>
      <c r="H256" s="8" t="s">
        <v>84</v>
      </c>
      <c r="I256" s="8" t="s">
        <v>801</v>
      </c>
      <c r="J256" s="8" t="s">
        <v>103</v>
      </c>
      <c r="K256" s="8" t="s">
        <v>80</v>
      </c>
      <c r="L256" s="8" t="s">
        <v>802</v>
      </c>
      <c r="M256" s="8" t="s">
        <v>57</v>
      </c>
      <c r="N256" s="8" t="s">
        <v>58</v>
      </c>
      <c r="O256" s="8" t="s">
        <v>479</v>
      </c>
      <c r="P256" s="8"/>
      <c r="Q256" s="10" t="s">
        <v>803</v>
      </c>
      <c r="R256" s="10" t="s">
        <v>804</v>
      </c>
    </row>
    <row r="257" spans="1:18">
      <c r="A257" s="7" t="s">
        <v>49</v>
      </c>
      <c r="B257" s="67" t="s">
        <v>805</v>
      </c>
      <c r="C257" s="67">
        <f>VALUE(RIGHT(B257,LEN(B257)-4))</f>
        <v>257</v>
      </c>
      <c r="D257" s="68">
        <v>45699</v>
      </c>
      <c r="E257" s="69"/>
      <c r="F257" s="16"/>
      <c r="G257" s="16" t="s">
        <v>806</v>
      </c>
      <c r="H257" s="14" t="s">
        <v>84</v>
      </c>
      <c r="I257" s="14" t="s">
        <v>801</v>
      </c>
      <c r="J257" s="14" t="s">
        <v>103</v>
      </c>
      <c r="K257" s="14" t="s">
        <v>80</v>
      </c>
      <c r="L257" s="14" t="s">
        <v>807</v>
      </c>
      <c r="M257" s="14" t="s">
        <v>57</v>
      </c>
      <c r="N257" s="14" t="s">
        <v>808</v>
      </c>
      <c r="O257" s="14"/>
      <c r="P257" s="14"/>
      <c r="Q257" s="16"/>
      <c r="R257" s="16"/>
    </row>
    <row r="258" spans="1:18" ht="43.5">
      <c r="A258" s="7" t="s">
        <v>171</v>
      </c>
      <c r="B258" s="66" t="s">
        <v>809</v>
      </c>
      <c r="C258" s="66">
        <f>VALUE(RIGHT(B258,LEN(B258)-4))</f>
        <v>258</v>
      </c>
      <c r="D258" s="70">
        <v>45699</v>
      </c>
      <c r="E258" s="70">
        <v>45699</v>
      </c>
      <c r="F258" s="10"/>
      <c r="G258" s="10" t="s">
        <v>810</v>
      </c>
      <c r="H258" s="8" t="s">
        <v>88</v>
      </c>
      <c r="I258" s="8" t="s">
        <v>795</v>
      </c>
      <c r="J258" s="8" t="s">
        <v>629</v>
      </c>
      <c r="K258" s="8" t="s">
        <v>80</v>
      </c>
      <c r="L258" s="8" t="s">
        <v>202</v>
      </c>
      <c r="M258" s="8" t="s">
        <v>227</v>
      </c>
      <c r="N258" s="8" t="s">
        <v>58</v>
      </c>
      <c r="O258" s="8"/>
      <c r="P258" s="8"/>
      <c r="Q258" s="10"/>
      <c r="R258" s="10" t="s">
        <v>811</v>
      </c>
    </row>
    <row r="259" spans="1:18" ht="101.25">
      <c r="A259" s="7" t="s">
        <v>49</v>
      </c>
      <c r="B259" s="71" t="s">
        <v>812</v>
      </c>
      <c r="C259" s="66">
        <f>VALUE(RIGHT(B259,LEN(B259)-4))</f>
        <v>259</v>
      </c>
      <c r="D259" s="70">
        <v>45699</v>
      </c>
      <c r="E259" s="70">
        <v>45699</v>
      </c>
      <c r="F259" s="10"/>
      <c r="G259" s="10" t="s">
        <v>813</v>
      </c>
      <c r="H259" s="8" t="s">
        <v>66</v>
      </c>
      <c r="I259" s="8" t="s">
        <v>53</v>
      </c>
      <c r="J259" s="8"/>
      <c r="K259" s="8"/>
      <c r="L259" s="8" t="s">
        <v>54</v>
      </c>
      <c r="M259" s="8" t="s">
        <v>57</v>
      </c>
      <c r="N259" s="8" t="s">
        <v>58</v>
      </c>
      <c r="O259" s="8"/>
      <c r="P259" s="8"/>
      <c r="Q259" s="10"/>
      <c r="R259" s="10" t="s">
        <v>814</v>
      </c>
    </row>
    <row r="260" spans="1:18" ht="188.25">
      <c r="A260" s="7" t="s">
        <v>49</v>
      </c>
      <c r="B260" s="66" t="s">
        <v>815</v>
      </c>
      <c r="C260" s="72">
        <f>VALUE(RIGHT(B260,LEN(B260)-4))</f>
        <v>260</v>
      </c>
      <c r="D260" s="70">
        <v>45702</v>
      </c>
      <c r="E260" s="70">
        <v>45705</v>
      </c>
      <c r="F260" s="10"/>
      <c r="G260" s="10" t="s">
        <v>816</v>
      </c>
      <c r="H260" s="8" t="s">
        <v>70</v>
      </c>
      <c r="I260" s="8" t="s">
        <v>53</v>
      </c>
      <c r="J260" s="8"/>
      <c r="K260" s="8"/>
      <c r="L260" s="8" t="s">
        <v>71</v>
      </c>
      <c r="M260" s="8" t="s">
        <v>57</v>
      </c>
      <c r="N260" s="8" t="s">
        <v>58</v>
      </c>
      <c r="O260" s="8"/>
      <c r="P260" s="8"/>
      <c r="Q260" s="10"/>
      <c r="R260" s="10" t="s">
        <v>817</v>
      </c>
    </row>
    <row r="261" spans="1:18" ht="72">
      <c r="A261" s="7" t="s">
        <v>171</v>
      </c>
      <c r="B261" s="66" t="s">
        <v>818</v>
      </c>
      <c r="C261" s="66">
        <f>VALUE(RIGHT(B261,LEN(B261)-4))</f>
        <v>261</v>
      </c>
      <c r="D261" s="70">
        <v>45702</v>
      </c>
      <c r="E261" s="70">
        <v>45716</v>
      </c>
      <c r="F261" s="10"/>
      <c r="G261" s="10" t="s">
        <v>819</v>
      </c>
      <c r="H261" s="8" t="s">
        <v>52</v>
      </c>
      <c r="I261" s="8" t="s">
        <v>339</v>
      </c>
      <c r="J261" s="8"/>
      <c r="K261" s="8"/>
      <c r="L261" s="8" t="s">
        <v>820</v>
      </c>
      <c r="M261" s="8" t="s">
        <v>227</v>
      </c>
      <c r="N261" s="8" t="s">
        <v>58</v>
      </c>
      <c r="O261" s="8"/>
      <c r="P261" s="8"/>
      <c r="Q261" s="10" t="s">
        <v>821</v>
      </c>
      <c r="R261" s="10" t="s">
        <v>822</v>
      </c>
    </row>
    <row r="262" spans="1:18" ht="130.5">
      <c r="A262" s="7" t="s">
        <v>171</v>
      </c>
      <c r="B262" s="66" t="s">
        <v>823</v>
      </c>
      <c r="C262" s="66">
        <f>VALUE(RIGHT(B262,LEN(B262)-4))</f>
        <v>262</v>
      </c>
      <c r="D262" s="70">
        <v>45702</v>
      </c>
      <c r="E262" s="70">
        <v>45702</v>
      </c>
      <c r="F262" s="10"/>
      <c r="G262" s="10" t="s">
        <v>824</v>
      </c>
      <c r="H262" s="8" t="s">
        <v>52</v>
      </c>
      <c r="I262" s="8" t="s">
        <v>53</v>
      </c>
      <c r="J262" s="8"/>
      <c r="K262" s="8"/>
      <c r="L262" s="8" t="s">
        <v>820</v>
      </c>
      <c r="M262" s="8" t="s">
        <v>57</v>
      </c>
      <c r="N262" s="8" t="s">
        <v>58</v>
      </c>
      <c r="O262" s="8"/>
      <c r="P262" s="8"/>
      <c r="Q262" s="10" t="s">
        <v>825</v>
      </c>
      <c r="R262" s="10" t="s">
        <v>826</v>
      </c>
    </row>
    <row r="263" spans="1:18" ht="57.75">
      <c r="A263" s="7" t="s">
        <v>49</v>
      </c>
      <c r="B263" s="71" t="s">
        <v>827</v>
      </c>
      <c r="C263" s="66">
        <f>VALUE(RIGHT(B263,LEN(B263)-4))</f>
        <v>263</v>
      </c>
      <c r="D263" s="70">
        <v>45702</v>
      </c>
      <c r="E263" s="70">
        <v>45716</v>
      </c>
      <c r="F263" s="10"/>
      <c r="G263" s="10" t="s">
        <v>828</v>
      </c>
      <c r="H263" s="8" t="s">
        <v>88</v>
      </c>
      <c r="I263" s="8" t="s">
        <v>53</v>
      </c>
      <c r="J263" s="8"/>
      <c r="K263" s="8"/>
      <c r="L263" s="8" t="s">
        <v>202</v>
      </c>
      <c r="M263" s="8" t="s">
        <v>57</v>
      </c>
      <c r="N263" s="8" t="s">
        <v>58</v>
      </c>
      <c r="O263" s="8"/>
      <c r="P263" s="8"/>
      <c r="Q263" s="10"/>
      <c r="R263" s="10" t="s">
        <v>829</v>
      </c>
    </row>
    <row r="264" spans="1:18" ht="72">
      <c r="A264" s="7" t="s">
        <v>49</v>
      </c>
      <c r="B264" s="73" t="s">
        <v>830</v>
      </c>
      <c r="C264" s="74">
        <f>VALUE(RIGHT(B264,LEN(B264)-4))</f>
        <v>264</v>
      </c>
      <c r="D264" s="75">
        <v>45730</v>
      </c>
      <c r="E264" s="76"/>
      <c r="F264" s="19"/>
      <c r="G264" s="19" t="s">
        <v>831</v>
      </c>
      <c r="H264" s="17" t="s">
        <v>84</v>
      </c>
      <c r="I264" s="17" t="s">
        <v>801</v>
      </c>
      <c r="J264" s="17" t="s">
        <v>103</v>
      </c>
      <c r="K264" s="17" t="s">
        <v>80</v>
      </c>
      <c r="L264" s="17" t="s">
        <v>56</v>
      </c>
      <c r="M264" s="17" t="s">
        <v>57</v>
      </c>
      <c r="N264" s="17" t="s">
        <v>144</v>
      </c>
      <c r="O264" s="17"/>
      <c r="P264" s="17"/>
      <c r="Q264" s="19" t="s">
        <v>832</v>
      </c>
      <c r="R264" s="19" t="s">
        <v>833</v>
      </c>
    </row>
    <row r="265" spans="1:18" ht="188.25">
      <c r="A265" s="7" t="s">
        <v>49</v>
      </c>
      <c r="B265" s="71" t="s">
        <v>834</v>
      </c>
      <c r="C265" s="66">
        <f>VALUE(RIGHT(B265,LEN(B265)-4))</f>
        <v>265</v>
      </c>
      <c r="D265" s="70">
        <v>45702</v>
      </c>
      <c r="E265" s="70">
        <v>45709</v>
      </c>
      <c r="F265" s="10"/>
      <c r="G265" s="10" t="s">
        <v>835</v>
      </c>
      <c r="H265" s="8" t="s">
        <v>75</v>
      </c>
      <c r="I265" s="8" t="s">
        <v>235</v>
      </c>
      <c r="J265" s="8" t="s">
        <v>561</v>
      </c>
      <c r="K265" s="8" t="s">
        <v>72</v>
      </c>
      <c r="L265" s="8" t="s">
        <v>771</v>
      </c>
      <c r="M265" s="8" t="s">
        <v>57</v>
      </c>
      <c r="N265" s="8" t="s">
        <v>58</v>
      </c>
      <c r="O265" s="8"/>
      <c r="P265" s="8"/>
      <c r="Q265" s="10"/>
      <c r="R265" s="10" t="s">
        <v>836</v>
      </c>
    </row>
    <row r="266" spans="1:18" ht="159">
      <c r="A266" s="7" t="s">
        <v>49</v>
      </c>
      <c r="B266" s="71" t="s">
        <v>837</v>
      </c>
      <c r="C266" s="66">
        <f>VALUE(RIGHT(B266,LEN(B266)-4))</f>
        <v>266</v>
      </c>
      <c r="D266" s="70">
        <v>45706</v>
      </c>
      <c r="E266" s="70">
        <v>45712</v>
      </c>
      <c r="F266" s="10"/>
      <c r="G266" s="10" t="s">
        <v>838</v>
      </c>
      <c r="H266" s="8" t="s">
        <v>107</v>
      </c>
      <c r="I266" s="8" t="s">
        <v>53</v>
      </c>
      <c r="J266" s="8"/>
      <c r="K266" s="8"/>
      <c r="L266" s="8" t="s">
        <v>516</v>
      </c>
      <c r="M266" s="8" t="s">
        <v>57</v>
      </c>
      <c r="N266" s="8" t="s">
        <v>58</v>
      </c>
      <c r="O266" s="8"/>
      <c r="P266" s="8"/>
      <c r="Q266" s="10"/>
      <c r="R266" s="10" t="s">
        <v>839</v>
      </c>
    </row>
    <row r="267" spans="1:18" ht="130.5">
      <c r="A267" s="7" t="s">
        <v>49</v>
      </c>
      <c r="B267" s="71" t="s">
        <v>840</v>
      </c>
      <c r="C267" s="66">
        <f>VALUE(RIGHT(B267,LEN(B267)-4))</f>
        <v>267</v>
      </c>
      <c r="D267" s="70">
        <v>45706</v>
      </c>
      <c r="E267" s="70">
        <v>45716</v>
      </c>
      <c r="F267" s="10"/>
      <c r="G267" s="10" t="s">
        <v>841</v>
      </c>
      <c r="H267" s="8" t="s">
        <v>75</v>
      </c>
      <c r="I267" s="8" t="s">
        <v>53</v>
      </c>
      <c r="J267" s="8"/>
      <c r="K267" s="8"/>
      <c r="L267" s="8" t="s">
        <v>842</v>
      </c>
      <c r="M267" s="8" t="s">
        <v>57</v>
      </c>
      <c r="N267" s="8" t="s">
        <v>58</v>
      </c>
      <c r="O267" s="8"/>
      <c r="P267" s="8"/>
      <c r="Q267" s="10"/>
      <c r="R267" s="10" t="s">
        <v>843</v>
      </c>
    </row>
    <row r="268" spans="1:18" ht="72">
      <c r="A268" s="7" t="s">
        <v>49</v>
      </c>
      <c r="B268" s="71" t="s">
        <v>844</v>
      </c>
      <c r="C268" s="66">
        <f>VALUE(RIGHT(B268,LEN(B268)-4))</f>
        <v>268</v>
      </c>
      <c r="D268" s="70">
        <v>45707</v>
      </c>
      <c r="E268" s="70">
        <v>45716</v>
      </c>
      <c r="F268" s="10"/>
      <c r="G268" s="10" t="s">
        <v>845</v>
      </c>
      <c r="H268" s="8" t="s">
        <v>88</v>
      </c>
      <c r="I268" s="8" t="s">
        <v>53</v>
      </c>
      <c r="J268" s="8"/>
      <c r="K268" s="8"/>
      <c r="L268" s="8" t="s">
        <v>202</v>
      </c>
      <c r="M268" s="8" t="s">
        <v>57</v>
      </c>
      <c r="N268" s="8" t="s">
        <v>58</v>
      </c>
      <c r="O268" s="8"/>
      <c r="P268" s="8"/>
      <c r="Q268" s="10"/>
      <c r="R268" s="10" t="s">
        <v>846</v>
      </c>
    </row>
    <row r="269" spans="1:18" ht="57.75">
      <c r="A269" s="7" t="s">
        <v>49</v>
      </c>
      <c r="B269" s="73" t="s">
        <v>847</v>
      </c>
      <c r="C269" s="67">
        <f>VALUE(RIGHT(B269,LEN(B269)-4))</f>
        <v>269</v>
      </c>
      <c r="D269" s="75">
        <v>45707</v>
      </c>
      <c r="E269" s="76"/>
      <c r="F269" s="19"/>
      <c r="G269" s="19" t="s">
        <v>848</v>
      </c>
      <c r="H269" s="17" t="s">
        <v>66</v>
      </c>
      <c r="I269" s="17" t="s">
        <v>67</v>
      </c>
      <c r="J269" s="17" t="s">
        <v>103</v>
      </c>
      <c r="K269" s="17" t="s">
        <v>80</v>
      </c>
      <c r="L269" s="17" t="s">
        <v>54</v>
      </c>
      <c r="M269" s="17" t="s">
        <v>57</v>
      </c>
      <c r="N269" s="17" t="s">
        <v>144</v>
      </c>
      <c r="O269" s="17" t="s">
        <v>849</v>
      </c>
      <c r="P269" s="77"/>
      <c r="Q269" s="78" t="s">
        <v>850</v>
      </c>
      <c r="R269" s="19" t="s">
        <v>851</v>
      </c>
    </row>
    <row r="270" spans="1:18" ht="28.5">
      <c r="A270" s="7" t="s">
        <v>171</v>
      </c>
      <c r="B270" s="71" t="s">
        <v>852</v>
      </c>
      <c r="C270" s="66">
        <f>VALUE(RIGHT(B270,LEN(B270)-4))</f>
        <v>270</v>
      </c>
      <c r="D270" s="70">
        <v>45702</v>
      </c>
      <c r="E270" s="70">
        <v>45702</v>
      </c>
      <c r="F270" s="10"/>
      <c r="G270" s="10" t="s">
        <v>853</v>
      </c>
      <c r="H270" s="8" t="s">
        <v>75</v>
      </c>
      <c r="I270" s="8" t="s">
        <v>345</v>
      </c>
      <c r="J270" s="8" t="s">
        <v>561</v>
      </c>
      <c r="K270" s="8" t="s">
        <v>72</v>
      </c>
      <c r="L270" s="8" t="s">
        <v>202</v>
      </c>
      <c r="M270" s="8" t="s">
        <v>57</v>
      </c>
      <c r="N270" s="8" t="s">
        <v>58</v>
      </c>
      <c r="O270" s="8"/>
      <c r="P270" s="8"/>
      <c r="Q270" s="10" t="s">
        <v>854</v>
      </c>
      <c r="R270" s="10" t="s">
        <v>855</v>
      </c>
    </row>
    <row r="271" spans="1:18" ht="72">
      <c r="A271" s="7" t="s">
        <v>49</v>
      </c>
      <c r="B271" s="71" t="s">
        <v>856</v>
      </c>
      <c r="C271" s="66">
        <f>VALUE(RIGHT(B271,LEN(B271)-4))</f>
        <v>271</v>
      </c>
      <c r="D271" s="70">
        <v>45707</v>
      </c>
      <c r="E271" s="70">
        <v>45707</v>
      </c>
      <c r="F271" s="10" t="s">
        <v>857</v>
      </c>
      <c r="G271" s="10" t="s">
        <v>858</v>
      </c>
      <c r="H271" s="8" t="s">
        <v>52</v>
      </c>
      <c r="I271" s="8" t="s">
        <v>115</v>
      </c>
      <c r="J271" s="8" t="s">
        <v>859</v>
      </c>
      <c r="K271" s="10" t="s">
        <v>80</v>
      </c>
      <c r="L271" s="8" t="s">
        <v>820</v>
      </c>
      <c r="M271" s="8" t="s">
        <v>57</v>
      </c>
      <c r="N271" s="8" t="s">
        <v>58</v>
      </c>
      <c r="O271" s="8"/>
      <c r="P271" s="8"/>
      <c r="Q271" s="10" t="s">
        <v>860</v>
      </c>
      <c r="R271" s="10" t="s">
        <v>861</v>
      </c>
    </row>
    <row r="272" spans="1:18" ht="144.75">
      <c r="A272" s="7" t="s">
        <v>49</v>
      </c>
      <c r="B272" s="73" t="s">
        <v>862</v>
      </c>
      <c r="C272" s="74">
        <f>VALUE(RIGHT(B272,LEN(B272)-4))</f>
        <v>272</v>
      </c>
      <c r="D272" s="75">
        <v>45709</v>
      </c>
      <c r="E272" s="76"/>
      <c r="F272" s="19"/>
      <c r="G272" s="19" t="s">
        <v>863</v>
      </c>
      <c r="H272" s="17" t="s">
        <v>75</v>
      </c>
      <c r="I272" s="17" t="s">
        <v>235</v>
      </c>
      <c r="J272" s="17" t="s">
        <v>593</v>
      </c>
      <c r="K272" s="17" t="s">
        <v>80</v>
      </c>
      <c r="L272" s="17" t="s">
        <v>771</v>
      </c>
      <c r="M272" s="17" t="s">
        <v>227</v>
      </c>
      <c r="N272" s="17" t="s">
        <v>562</v>
      </c>
      <c r="O272" s="17"/>
      <c r="P272" s="17"/>
      <c r="Q272" s="19" t="s">
        <v>864</v>
      </c>
      <c r="R272" s="19" t="s">
        <v>865</v>
      </c>
    </row>
    <row r="273" spans="1:18" ht="144.75">
      <c r="A273" s="7" t="s">
        <v>171</v>
      </c>
      <c r="B273" s="71" t="s">
        <v>866</v>
      </c>
      <c r="C273" s="66">
        <f>VALUE(RIGHT(B273,LEN(B273)-4))</f>
        <v>273</v>
      </c>
      <c r="D273" s="70">
        <v>45709</v>
      </c>
      <c r="E273" s="70">
        <v>45714</v>
      </c>
      <c r="F273" s="10"/>
      <c r="G273" s="10" t="s">
        <v>867</v>
      </c>
      <c r="H273" s="8" t="s">
        <v>107</v>
      </c>
      <c r="I273" s="8" t="s">
        <v>115</v>
      </c>
      <c r="J273" s="8"/>
      <c r="K273" s="8"/>
      <c r="L273" s="8" t="s">
        <v>516</v>
      </c>
      <c r="M273" s="8" t="s">
        <v>57</v>
      </c>
      <c r="N273" s="8" t="s">
        <v>58</v>
      </c>
      <c r="O273" s="8"/>
      <c r="P273" s="8"/>
      <c r="Q273" s="10" t="s">
        <v>868</v>
      </c>
      <c r="R273" s="10" t="s">
        <v>869</v>
      </c>
    </row>
    <row r="274" spans="1:18" ht="28.5">
      <c r="A274" s="7" t="s">
        <v>171</v>
      </c>
      <c r="B274" s="74" t="s">
        <v>870</v>
      </c>
      <c r="C274" s="74">
        <f>VALUE(RIGHT(B274,LEN(B274)-4))</f>
        <v>274</v>
      </c>
      <c r="D274" s="75">
        <v>45705</v>
      </c>
      <c r="E274" s="76"/>
      <c r="F274" s="19"/>
      <c r="G274" s="19" t="s">
        <v>871</v>
      </c>
      <c r="H274" s="17" t="s">
        <v>107</v>
      </c>
      <c r="I274" s="17" t="s">
        <v>108</v>
      </c>
      <c r="J274" s="17" t="s">
        <v>103</v>
      </c>
      <c r="K274" s="17" t="s">
        <v>80</v>
      </c>
      <c r="L274" s="17" t="s">
        <v>516</v>
      </c>
      <c r="M274" s="17" t="s">
        <v>227</v>
      </c>
      <c r="N274" s="17" t="s">
        <v>562</v>
      </c>
      <c r="O274" s="17"/>
      <c r="P274" s="17"/>
      <c r="Q274" s="19" t="s">
        <v>872</v>
      </c>
      <c r="R274" s="19" t="s">
        <v>873</v>
      </c>
    </row>
    <row r="275" spans="1:18" ht="28.5">
      <c r="A275" s="7" t="s">
        <v>49</v>
      </c>
      <c r="B275" s="67" t="s">
        <v>874</v>
      </c>
      <c r="C275" s="67">
        <f>VALUE(RIGHT(B275,LEN(B275)-4))</f>
        <v>275</v>
      </c>
      <c r="D275" s="68">
        <v>45712</v>
      </c>
      <c r="E275" s="69"/>
      <c r="F275" s="16"/>
      <c r="G275" s="16" t="s">
        <v>875</v>
      </c>
      <c r="H275" s="14" t="s">
        <v>52</v>
      </c>
      <c r="I275" s="14" t="s">
        <v>115</v>
      </c>
      <c r="J275" s="14"/>
      <c r="K275" s="14"/>
      <c r="L275" s="14" t="s">
        <v>820</v>
      </c>
      <c r="M275" s="14" t="s">
        <v>57</v>
      </c>
      <c r="N275" s="14" t="s">
        <v>3</v>
      </c>
      <c r="O275" s="14"/>
      <c r="P275" s="14"/>
      <c r="Q275" s="16" t="s">
        <v>876</v>
      </c>
      <c r="R275" s="16" t="s">
        <v>877</v>
      </c>
    </row>
    <row r="276" spans="1:18" ht="28.5">
      <c r="A276" s="7" t="s">
        <v>49</v>
      </c>
      <c r="B276" s="74" t="s">
        <v>878</v>
      </c>
      <c r="C276" s="74">
        <f>VALUE(RIGHT(B276,LEN(B276)-4))</f>
        <v>276</v>
      </c>
      <c r="D276" s="75">
        <v>45714</v>
      </c>
      <c r="E276" s="76"/>
      <c r="F276" s="19"/>
      <c r="G276" s="19" t="s">
        <v>879</v>
      </c>
      <c r="H276" s="17" t="s">
        <v>84</v>
      </c>
      <c r="I276" s="17" t="s">
        <v>880</v>
      </c>
      <c r="J276" s="17" t="s">
        <v>881</v>
      </c>
      <c r="K276" s="17" t="s">
        <v>72</v>
      </c>
      <c r="L276" s="17" t="s">
        <v>882</v>
      </c>
      <c r="M276" s="17" t="s">
        <v>57</v>
      </c>
      <c r="N276" s="17" t="s">
        <v>562</v>
      </c>
      <c r="O276" s="17"/>
      <c r="P276" s="17"/>
      <c r="Q276" s="19" t="s">
        <v>883</v>
      </c>
      <c r="R276" s="19" t="s">
        <v>884</v>
      </c>
    </row>
    <row r="277" spans="1:18" ht="87">
      <c r="A277" s="7" t="s">
        <v>171</v>
      </c>
      <c r="B277" s="66" t="s">
        <v>885</v>
      </c>
      <c r="C277" s="66">
        <f>VALUE(RIGHT(B277,LEN(B277)-4))</f>
        <v>277</v>
      </c>
      <c r="D277" s="70">
        <v>45714</v>
      </c>
      <c r="E277" s="70">
        <v>45714</v>
      </c>
      <c r="F277" s="10"/>
      <c r="G277" s="10" t="s">
        <v>886</v>
      </c>
      <c r="H277" s="8" t="s">
        <v>88</v>
      </c>
      <c r="I277" s="8" t="s">
        <v>795</v>
      </c>
      <c r="J277" s="8"/>
      <c r="K277" s="8"/>
      <c r="L277" s="8" t="s">
        <v>202</v>
      </c>
      <c r="M277" s="8" t="s">
        <v>227</v>
      </c>
      <c r="N277" s="8" t="s">
        <v>58</v>
      </c>
      <c r="O277" s="8"/>
      <c r="P277" s="8"/>
      <c r="Q277" s="10" t="s">
        <v>887</v>
      </c>
      <c r="R277" s="10" t="s">
        <v>888</v>
      </c>
    </row>
    <row r="278" spans="1:18" ht="101.25">
      <c r="A278" s="7" t="s">
        <v>49</v>
      </c>
      <c r="B278" s="79" t="s">
        <v>889</v>
      </c>
      <c r="C278" s="80">
        <f>VALUE(RIGHT(B278,LEN(B278)-4))</f>
        <v>278</v>
      </c>
      <c r="D278" s="81">
        <v>45714</v>
      </c>
      <c r="E278" s="82"/>
      <c r="F278" s="34"/>
      <c r="G278" s="34" t="s">
        <v>890</v>
      </c>
      <c r="H278" s="6" t="s">
        <v>225</v>
      </c>
      <c r="I278" s="6" t="s">
        <v>235</v>
      </c>
      <c r="J278" s="6" t="s">
        <v>593</v>
      </c>
      <c r="K278" s="6" t="s">
        <v>80</v>
      </c>
      <c r="L278" s="6" t="s">
        <v>891</v>
      </c>
      <c r="M278" s="6" t="s">
        <v>57</v>
      </c>
      <c r="N278" s="6" t="s">
        <v>58</v>
      </c>
      <c r="O278" s="6"/>
      <c r="P278" s="6"/>
      <c r="Q278" s="34" t="s">
        <v>892</v>
      </c>
      <c r="R278" s="34" t="s">
        <v>893</v>
      </c>
    </row>
    <row r="279" spans="1:18" ht="28.5">
      <c r="A279" s="7" t="s">
        <v>49</v>
      </c>
      <c r="B279" s="74" t="s">
        <v>894</v>
      </c>
      <c r="C279" s="74">
        <f>VALUE(RIGHT(B279,LEN(B279)-4))</f>
        <v>279</v>
      </c>
      <c r="D279" s="75">
        <v>45714</v>
      </c>
      <c r="E279" s="76"/>
      <c r="F279" s="19"/>
      <c r="G279" s="19" t="s">
        <v>895</v>
      </c>
      <c r="H279" s="17" t="s">
        <v>896</v>
      </c>
      <c r="I279" s="17" t="s">
        <v>53</v>
      </c>
      <c r="J279" s="17" t="s">
        <v>589</v>
      </c>
      <c r="K279" s="17" t="s">
        <v>80</v>
      </c>
      <c r="L279" s="17" t="s">
        <v>897</v>
      </c>
      <c r="M279" s="17" t="s">
        <v>227</v>
      </c>
      <c r="N279" s="17" t="s">
        <v>562</v>
      </c>
      <c r="O279" s="17"/>
      <c r="P279" s="17" t="s">
        <v>898</v>
      </c>
      <c r="Q279" s="19" t="s">
        <v>899</v>
      </c>
      <c r="R279" s="19"/>
    </row>
    <row r="280" spans="1:18" ht="28.5">
      <c r="A280" s="7" t="s">
        <v>171</v>
      </c>
      <c r="B280" s="71" t="s">
        <v>900</v>
      </c>
      <c r="C280" s="66">
        <f>VALUE(RIGHT(B280,LEN(B280)-4))</f>
        <v>280</v>
      </c>
      <c r="D280" s="70">
        <v>45715</v>
      </c>
      <c r="E280" s="83"/>
      <c r="F280" s="10"/>
      <c r="G280" s="10" t="s">
        <v>901</v>
      </c>
      <c r="H280" s="8" t="s">
        <v>902</v>
      </c>
      <c r="I280" s="8" t="s">
        <v>89</v>
      </c>
      <c r="J280" s="8" t="s">
        <v>103</v>
      </c>
      <c r="K280" s="8" t="s">
        <v>80</v>
      </c>
      <c r="L280" s="8" t="s">
        <v>903</v>
      </c>
      <c r="M280" s="8" t="s">
        <v>57</v>
      </c>
      <c r="N280" s="8" t="s">
        <v>58</v>
      </c>
      <c r="O280" s="8"/>
      <c r="P280" s="8"/>
      <c r="Q280" s="10"/>
      <c r="R280" s="10" t="s">
        <v>904</v>
      </c>
    </row>
    <row r="281" spans="1:18" ht="43.5">
      <c r="A281" s="7" t="s">
        <v>49</v>
      </c>
      <c r="B281" s="67" t="s">
        <v>905</v>
      </c>
      <c r="C281" s="67">
        <f>VALUE(RIGHT(B281,LEN(B281)-4))</f>
        <v>281</v>
      </c>
      <c r="D281" s="68">
        <v>45715</v>
      </c>
      <c r="E281" s="69"/>
      <c r="F281" s="16"/>
      <c r="G281" s="16" t="s">
        <v>906</v>
      </c>
      <c r="H281" s="14" t="s">
        <v>98</v>
      </c>
      <c r="I281" s="14" t="s">
        <v>115</v>
      </c>
      <c r="J281" s="14"/>
      <c r="K281" s="14"/>
      <c r="L281" s="14" t="s">
        <v>907</v>
      </c>
      <c r="M281" s="84" t="s">
        <v>57</v>
      </c>
      <c r="N281" s="14" t="s">
        <v>3</v>
      </c>
      <c r="O281" s="14"/>
      <c r="P281" s="14"/>
      <c r="Q281" s="16" t="s">
        <v>908</v>
      </c>
      <c r="R281" s="16"/>
    </row>
    <row r="282" spans="1:18" ht="28.5">
      <c r="A282" s="7" t="s">
        <v>49</v>
      </c>
      <c r="B282" s="67" t="s">
        <v>909</v>
      </c>
      <c r="C282" s="67">
        <f>VALUE(RIGHT(B282,LEN(B282)-4))</f>
        <v>282</v>
      </c>
      <c r="D282" s="68">
        <v>45715</v>
      </c>
      <c r="E282" s="69"/>
      <c r="F282" s="16"/>
      <c r="G282" s="16" t="s">
        <v>910</v>
      </c>
      <c r="H282" s="14" t="s">
        <v>659</v>
      </c>
      <c r="I282" s="14" t="s">
        <v>115</v>
      </c>
      <c r="J282" s="14"/>
      <c r="K282" s="14"/>
      <c r="L282" s="14" t="s">
        <v>907</v>
      </c>
      <c r="M282" s="84" t="s">
        <v>57</v>
      </c>
      <c r="N282" s="14" t="s">
        <v>3</v>
      </c>
      <c r="O282" s="14"/>
      <c r="P282" s="85"/>
      <c r="Q282" s="86" t="s">
        <v>911</v>
      </c>
      <c r="R282" s="16"/>
    </row>
    <row r="283" spans="1:18" ht="28.5">
      <c r="A283" s="7" t="s">
        <v>49</v>
      </c>
      <c r="B283" s="67" t="s">
        <v>912</v>
      </c>
      <c r="C283" s="67">
        <f>VALUE(RIGHT(B283,LEN(B283)-4))</f>
        <v>283</v>
      </c>
      <c r="D283" s="68">
        <v>45715</v>
      </c>
      <c r="E283" s="69"/>
      <c r="F283" s="16"/>
      <c r="G283" s="16" t="s">
        <v>913</v>
      </c>
      <c r="H283" s="14" t="s">
        <v>70</v>
      </c>
      <c r="I283" s="14" t="s">
        <v>115</v>
      </c>
      <c r="J283" s="14"/>
      <c r="K283" s="14"/>
      <c r="L283" s="14" t="s">
        <v>907</v>
      </c>
      <c r="M283" s="84" t="s">
        <v>57</v>
      </c>
      <c r="N283" s="14" t="s">
        <v>3</v>
      </c>
      <c r="O283" s="14"/>
      <c r="P283" s="85"/>
      <c r="Q283" s="86" t="s">
        <v>911</v>
      </c>
      <c r="R283" s="16"/>
    </row>
    <row r="284" spans="1:18" ht="28.5">
      <c r="A284" s="7" t="s">
        <v>171</v>
      </c>
      <c r="B284" s="71" t="s">
        <v>914</v>
      </c>
      <c r="C284" s="66">
        <f>VALUE(RIGHT(B284,LEN(B284)-4))</f>
        <v>284</v>
      </c>
      <c r="D284" s="70">
        <v>45719</v>
      </c>
      <c r="E284" s="70">
        <v>45719</v>
      </c>
      <c r="F284" s="10"/>
      <c r="G284" s="10" t="s">
        <v>915</v>
      </c>
      <c r="H284" s="8" t="s">
        <v>66</v>
      </c>
      <c r="I284" s="8" t="s">
        <v>89</v>
      </c>
      <c r="J284" s="8"/>
      <c r="K284" s="8"/>
      <c r="L284" s="8" t="s">
        <v>916</v>
      </c>
      <c r="M284" s="8" t="s">
        <v>57</v>
      </c>
      <c r="N284" s="8" t="s">
        <v>58</v>
      </c>
      <c r="O284" s="8"/>
      <c r="P284" s="47"/>
      <c r="Q284" s="87"/>
      <c r="R284" s="10"/>
    </row>
    <row r="285" spans="1:18" ht="28.5">
      <c r="A285" s="7" t="s">
        <v>49</v>
      </c>
      <c r="B285" s="66" t="s">
        <v>917</v>
      </c>
      <c r="C285" s="66">
        <f>VALUE(RIGHT(B285,LEN(B285)-4))</f>
        <v>285</v>
      </c>
      <c r="D285" s="70">
        <v>45719</v>
      </c>
      <c r="E285" s="70">
        <v>45719</v>
      </c>
      <c r="F285" s="10"/>
      <c r="G285" s="10" t="s">
        <v>683</v>
      </c>
      <c r="H285" s="8" t="s">
        <v>66</v>
      </c>
      <c r="I285" s="8" t="s">
        <v>89</v>
      </c>
      <c r="J285" s="8"/>
      <c r="K285" s="8"/>
      <c r="L285" s="8" t="s">
        <v>202</v>
      </c>
      <c r="M285" s="8" t="s">
        <v>227</v>
      </c>
      <c r="N285" s="8" t="s">
        <v>58</v>
      </c>
      <c r="O285" s="8"/>
      <c r="P285" s="47"/>
      <c r="Q285" s="87" t="s">
        <v>918</v>
      </c>
      <c r="R285" s="10" t="s">
        <v>919</v>
      </c>
    </row>
    <row r="286" spans="1:18" ht="28.5">
      <c r="A286" s="7" t="s">
        <v>49</v>
      </c>
      <c r="B286" s="66" t="s">
        <v>920</v>
      </c>
      <c r="C286" s="66">
        <f>VALUE(RIGHT(B286,LEN(B286)-4))</f>
        <v>286</v>
      </c>
      <c r="D286" s="70">
        <v>45719</v>
      </c>
      <c r="E286" s="9">
        <v>45721</v>
      </c>
      <c r="F286" s="10"/>
      <c r="G286" s="10" t="s">
        <v>921</v>
      </c>
      <c r="H286" s="8" t="s">
        <v>75</v>
      </c>
      <c r="I286" s="8" t="s">
        <v>235</v>
      </c>
      <c r="J286" s="8"/>
      <c r="K286" s="8"/>
      <c r="L286" s="10" t="s">
        <v>922</v>
      </c>
      <c r="M286" s="8" t="s">
        <v>57</v>
      </c>
      <c r="N286" s="8" t="s">
        <v>58</v>
      </c>
      <c r="O286" s="8"/>
      <c r="P286" s="47"/>
      <c r="Q286" s="87"/>
      <c r="R286" s="10" t="s">
        <v>923</v>
      </c>
    </row>
    <row r="287" spans="1:18" ht="43.5">
      <c r="A287" s="7" t="s">
        <v>171</v>
      </c>
      <c r="B287" s="66" t="s">
        <v>924</v>
      </c>
      <c r="C287" s="66">
        <f>VALUE(RIGHT(B287,LEN(B287)-4))</f>
        <v>287</v>
      </c>
      <c r="D287" s="70">
        <v>45722</v>
      </c>
      <c r="E287" s="9"/>
      <c r="F287" s="10"/>
      <c r="G287" s="10" t="s">
        <v>925</v>
      </c>
      <c r="H287" s="8" t="s">
        <v>75</v>
      </c>
      <c r="I287" s="8" t="s">
        <v>235</v>
      </c>
      <c r="J287" s="8" t="s">
        <v>593</v>
      </c>
      <c r="K287" s="8" t="s">
        <v>80</v>
      </c>
      <c r="L287" s="10" t="s">
        <v>782</v>
      </c>
      <c r="M287" s="8" t="s">
        <v>227</v>
      </c>
      <c r="N287" s="8" t="s">
        <v>58</v>
      </c>
      <c r="O287" s="8"/>
      <c r="P287" s="47"/>
      <c r="Q287" s="87" t="s">
        <v>926</v>
      </c>
      <c r="R287" s="10" t="s">
        <v>927</v>
      </c>
    </row>
    <row r="288" spans="1:18" ht="28.5">
      <c r="A288" s="7" t="s">
        <v>171</v>
      </c>
      <c r="B288" s="71" t="s">
        <v>928</v>
      </c>
      <c r="C288" s="66">
        <f>VALUE(RIGHT(B288,LEN(B288)-4))</f>
        <v>288</v>
      </c>
      <c r="D288" s="70">
        <v>45723</v>
      </c>
      <c r="E288" s="83"/>
      <c r="F288" s="10"/>
      <c r="G288" s="10" t="s">
        <v>929</v>
      </c>
      <c r="H288" s="8" t="s">
        <v>107</v>
      </c>
      <c r="I288" s="8" t="s">
        <v>930</v>
      </c>
      <c r="J288" s="8"/>
      <c r="K288" s="8"/>
      <c r="L288" s="8" t="s">
        <v>516</v>
      </c>
      <c r="M288" s="8" t="s">
        <v>57</v>
      </c>
      <c r="N288" s="8" t="s">
        <v>58</v>
      </c>
      <c r="O288" s="8"/>
      <c r="P288" s="47"/>
      <c r="Q288" s="87"/>
      <c r="R288" s="88" t="s">
        <v>931</v>
      </c>
    </row>
    <row r="289" spans="1:18" ht="57.75">
      <c r="A289" s="7" t="s">
        <v>171</v>
      </c>
      <c r="B289" s="73" t="s">
        <v>932</v>
      </c>
      <c r="C289" s="74">
        <f>VALUE(RIGHT(B289,LEN(B289)-4))</f>
        <v>289</v>
      </c>
      <c r="D289" s="75">
        <v>45723</v>
      </c>
      <c r="E289" s="76"/>
      <c r="F289" s="19"/>
      <c r="G289" s="19" t="s">
        <v>933</v>
      </c>
      <c r="H289" s="17" t="s">
        <v>107</v>
      </c>
      <c r="I289" s="17" t="s">
        <v>108</v>
      </c>
      <c r="J289" s="17" t="s">
        <v>103</v>
      </c>
      <c r="K289" s="17" t="s">
        <v>80</v>
      </c>
      <c r="L289" s="17" t="s">
        <v>516</v>
      </c>
      <c r="M289" s="17" t="s">
        <v>227</v>
      </c>
      <c r="N289" s="17" t="s">
        <v>144</v>
      </c>
      <c r="O289" s="17"/>
      <c r="P289" s="77"/>
      <c r="Q289" s="78"/>
      <c r="R289" s="19" t="s">
        <v>934</v>
      </c>
    </row>
    <row r="290" spans="1:18" ht="57.75">
      <c r="A290" s="7" t="s">
        <v>171</v>
      </c>
      <c r="B290" s="71" t="s">
        <v>935</v>
      </c>
      <c r="C290" s="66"/>
      <c r="D290" s="70">
        <v>45724</v>
      </c>
      <c r="E290" s="83">
        <v>45735</v>
      </c>
      <c r="F290" s="10"/>
      <c r="G290" s="10" t="s">
        <v>936</v>
      </c>
      <c r="H290" s="8" t="s">
        <v>52</v>
      </c>
      <c r="I290" s="8" t="s">
        <v>67</v>
      </c>
      <c r="J290" s="8" t="s">
        <v>103</v>
      </c>
      <c r="K290" s="8" t="s">
        <v>80</v>
      </c>
      <c r="L290" s="8" t="s">
        <v>820</v>
      </c>
      <c r="M290" s="8" t="s">
        <v>57</v>
      </c>
      <c r="N290" s="8" t="s">
        <v>58</v>
      </c>
      <c r="O290" s="8"/>
      <c r="P290" s="47"/>
      <c r="Q290" s="87" t="s">
        <v>937</v>
      </c>
      <c r="R290" s="10" t="s">
        <v>938</v>
      </c>
    </row>
    <row r="291" spans="1:18">
      <c r="A291" s="7" t="s">
        <v>49</v>
      </c>
      <c r="B291" s="89" t="s">
        <v>939</v>
      </c>
      <c r="C291" s="67"/>
      <c r="D291" s="68">
        <v>45726</v>
      </c>
      <c r="E291" s="69"/>
      <c r="F291" s="16"/>
      <c r="G291" s="16" t="s">
        <v>940</v>
      </c>
      <c r="H291" s="14" t="s">
        <v>84</v>
      </c>
      <c r="I291" s="14" t="s">
        <v>93</v>
      </c>
      <c r="J291" s="14" t="s">
        <v>941</v>
      </c>
      <c r="K291" s="14" t="s">
        <v>80</v>
      </c>
      <c r="L291" s="14" t="s">
        <v>942</v>
      </c>
      <c r="M291" s="14" t="s">
        <v>57</v>
      </c>
      <c r="N291" s="14" t="s">
        <v>3</v>
      </c>
      <c r="O291" s="14"/>
      <c r="P291" s="85"/>
      <c r="Q291" s="86" t="s">
        <v>943</v>
      </c>
      <c r="R291" s="16"/>
    </row>
    <row r="292" spans="1:18" ht="57.75">
      <c r="A292" s="7" t="s">
        <v>49</v>
      </c>
      <c r="B292" s="89" t="s">
        <v>944</v>
      </c>
      <c r="C292" s="67"/>
      <c r="D292" s="68">
        <v>45727</v>
      </c>
      <c r="E292" s="69"/>
      <c r="F292" s="16"/>
      <c r="G292" s="16" t="s">
        <v>945</v>
      </c>
      <c r="H292" s="14" t="s">
        <v>107</v>
      </c>
      <c r="I292" s="14" t="s">
        <v>53</v>
      </c>
      <c r="J292" s="14" t="s">
        <v>561</v>
      </c>
      <c r="K292" s="14" t="s">
        <v>72</v>
      </c>
      <c r="L292" s="14" t="s">
        <v>516</v>
      </c>
      <c r="M292" s="14" t="s">
        <v>227</v>
      </c>
      <c r="N292" s="14" t="s">
        <v>3</v>
      </c>
      <c r="O292" s="14" t="s">
        <v>849</v>
      </c>
      <c r="P292" s="90">
        <v>45739</v>
      </c>
      <c r="Q292" s="91" t="s">
        <v>946</v>
      </c>
      <c r="R292" s="16" t="s">
        <v>947</v>
      </c>
    </row>
    <row r="293" spans="1:18" ht="87">
      <c r="A293" s="7" t="s">
        <v>49</v>
      </c>
      <c r="B293" s="71" t="s">
        <v>948</v>
      </c>
      <c r="C293" s="74"/>
      <c r="D293" s="70">
        <v>45727</v>
      </c>
      <c r="E293" s="83"/>
      <c r="F293" s="10"/>
      <c r="G293" s="10" t="s">
        <v>949</v>
      </c>
      <c r="H293" s="8" t="s">
        <v>225</v>
      </c>
      <c r="I293" s="8" t="s">
        <v>950</v>
      </c>
      <c r="J293" s="8" t="s">
        <v>951</v>
      </c>
      <c r="K293" s="8" t="s">
        <v>72</v>
      </c>
      <c r="L293" s="8" t="s">
        <v>891</v>
      </c>
      <c r="M293" s="8" t="s">
        <v>57</v>
      </c>
      <c r="N293" s="8" t="s">
        <v>58</v>
      </c>
      <c r="O293" s="8" t="s">
        <v>849</v>
      </c>
      <c r="P293" s="92">
        <v>45747</v>
      </c>
      <c r="Q293" s="87" t="s">
        <v>952</v>
      </c>
      <c r="R293" s="10"/>
    </row>
    <row r="294" spans="1:18" ht="43.5">
      <c r="A294" s="7" t="s">
        <v>49</v>
      </c>
      <c r="B294" s="89" t="s">
        <v>953</v>
      </c>
      <c r="C294" s="67"/>
      <c r="D294" s="68">
        <v>45727</v>
      </c>
      <c r="E294" s="69"/>
      <c r="F294" s="16"/>
      <c r="G294" s="16" t="s">
        <v>954</v>
      </c>
      <c r="H294" s="14" t="s">
        <v>66</v>
      </c>
      <c r="I294" s="14" t="s">
        <v>53</v>
      </c>
      <c r="J294" s="14" t="s">
        <v>916</v>
      </c>
      <c r="K294" s="14" t="s">
        <v>72</v>
      </c>
      <c r="L294" s="14" t="s">
        <v>942</v>
      </c>
      <c r="M294" s="14" t="s">
        <v>227</v>
      </c>
      <c r="N294" s="14" t="s">
        <v>3</v>
      </c>
      <c r="O294" s="14" t="s">
        <v>849</v>
      </c>
      <c r="Q294" s="91" t="s">
        <v>955</v>
      </c>
      <c r="R294" s="16" t="s">
        <v>956</v>
      </c>
    </row>
    <row r="295" spans="1:18" ht="28.5">
      <c r="A295" s="7" t="s">
        <v>49</v>
      </c>
      <c r="B295" s="89" t="s">
        <v>957</v>
      </c>
      <c r="C295" s="67"/>
      <c r="D295" s="68">
        <v>45727</v>
      </c>
      <c r="E295" s="69"/>
      <c r="F295" s="16"/>
      <c r="G295" s="16" t="s">
        <v>958</v>
      </c>
      <c r="H295" s="14" t="s">
        <v>88</v>
      </c>
      <c r="I295" s="14" t="s">
        <v>53</v>
      </c>
      <c r="J295" s="14" t="s">
        <v>103</v>
      </c>
      <c r="K295" s="14" t="s">
        <v>80</v>
      </c>
      <c r="L295" s="14" t="s">
        <v>202</v>
      </c>
      <c r="M295" s="14" t="s">
        <v>57</v>
      </c>
      <c r="N295" s="14" t="s">
        <v>3</v>
      </c>
      <c r="O295" s="14" t="s">
        <v>849</v>
      </c>
      <c r="P295" s="85"/>
      <c r="Q295" s="86"/>
      <c r="R295" s="16" t="s">
        <v>959</v>
      </c>
    </row>
    <row r="296" spans="1:18" ht="72">
      <c r="A296" s="7" t="s">
        <v>49</v>
      </c>
      <c r="B296" s="89" t="s">
        <v>960</v>
      </c>
      <c r="C296" s="67"/>
      <c r="D296" s="68">
        <v>45727</v>
      </c>
      <c r="E296" s="69"/>
      <c r="F296" s="16"/>
      <c r="G296" s="16" t="s">
        <v>961</v>
      </c>
      <c r="H296" s="14" t="s">
        <v>52</v>
      </c>
      <c r="I296" s="14" t="s">
        <v>53</v>
      </c>
      <c r="J296" s="14" t="s">
        <v>103</v>
      </c>
      <c r="K296" s="14" t="s">
        <v>80</v>
      </c>
      <c r="L296" s="14" t="s">
        <v>820</v>
      </c>
      <c r="M296" s="14" t="s">
        <v>57</v>
      </c>
      <c r="N296" s="14" t="s">
        <v>3</v>
      </c>
      <c r="O296" s="14" t="s">
        <v>849</v>
      </c>
      <c r="P296" s="85"/>
      <c r="Q296" s="86"/>
      <c r="R296" s="16" t="s">
        <v>962</v>
      </c>
    </row>
    <row r="297" spans="1:18" ht="188.25">
      <c r="A297" s="7" t="s">
        <v>171</v>
      </c>
      <c r="B297" s="89" t="s">
        <v>963</v>
      </c>
      <c r="C297" s="67"/>
      <c r="D297" s="68">
        <v>45728</v>
      </c>
      <c r="E297" s="69"/>
      <c r="F297" s="16"/>
      <c r="G297" s="16" t="s">
        <v>964</v>
      </c>
      <c r="H297" s="14" t="s">
        <v>902</v>
      </c>
      <c r="I297" s="14" t="s">
        <v>787</v>
      </c>
      <c r="J297" s="14" t="s">
        <v>629</v>
      </c>
      <c r="K297" s="14" t="s">
        <v>80</v>
      </c>
      <c r="L297" s="14" t="s">
        <v>903</v>
      </c>
      <c r="M297" s="14" t="s">
        <v>57</v>
      </c>
      <c r="N297" s="14" t="s">
        <v>3</v>
      </c>
      <c r="O297" s="14"/>
      <c r="P297" s="14"/>
      <c r="Q297" s="16" t="s">
        <v>965</v>
      </c>
      <c r="R297" s="16" t="s">
        <v>966</v>
      </c>
    </row>
    <row r="298" spans="1:18" ht="101.25">
      <c r="A298" s="7" t="s">
        <v>171</v>
      </c>
      <c r="B298" s="71" t="s">
        <v>967</v>
      </c>
      <c r="C298" s="67"/>
      <c r="D298" s="70">
        <v>45729</v>
      </c>
      <c r="E298" s="83"/>
      <c r="F298" s="10"/>
      <c r="G298" s="10" t="s">
        <v>968</v>
      </c>
      <c r="H298" s="8" t="s">
        <v>902</v>
      </c>
      <c r="I298" s="8" t="s">
        <v>67</v>
      </c>
      <c r="J298" s="8"/>
      <c r="K298" s="8"/>
      <c r="L298" s="8" t="s">
        <v>903</v>
      </c>
      <c r="M298" s="8" t="s">
        <v>57</v>
      </c>
      <c r="N298" s="8" t="s">
        <v>58</v>
      </c>
      <c r="O298" s="8"/>
      <c r="P298" s="8"/>
      <c r="Q298" s="10"/>
      <c r="R298" s="10" t="s">
        <v>969</v>
      </c>
    </row>
    <row r="299" spans="1:18" ht="43.5">
      <c r="A299" s="7" t="s">
        <v>49</v>
      </c>
      <c r="B299" s="71" t="s">
        <v>970</v>
      </c>
      <c r="C299" s="67"/>
      <c r="D299" s="70">
        <v>45729</v>
      </c>
      <c r="E299" s="83"/>
      <c r="F299" s="10"/>
      <c r="G299" s="10" t="s">
        <v>971</v>
      </c>
      <c r="H299" s="8" t="s">
        <v>107</v>
      </c>
      <c r="I299" s="8" t="s">
        <v>53</v>
      </c>
      <c r="J299" s="8"/>
      <c r="K299" s="8"/>
      <c r="L299" s="8" t="s">
        <v>516</v>
      </c>
      <c r="M299" s="8" t="s">
        <v>57</v>
      </c>
      <c r="N299" s="8" t="s">
        <v>58</v>
      </c>
      <c r="O299" s="8"/>
      <c r="P299" s="8"/>
      <c r="Q299" s="10"/>
      <c r="R299" s="10" t="s">
        <v>972</v>
      </c>
    </row>
    <row r="300" spans="1:18" ht="43.5">
      <c r="A300" s="7" t="s">
        <v>49</v>
      </c>
      <c r="B300" s="71" t="s">
        <v>973</v>
      </c>
      <c r="C300" s="93"/>
      <c r="D300" s="70">
        <v>45729</v>
      </c>
      <c r="E300" s="83"/>
      <c r="F300" s="10"/>
      <c r="G300" s="10" t="s">
        <v>974</v>
      </c>
      <c r="H300" s="8" t="s">
        <v>66</v>
      </c>
      <c r="I300" s="8" t="s">
        <v>53</v>
      </c>
      <c r="J300" s="8" t="s">
        <v>807</v>
      </c>
      <c r="K300" s="8" t="s">
        <v>72</v>
      </c>
      <c r="L300" s="8" t="s">
        <v>671</v>
      </c>
      <c r="M300" s="8" t="s">
        <v>57</v>
      </c>
      <c r="N300" s="8" t="s">
        <v>58</v>
      </c>
      <c r="O300" s="8"/>
      <c r="P300" s="9">
        <v>45735</v>
      </c>
      <c r="Q300" s="10"/>
      <c r="R300" s="10" t="s">
        <v>975</v>
      </c>
    </row>
    <row r="301" spans="1:18" ht="72">
      <c r="A301" s="7" t="s">
        <v>171</v>
      </c>
      <c r="B301" s="89" t="s">
        <v>976</v>
      </c>
      <c r="C301" s="67"/>
      <c r="D301" s="68">
        <v>45731</v>
      </c>
      <c r="E301" s="69"/>
      <c r="F301" s="16"/>
      <c r="G301" s="16" t="s">
        <v>977</v>
      </c>
      <c r="H301" s="14" t="s">
        <v>52</v>
      </c>
      <c r="I301" s="14" t="s">
        <v>53</v>
      </c>
      <c r="J301" s="14"/>
      <c r="K301" s="14"/>
      <c r="L301" s="14" t="s">
        <v>820</v>
      </c>
      <c r="M301" s="14" t="s">
        <v>227</v>
      </c>
      <c r="N301" s="14" t="s">
        <v>3</v>
      </c>
      <c r="O301" s="14"/>
      <c r="P301" s="14"/>
      <c r="Q301" s="16"/>
      <c r="R301" s="16" t="s">
        <v>978</v>
      </c>
    </row>
    <row r="302" spans="1:18" ht="188.25">
      <c r="A302" s="7" t="s">
        <v>49</v>
      </c>
      <c r="B302" s="89" t="s">
        <v>979</v>
      </c>
      <c r="C302" s="67"/>
      <c r="D302" s="68">
        <v>45733</v>
      </c>
      <c r="E302" s="69"/>
      <c r="F302" s="16"/>
      <c r="G302" s="16" t="s">
        <v>980</v>
      </c>
      <c r="H302" s="14" t="s">
        <v>107</v>
      </c>
      <c r="I302" s="14" t="s">
        <v>108</v>
      </c>
      <c r="J302" s="14"/>
      <c r="K302" s="14"/>
      <c r="L302" s="14" t="s">
        <v>981</v>
      </c>
      <c r="M302" s="14" t="s">
        <v>57</v>
      </c>
      <c r="N302" s="14" t="s">
        <v>3</v>
      </c>
      <c r="O302" s="14" t="s">
        <v>361</v>
      </c>
      <c r="P302" s="14"/>
      <c r="Q302" s="16" t="s">
        <v>982</v>
      </c>
      <c r="R302" s="16" t="s">
        <v>983</v>
      </c>
    </row>
    <row r="303" spans="1:18" ht="159">
      <c r="A303" s="7" t="s">
        <v>171</v>
      </c>
      <c r="B303" s="71" t="s">
        <v>984</v>
      </c>
      <c r="C303" s="66"/>
      <c r="D303" s="70">
        <v>45733</v>
      </c>
      <c r="E303" s="83">
        <v>45736</v>
      </c>
      <c r="F303" s="10"/>
      <c r="G303" s="10" t="s">
        <v>985</v>
      </c>
      <c r="H303" s="8" t="s">
        <v>225</v>
      </c>
      <c r="I303" s="8" t="s">
        <v>986</v>
      </c>
      <c r="J303" s="8" t="s">
        <v>103</v>
      </c>
      <c r="K303" s="8" t="s">
        <v>80</v>
      </c>
      <c r="L303" s="8" t="s">
        <v>103</v>
      </c>
      <c r="M303" s="8" t="s">
        <v>227</v>
      </c>
      <c r="N303" s="8" t="s">
        <v>58</v>
      </c>
      <c r="O303" s="8"/>
      <c r="P303" s="8"/>
      <c r="Q303" s="10"/>
      <c r="R303" s="10" t="s">
        <v>987</v>
      </c>
    </row>
    <row r="304" spans="1:18" ht="101.25">
      <c r="A304" s="7" t="s">
        <v>49</v>
      </c>
      <c r="B304" s="71" t="s">
        <v>988</v>
      </c>
      <c r="C304" s="66"/>
      <c r="D304" s="70">
        <v>45734</v>
      </c>
      <c r="E304" s="83">
        <v>45737</v>
      </c>
      <c r="F304" s="10"/>
      <c r="G304" s="10" t="s">
        <v>989</v>
      </c>
      <c r="H304" s="8" t="s">
        <v>75</v>
      </c>
      <c r="I304" s="8" t="s">
        <v>53</v>
      </c>
      <c r="J304" s="8" t="s">
        <v>990</v>
      </c>
      <c r="K304" s="8" t="s">
        <v>72</v>
      </c>
      <c r="L304" s="8" t="s">
        <v>782</v>
      </c>
      <c r="M304" s="8" t="s">
        <v>57</v>
      </c>
      <c r="N304" s="8" t="s">
        <v>58</v>
      </c>
      <c r="O304" s="8"/>
      <c r="P304" s="94">
        <v>45737</v>
      </c>
      <c r="Q304" s="10" t="s">
        <v>991</v>
      </c>
      <c r="R304" s="10" t="s">
        <v>992</v>
      </c>
    </row>
    <row r="305" spans="1:18">
      <c r="A305" s="7" t="s">
        <v>49</v>
      </c>
      <c r="B305" s="95" t="s">
        <v>993</v>
      </c>
      <c r="C305" s="96"/>
      <c r="D305" s="97">
        <v>45727</v>
      </c>
      <c r="E305" s="98"/>
      <c r="F305" s="99" t="s">
        <v>944</v>
      </c>
      <c r="G305" s="16" t="s">
        <v>994</v>
      </c>
      <c r="H305" s="14" t="s">
        <v>107</v>
      </c>
      <c r="I305" s="14" t="s">
        <v>89</v>
      </c>
      <c r="J305" s="84"/>
      <c r="K305" s="84"/>
      <c r="L305" s="84"/>
      <c r="M305" s="14" t="s">
        <v>57</v>
      </c>
      <c r="N305" s="84" t="s">
        <v>3</v>
      </c>
      <c r="O305" s="84" t="s">
        <v>361</v>
      </c>
      <c r="P305" s="84"/>
      <c r="Q305" s="99" t="s">
        <v>995</v>
      </c>
      <c r="R305" s="99" t="s">
        <v>996</v>
      </c>
    </row>
    <row r="306" spans="1:18">
      <c r="A306" s="7" t="s">
        <v>49</v>
      </c>
      <c r="B306" s="95" t="s">
        <v>997</v>
      </c>
      <c r="C306" s="96"/>
      <c r="D306" s="97">
        <v>45727</v>
      </c>
      <c r="E306" s="98"/>
      <c r="F306" s="99" t="s">
        <v>944</v>
      </c>
      <c r="G306" s="16" t="s">
        <v>998</v>
      </c>
      <c r="H306" s="14" t="s">
        <v>107</v>
      </c>
      <c r="I306" s="14" t="s">
        <v>89</v>
      </c>
      <c r="J306" s="84"/>
      <c r="K306" s="84"/>
      <c r="L306" s="84"/>
      <c r="M306" s="14" t="s">
        <v>57</v>
      </c>
      <c r="N306" s="84" t="s">
        <v>3</v>
      </c>
      <c r="O306" s="84" t="s">
        <v>361</v>
      </c>
      <c r="P306" s="84"/>
      <c r="Q306" s="99" t="s">
        <v>995</v>
      </c>
      <c r="R306" s="99" t="s">
        <v>996</v>
      </c>
    </row>
    <row r="307" spans="1:18" ht="28.5">
      <c r="A307" s="7" t="s">
        <v>49</v>
      </c>
      <c r="B307" s="95" t="s">
        <v>999</v>
      </c>
      <c r="C307" s="96"/>
      <c r="D307" s="97">
        <v>45727</v>
      </c>
      <c r="E307" s="98"/>
      <c r="F307" s="99" t="s">
        <v>944</v>
      </c>
      <c r="G307" s="16" t="s">
        <v>1000</v>
      </c>
      <c r="H307" s="14" t="s">
        <v>107</v>
      </c>
      <c r="I307" s="14" t="s">
        <v>235</v>
      </c>
      <c r="J307" s="84"/>
      <c r="K307" s="84"/>
      <c r="L307" s="84"/>
      <c r="M307" s="14" t="s">
        <v>57</v>
      </c>
      <c r="N307" s="84" t="s">
        <v>3</v>
      </c>
      <c r="O307" s="84" t="s">
        <v>361</v>
      </c>
      <c r="P307" s="84"/>
      <c r="Q307" s="99" t="s">
        <v>995</v>
      </c>
      <c r="R307" s="99" t="s">
        <v>1001</v>
      </c>
    </row>
    <row r="308" spans="1:18" ht="115.5">
      <c r="A308" s="7" t="s">
        <v>171</v>
      </c>
      <c r="B308" s="95" t="s">
        <v>1002</v>
      </c>
      <c r="C308" s="96"/>
      <c r="D308" s="97">
        <v>45736</v>
      </c>
      <c r="E308" s="98"/>
      <c r="F308" s="99"/>
      <c r="G308" s="99" t="s">
        <v>1003</v>
      </c>
      <c r="H308" s="84" t="s">
        <v>52</v>
      </c>
      <c r="I308" s="84" t="s">
        <v>89</v>
      </c>
      <c r="J308" s="84" t="s">
        <v>561</v>
      </c>
      <c r="K308" s="84" t="s">
        <v>72</v>
      </c>
      <c r="L308" s="84" t="s">
        <v>820</v>
      </c>
      <c r="M308" s="84" t="s">
        <v>57</v>
      </c>
      <c r="N308" s="84" t="s">
        <v>3</v>
      </c>
      <c r="O308" s="84"/>
      <c r="P308" s="84"/>
      <c r="Q308" s="99"/>
      <c r="R308" s="99" t="s">
        <v>1004</v>
      </c>
    </row>
    <row r="309" spans="1:18" ht="43.5">
      <c r="A309" s="7" t="s">
        <v>171</v>
      </c>
      <c r="B309" s="71" t="s">
        <v>1005</v>
      </c>
      <c r="C309" s="96"/>
      <c r="D309" s="70">
        <v>45736</v>
      </c>
      <c r="E309" s="83"/>
      <c r="F309" s="10"/>
      <c r="G309" s="10" t="s">
        <v>1006</v>
      </c>
      <c r="H309" s="8" t="s">
        <v>52</v>
      </c>
      <c r="I309" s="8" t="s">
        <v>115</v>
      </c>
      <c r="J309" s="8" t="s">
        <v>103</v>
      </c>
      <c r="K309" s="8" t="s">
        <v>80</v>
      </c>
      <c r="L309" s="8" t="s">
        <v>71</v>
      </c>
      <c r="M309" s="8" t="s">
        <v>57</v>
      </c>
      <c r="N309" s="8" t="s">
        <v>58</v>
      </c>
      <c r="O309" s="8"/>
      <c r="P309" s="8"/>
      <c r="Q309" s="10"/>
      <c r="R309" s="10" t="s">
        <v>1007</v>
      </c>
    </row>
    <row r="310" spans="1:18" ht="28.5">
      <c r="A310" s="7" t="s">
        <v>49</v>
      </c>
      <c r="B310" s="71" t="s">
        <v>1008</v>
      </c>
      <c r="C310" s="96"/>
      <c r="D310" s="70">
        <v>45741</v>
      </c>
      <c r="E310" s="83"/>
      <c r="F310" s="10"/>
      <c r="G310" s="10" t="s">
        <v>1009</v>
      </c>
      <c r="H310" s="8" t="s">
        <v>66</v>
      </c>
      <c r="I310" s="8" t="s">
        <v>53</v>
      </c>
      <c r="J310" s="8"/>
      <c r="K310" s="8"/>
      <c r="L310" s="8" t="s">
        <v>1010</v>
      </c>
      <c r="M310" s="8" t="s">
        <v>57</v>
      </c>
      <c r="N310" s="8" t="s">
        <v>3</v>
      </c>
      <c r="O310" s="8"/>
      <c r="P310" s="9">
        <v>45747</v>
      </c>
      <c r="Q310" s="10"/>
      <c r="R310" s="100" t="s">
        <v>1011</v>
      </c>
    </row>
    <row r="311" spans="1:18" ht="28.5">
      <c r="A311" s="7" t="s">
        <v>49</v>
      </c>
      <c r="B311" s="67" t="s">
        <v>1012</v>
      </c>
      <c r="C311" s="67">
        <f>VALUE(RIGHT(B311,LEN(B311)-4))</f>
        <v>311</v>
      </c>
      <c r="D311" s="68">
        <v>45741</v>
      </c>
      <c r="E311" s="69"/>
      <c r="F311" s="16"/>
      <c r="G311" s="16" t="s">
        <v>1013</v>
      </c>
      <c r="H311" s="14" t="s">
        <v>308</v>
      </c>
      <c r="I311" s="14" t="s">
        <v>115</v>
      </c>
      <c r="J311" s="14"/>
      <c r="K311" s="14"/>
      <c r="L311" s="14" t="s">
        <v>907</v>
      </c>
      <c r="M311" s="84" t="s">
        <v>57</v>
      </c>
      <c r="N311" s="14" t="s">
        <v>3</v>
      </c>
      <c r="O311" s="14"/>
      <c r="P311" s="85"/>
      <c r="Q311" s="86" t="s">
        <v>911</v>
      </c>
      <c r="R311" s="16"/>
    </row>
    <row r="312" spans="1:18" ht="57.75">
      <c r="A312" s="7" t="s">
        <v>171</v>
      </c>
      <c r="B312" s="73" t="s">
        <v>1014</v>
      </c>
      <c r="C312" s="96"/>
      <c r="D312" s="75">
        <v>45742</v>
      </c>
      <c r="E312" s="76"/>
      <c r="F312" s="19"/>
      <c r="G312" s="19" t="s">
        <v>1015</v>
      </c>
      <c r="H312" s="17" t="s">
        <v>902</v>
      </c>
      <c r="I312" s="17" t="s">
        <v>53</v>
      </c>
      <c r="J312" s="17" t="s">
        <v>288</v>
      </c>
      <c r="K312" s="17"/>
      <c r="L312" s="17" t="s">
        <v>1016</v>
      </c>
      <c r="M312" s="17" t="s">
        <v>227</v>
      </c>
      <c r="N312" s="17" t="s">
        <v>144</v>
      </c>
      <c r="O312" s="17"/>
      <c r="P312" s="17"/>
      <c r="Q312" s="19"/>
      <c r="R312" s="19" t="s">
        <v>1017</v>
      </c>
    </row>
    <row r="313" spans="1:18" ht="115.5">
      <c r="A313" s="7" t="s">
        <v>49</v>
      </c>
      <c r="B313" s="95" t="s">
        <v>1018</v>
      </c>
      <c r="C313" s="96"/>
      <c r="D313" s="97">
        <v>45742</v>
      </c>
      <c r="E313" s="98"/>
      <c r="F313" s="99"/>
      <c r="G313" s="99" t="s">
        <v>1019</v>
      </c>
      <c r="H313" s="84" t="s">
        <v>75</v>
      </c>
      <c r="I313" s="84" t="s">
        <v>930</v>
      </c>
      <c r="J313" s="84"/>
      <c r="K313" s="84"/>
      <c r="L313" s="84" t="s">
        <v>1020</v>
      </c>
      <c r="M313" s="84" t="s">
        <v>57</v>
      </c>
      <c r="N313" s="84" t="s">
        <v>3</v>
      </c>
      <c r="O313" s="84" t="s">
        <v>361</v>
      </c>
      <c r="P313" s="84"/>
      <c r="Q313" s="99"/>
      <c r="R313" s="99" t="s">
        <v>1021</v>
      </c>
    </row>
    <row r="314" spans="1:18" ht="289.5">
      <c r="A314" s="7" t="s">
        <v>49</v>
      </c>
      <c r="B314" s="71" t="s">
        <v>1022</v>
      </c>
      <c r="C314" s="96"/>
      <c r="D314" s="70">
        <v>45743</v>
      </c>
      <c r="E314" s="83"/>
      <c r="F314" s="10"/>
      <c r="G314" s="10" t="s">
        <v>1023</v>
      </c>
      <c r="H314" s="8" t="s">
        <v>52</v>
      </c>
      <c r="I314" s="8" t="s">
        <v>53</v>
      </c>
      <c r="J314" s="8" t="s">
        <v>561</v>
      </c>
      <c r="K314" s="8" t="s">
        <v>72</v>
      </c>
      <c r="L314" s="8" t="s">
        <v>820</v>
      </c>
      <c r="M314" s="8" t="s">
        <v>57</v>
      </c>
      <c r="N314" s="8" t="s">
        <v>58</v>
      </c>
      <c r="O314" s="8"/>
      <c r="P314" s="94">
        <v>45747</v>
      </c>
      <c r="Q314" s="10"/>
      <c r="R314" s="10" t="s">
        <v>1024</v>
      </c>
    </row>
    <row r="315" spans="1:18" ht="405.75">
      <c r="A315" s="7" t="s">
        <v>49</v>
      </c>
      <c r="B315" s="95" t="s">
        <v>1025</v>
      </c>
      <c r="C315" s="96"/>
      <c r="D315" s="97">
        <v>45743</v>
      </c>
      <c r="E315" s="98"/>
      <c r="F315" s="99"/>
      <c r="G315" s="99" t="s">
        <v>1026</v>
      </c>
      <c r="H315" s="84" t="s">
        <v>52</v>
      </c>
      <c r="I315" s="84" t="s">
        <v>53</v>
      </c>
      <c r="J315" s="84" t="s">
        <v>561</v>
      </c>
      <c r="K315" s="84" t="s">
        <v>72</v>
      </c>
      <c r="L315" s="84" t="s">
        <v>1027</v>
      </c>
      <c r="M315" s="84" t="s">
        <v>57</v>
      </c>
      <c r="N315" s="84" t="s">
        <v>3</v>
      </c>
      <c r="O315" s="84"/>
      <c r="P315" s="101">
        <v>45754</v>
      </c>
      <c r="Q315" s="99"/>
      <c r="R315" s="102" t="s">
        <v>1028</v>
      </c>
    </row>
    <row r="316" spans="1:18">
      <c r="A316" s="7" t="s">
        <v>49</v>
      </c>
      <c r="B316" s="71" t="s">
        <v>1029</v>
      </c>
      <c r="C316" s="96"/>
      <c r="D316" s="70">
        <v>45744</v>
      </c>
      <c r="E316" s="83">
        <v>45744</v>
      </c>
      <c r="F316" s="10"/>
      <c r="G316" s="10" t="s">
        <v>1030</v>
      </c>
      <c r="H316" s="8" t="s">
        <v>98</v>
      </c>
      <c r="I316" s="8" t="s">
        <v>1031</v>
      </c>
      <c r="J316" s="8"/>
      <c r="K316" s="8"/>
      <c r="L316" s="8"/>
      <c r="M316" s="8" t="s">
        <v>57</v>
      </c>
      <c r="N316" s="8" t="s">
        <v>58</v>
      </c>
      <c r="O316" s="8"/>
      <c r="P316" s="9">
        <v>45744</v>
      </c>
      <c r="Q316" s="10"/>
      <c r="R316" s="10" t="s">
        <v>1032</v>
      </c>
    </row>
    <row r="317" spans="1:18" ht="28.5">
      <c r="A317" s="7" t="s">
        <v>49</v>
      </c>
      <c r="B317" s="71" t="s">
        <v>1033</v>
      </c>
      <c r="C317" s="96"/>
      <c r="D317" s="70">
        <v>45744</v>
      </c>
      <c r="E317" s="83"/>
      <c r="F317" s="10"/>
      <c r="G317" s="10" t="s">
        <v>1034</v>
      </c>
      <c r="H317" s="8" t="s">
        <v>107</v>
      </c>
      <c r="I317" s="8" t="s">
        <v>53</v>
      </c>
      <c r="J317" s="8" t="s">
        <v>561</v>
      </c>
      <c r="K317" s="8" t="s">
        <v>72</v>
      </c>
      <c r="L317" s="8" t="s">
        <v>981</v>
      </c>
      <c r="M317" s="8" t="s">
        <v>57</v>
      </c>
      <c r="N317" s="8" t="s">
        <v>58</v>
      </c>
      <c r="O317" s="8"/>
      <c r="P317" s="94">
        <v>45747</v>
      </c>
      <c r="Q317" s="10"/>
      <c r="R317" s="10" t="s">
        <v>1035</v>
      </c>
    </row>
    <row r="318" spans="1:18">
      <c r="A318" s="7" t="s">
        <v>49</v>
      </c>
      <c r="B318" s="71" t="s">
        <v>1036</v>
      </c>
      <c r="C318" s="97">
        <v>45744</v>
      </c>
      <c r="D318" s="83">
        <v>45744</v>
      </c>
      <c r="E318" s="10"/>
      <c r="F318" s="10"/>
      <c r="G318" s="8" t="s">
        <v>1037</v>
      </c>
      <c r="H318" s="8" t="s">
        <v>88</v>
      </c>
      <c r="I318" s="8" t="s">
        <v>1031</v>
      </c>
      <c r="J318" s="8" t="s">
        <v>1038</v>
      </c>
      <c r="K318" s="8" t="s">
        <v>777</v>
      </c>
      <c r="L318" s="8" t="s">
        <v>881</v>
      </c>
      <c r="M318" s="8" t="s">
        <v>57</v>
      </c>
      <c r="N318" s="8" t="s">
        <v>58</v>
      </c>
      <c r="O318" s="9"/>
      <c r="P318" s="94">
        <v>45747</v>
      </c>
      <c r="Q318" s="103"/>
      <c r="R318" s="10" t="s">
        <v>1039</v>
      </c>
    </row>
    <row r="319" spans="1:18">
      <c r="A319" s="7" t="s">
        <v>49</v>
      </c>
      <c r="B319" s="71" t="s">
        <v>1040</v>
      </c>
      <c r="C319" s="97">
        <v>45744</v>
      </c>
      <c r="D319" s="83">
        <v>45744</v>
      </c>
      <c r="E319" s="35">
        <v>45749</v>
      </c>
      <c r="F319" s="10"/>
      <c r="G319" s="8" t="s">
        <v>1041</v>
      </c>
      <c r="H319" s="8" t="s">
        <v>66</v>
      </c>
      <c r="I319" s="8" t="s">
        <v>1031</v>
      </c>
      <c r="J319" s="8" t="s">
        <v>1038</v>
      </c>
      <c r="K319" s="8" t="s">
        <v>777</v>
      </c>
      <c r="L319" s="8" t="s">
        <v>881</v>
      </c>
      <c r="M319" s="8" t="s">
        <v>57</v>
      </c>
      <c r="N319" s="8" t="s">
        <v>58</v>
      </c>
      <c r="O319" s="9"/>
      <c r="P319" s="94">
        <v>45747</v>
      </c>
      <c r="Q319" s="103"/>
      <c r="R319" s="10" t="s">
        <v>1039</v>
      </c>
    </row>
    <row r="320" spans="1:18">
      <c r="A320" s="7" t="s">
        <v>49</v>
      </c>
      <c r="B320" s="71" t="s">
        <v>1042</v>
      </c>
      <c r="C320" s="96"/>
      <c r="D320" s="70">
        <v>45747</v>
      </c>
      <c r="E320" s="83"/>
      <c r="F320" s="10"/>
      <c r="G320" s="10" t="s">
        <v>1043</v>
      </c>
      <c r="H320" s="8" t="s">
        <v>902</v>
      </c>
      <c r="I320" s="8" t="s">
        <v>53</v>
      </c>
      <c r="J320" s="8"/>
      <c r="K320" s="8"/>
      <c r="L320" s="8" t="s">
        <v>903</v>
      </c>
      <c r="M320" s="8" t="s">
        <v>227</v>
      </c>
      <c r="N320" s="8" t="s">
        <v>58</v>
      </c>
      <c r="O320" s="8"/>
      <c r="P320" s="94">
        <v>45748</v>
      </c>
      <c r="Q320" s="10"/>
      <c r="R320" s="10" t="s">
        <v>1044</v>
      </c>
    </row>
    <row r="321" spans="1:19" ht="28.5">
      <c r="A321" s="7" t="s">
        <v>49</v>
      </c>
      <c r="B321" s="95" t="s">
        <v>1045</v>
      </c>
      <c r="C321" s="96"/>
      <c r="D321" s="97">
        <v>45747</v>
      </c>
      <c r="E321" s="98"/>
      <c r="F321" s="99"/>
      <c r="G321" s="99" t="s">
        <v>1046</v>
      </c>
      <c r="H321" s="84" t="s">
        <v>75</v>
      </c>
      <c r="I321" s="84" t="s">
        <v>53</v>
      </c>
      <c r="J321" s="84"/>
      <c r="K321" s="84"/>
      <c r="L321" s="84" t="s">
        <v>782</v>
      </c>
      <c r="M321" s="84" t="s">
        <v>57</v>
      </c>
      <c r="N321" s="84" t="s">
        <v>1047</v>
      </c>
      <c r="O321" s="84"/>
      <c r="P321" s="101"/>
      <c r="Q321" s="99" t="s">
        <v>1048</v>
      </c>
      <c r="R321" s="99" t="s">
        <v>1049</v>
      </c>
    </row>
    <row r="322" spans="1:19">
      <c r="A322" s="7" t="s">
        <v>49</v>
      </c>
      <c r="B322" s="95" t="s">
        <v>1050</v>
      </c>
      <c r="C322" s="96"/>
      <c r="D322" s="97">
        <v>45747</v>
      </c>
      <c r="E322" s="98"/>
      <c r="F322" s="99"/>
      <c r="G322" s="99" t="s">
        <v>1051</v>
      </c>
      <c r="H322" s="84" t="s">
        <v>107</v>
      </c>
      <c r="I322" s="84" t="s">
        <v>53</v>
      </c>
      <c r="J322" s="84"/>
      <c r="K322" s="84"/>
      <c r="L322" s="84" t="s">
        <v>516</v>
      </c>
      <c r="M322" s="84" t="s">
        <v>57</v>
      </c>
      <c r="N322" s="84" t="s">
        <v>3</v>
      </c>
      <c r="O322" s="84"/>
      <c r="P322" s="101">
        <v>45754</v>
      </c>
      <c r="Q322" s="99"/>
      <c r="R322" s="99" t="s">
        <v>1052</v>
      </c>
    </row>
    <row r="323" spans="1:19" ht="28.5">
      <c r="A323" s="7" t="s">
        <v>49</v>
      </c>
      <c r="B323" s="73" t="s">
        <v>1053</v>
      </c>
      <c r="C323" s="96"/>
      <c r="D323" s="75">
        <v>45747</v>
      </c>
      <c r="E323" s="76"/>
      <c r="F323" s="19"/>
      <c r="G323" s="19" t="s">
        <v>1054</v>
      </c>
      <c r="H323" s="17" t="s">
        <v>88</v>
      </c>
      <c r="I323" s="17" t="s">
        <v>1055</v>
      </c>
      <c r="J323" s="17" t="s">
        <v>990</v>
      </c>
      <c r="K323" s="17" t="s">
        <v>72</v>
      </c>
      <c r="L323" s="17" t="s">
        <v>202</v>
      </c>
      <c r="M323" s="17" t="s">
        <v>57</v>
      </c>
      <c r="N323" s="17" t="s">
        <v>144</v>
      </c>
      <c r="O323" s="17"/>
      <c r="P323" s="17"/>
      <c r="Q323" s="19"/>
      <c r="R323" s="19" t="s">
        <v>1056</v>
      </c>
    </row>
    <row r="324" spans="1:19" ht="28.5">
      <c r="A324" s="7" t="s">
        <v>49</v>
      </c>
      <c r="B324" s="73" t="s">
        <v>1057</v>
      </c>
      <c r="C324" s="96"/>
      <c r="D324" s="75">
        <v>45747</v>
      </c>
      <c r="E324" s="76"/>
      <c r="F324" s="19"/>
      <c r="G324" s="19" t="s">
        <v>1058</v>
      </c>
      <c r="H324" s="17" t="s">
        <v>52</v>
      </c>
      <c r="I324" s="17" t="s">
        <v>1055</v>
      </c>
      <c r="J324" s="17" t="s">
        <v>990</v>
      </c>
      <c r="K324" s="17" t="s">
        <v>72</v>
      </c>
      <c r="L324" s="17" t="s">
        <v>820</v>
      </c>
      <c r="M324" s="17" t="s">
        <v>57</v>
      </c>
      <c r="N324" s="17" t="s">
        <v>144</v>
      </c>
      <c r="O324" s="17"/>
      <c r="P324" s="17"/>
      <c r="Q324" s="19"/>
      <c r="R324" s="19" t="s">
        <v>1056</v>
      </c>
    </row>
    <row r="325" spans="1:19" ht="28.5">
      <c r="A325" s="7" t="s">
        <v>49</v>
      </c>
      <c r="B325" s="71" t="s">
        <v>1059</v>
      </c>
      <c r="C325" s="96"/>
      <c r="D325" s="70">
        <v>45748</v>
      </c>
      <c r="E325" s="83"/>
      <c r="F325" s="10"/>
      <c r="G325" s="10" t="s">
        <v>1060</v>
      </c>
      <c r="H325" s="8" t="s">
        <v>75</v>
      </c>
      <c r="I325" s="8" t="s">
        <v>235</v>
      </c>
      <c r="J325" s="8" t="s">
        <v>916</v>
      </c>
      <c r="K325" s="8" t="s">
        <v>72</v>
      </c>
      <c r="L325" s="10" t="s">
        <v>922</v>
      </c>
      <c r="M325" s="8" t="s">
        <v>57</v>
      </c>
      <c r="N325" s="8" t="s">
        <v>58</v>
      </c>
      <c r="O325" s="8"/>
      <c r="P325" s="47"/>
      <c r="Q325" s="87"/>
      <c r="R325" s="10" t="s">
        <v>1061</v>
      </c>
    </row>
    <row r="326" spans="1:19" ht="28.5">
      <c r="A326" s="7" t="s">
        <v>49</v>
      </c>
      <c r="B326" s="73" t="s">
        <v>1062</v>
      </c>
      <c r="C326" s="96"/>
      <c r="D326" s="75">
        <v>45747</v>
      </c>
      <c r="E326" s="76"/>
      <c r="F326" s="19"/>
      <c r="G326" s="19" t="s">
        <v>683</v>
      </c>
      <c r="H326" s="17" t="s">
        <v>66</v>
      </c>
      <c r="I326" s="17" t="s">
        <v>89</v>
      </c>
      <c r="J326" s="17" t="s">
        <v>916</v>
      </c>
      <c r="K326" s="17" t="s">
        <v>72</v>
      </c>
      <c r="L326" s="17" t="s">
        <v>202</v>
      </c>
      <c r="M326" s="17" t="s">
        <v>227</v>
      </c>
      <c r="N326" s="17" t="s">
        <v>144</v>
      </c>
      <c r="O326" s="17"/>
      <c r="P326" s="77"/>
      <c r="Q326" s="78"/>
      <c r="R326" s="19" t="s">
        <v>1063</v>
      </c>
    </row>
    <row r="327" spans="1:19" ht="275.25">
      <c r="A327" s="7" t="s">
        <v>49</v>
      </c>
      <c r="B327" s="95" t="s">
        <v>1064</v>
      </c>
      <c r="C327" s="96"/>
      <c r="D327" s="97">
        <v>45750</v>
      </c>
      <c r="E327" s="98"/>
      <c r="F327" s="99"/>
      <c r="G327" s="99" t="s">
        <v>1065</v>
      </c>
      <c r="H327" s="84" t="s">
        <v>225</v>
      </c>
      <c r="I327" s="84" t="s">
        <v>53</v>
      </c>
      <c r="J327" s="84" t="s">
        <v>671</v>
      </c>
      <c r="K327" s="84" t="s">
        <v>72</v>
      </c>
      <c r="L327" s="84" t="s">
        <v>891</v>
      </c>
      <c r="M327" s="84" t="s">
        <v>57</v>
      </c>
      <c r="N327" s="84" t="s">
        <v>3</v>
      </c>
      <c r="O327" s="84"/>
      <c r="P327" s="23">
        <v>45754</v>
      </c>
      <c r="Q327" s="99"/>
      <c r="R327" s="99" t="s">
        <v>1066</v>
      </c>
    </row>
    <row r="328" spans="1:19" ht="43.5">
      <c r="A328" s="7" t="s">
        <v>171</v>
      </c>
      <c r="B328" s="95" t="s">
        <v>1067</v>
      </c>
      <c r="C328" s="96"/>
      <c r="D328" s="97">
        <v>45750</v>
      </c>
      <c r="E328" s="98"/>
      <c r="F328" s="99"/>
      <c r="G328" s="99" t="s">
        <v>1068</v>
      </c>
      <c r="H328" s="84" t="s">
        <v>75</v>
      </c>
      <c r="I328" s="84" t="s">
        <v>986</v>
      </c>
      <c r="J328" s="84"/>
      <c r="K328" s="84"/>
      <c r="L328" s="84" t="s">
        <v>782</v>
      </c>
      <c r="M328" s="84" t="s">
        <v>227</v>
      </c>
      <c r="N328" s="84" t="s">
        <v>3</v>
      </c>
      <c r="O328" s="84"/>
      <c r="P328" s="84"/>
      <c r="Q328" s="99"/>
      <c r="R328" s="99" t="s">
        <v>1069</v>
      </c>
    </row>
    <row r="329" spans="1:19" ht="188.25">
      <c r="A329" s="7" t="s">
        <v>171</v>
      </c>
      <c r="B329" s="95" t="s">
        <v>1070</v>
      </c>
      <c r="C329" s="96"/>
      <c r="D329" s="97">
        <v>45751</v>
      </c>
      <c r="E329" s="98"/>
      <c r="F329" s="99"/>
      <c r="G329" s="99" t="s">
        <v>1071</v>
      </c>
      <c r="H329" s="84" t="s">
        <v>75</v>
      </c>
      <c r="I329" s="84" t="s">
        <v>67</v>
      </c>
      <c r="J329" s="84" t="s">
        <v>1072</v>
      </c>
      <c r="K329" s="84"/>
      <c r="L329" s="84" t="s">
        <v>782</v>
      </c>
      <c r="M329" s="84" t="s">
        <v>57</v>
      </c>
      <c r="N329" s="84" t="s">
        <v>3</v>
      </c>
      <c r="O329" s="84"/>
      <c r="P329" s="84"/>
      <c r="Q329" s="99"/>
      <c r="R329" s="99" t="s">
        <v>1073</v>
      </c>
    </row>
    <row r="330" spans="1:19" ht="43.5">
      <c r="A330" s="7" t="s">
        <v>171</v>
      </c>
      <c r="B330" s="95" t="s">
        <v>1074</v>
      </c>
      <c r="C330" s="96"/>
      <c r="D330" s="97">
        <v>45751</v>
      </c>
      <c r="E330" s="98"/>
      <c r="F330" s="99"/>
      <c r="G330" s="99" t="s">
        <v>1075</v>
      </c>
      <c r="H330" s="84" t="s">
        <v>225</v>
      </c>
      <c r="I330" s="84" t="s">
        <v>67</v>
      </c>
      <c r="J330" s="84" t="s">
        <v>1072</v>
      </c>
      <c r="K330" s="84"/>
      <c r="L330" s="84" t="s">
        <v>891</v>
      </c>
      <c r="M330" s="84" t="s">
        <v>57</v>
      </c>
      <c r="N330" s="84" t="s">
        <v>3</v>
      </c>
      <c r="O330" s="84"/>
      <c r="P330" s="84"/>
      <c r="Q330" s="99"/>
      <c r="R330" s="99" t="s">
        <v>1076</v>
      </c>
    </row>
    <row r="331" spans="1:19">
      <c r="A331" s="7" t="s">
        <v>49</v>
      </c>
      <c r="B331" s="95" t="s">
        <v>1077</v>
      </c>
      <c r="C331" s="96"/>
      <c r="D331" s="97">
        <v>45751</v>
      </c>
      <c r="E331" s="98"/>
      <c r="F331" s="99"/>
      <c r="G331" s="99" t="s">
        <v>1078</v>
      </c>
      <c r="H331" s="84" t="s">
        <v>1079</v>
      </c>
      <c r="I331" s="84" t="s">
        <v>53</v>
      </c>
      <c r="J331" s="84" t="s">
        <v>561</v>
      </c>
      <c r="K331" s="84" t="s">
        <v>72</v>
      </c>
      <c r="L331" s="84" t="s">
        <v>71</v>
      </c>
      <c r="M331" s="84" t="s">
        <v>57</v>
      </c>
      <c r="N331" s="84" t="s">
        <v>3</v>
      </c>
      <c r="O331" s="84"/>
      <c r="P331" s="84"/>
      <c r="Q331" s="99"/>
      <c r="R331" s="99"/>
    </row>
    <row r="332" spans="1:19" ht="409.5">
      <c r="A332" s="7" t="s">
        <v>49</v>
      </c>
      <c r="B332" s="95" t="s">
        <v>1080</v>
      </c>
      <c r="E332" s="97">
        <v>45754</v>
      </c>
      <c r="F332" s="98"/>
      <c r="G332" s="99" t="s">
        <v>1081</v>
      </c>
      <c r="H332" s="84" t="s">
        <v>52</v>
      </c>
      <c r="I332" s="84" t="s">
        <v>787</v>
      </c>
      <c r="J332" s="84" t="s">
        <v>671</v>
      </c>
      <c r="K332" s="84" t="s">
        <v>72</v>
      </c>
      <c r="L332" s="84"/>
      <c r="M332" s="84" t="s">
        <v>227</v>
      </c>
      <c r="N332" s="84" t="s">
        <v>3</v>
      </c>
      <c r="O332" s="84"/>
      <c r="P332" s="84"/>
      <c r="Q332" s="101">
        <v>45760</v>
      </c>
      <c r="R332" s="99"/>
      <c r="S332" s="99" t="s">
        <v>1082</v>
      </c>
    </row>
  </sheetData>
  <autoFilter ref="A1:R331" xr:uid="{00000000-0009-0000-0000-000001000000}"/>
  <hyperlinks>
    <hyperlink ref="B148" r:id="rId1" xr:uid="{00000000-0004-0000-0100-000000000000}"/>
    <hyperlink ref="B192" r:id="rId2" xr:uid="{00000000-0004-0000-0100-000001000000}"/>
    <hyperlink ref="B216" r:id="rId3" xr:uid="{00000000-0004-0000-0100-000002000000}"/>
    <hyperlink ref="B231" r:id="rId4" xr:uid="{00000000-0004-0000-0100-000003000000}"/>
    <hyperlink ref="B232" r:id="rId5" xr:uid="{00000000-0004-0000-0100-000004000000}"/>
    <hyperlink ref="B233" r:id="rId6" xr:uid="{00000000-0004-0000-0100-000005000000}"/>
    <hyperlink ref="B252" r:id="rId7" xr:uid="{00000000-0004-0000-0100-000006000000}"/>
    <hyperlink ref="B254" r:id="rId8" xr:uid="{00000000-0004-0000-0100-000007000000}"/>
    <hyperlink ref="B259" r:id="rId9" xr:uid="{00000000-0004-0000-0100-000008000000}"/>
    <hyperlink ref="B263" r:id="rId10" xr:uid="{00000000-0004-0000-0100-000009000000}"/>
    <hyperlink ref="B264" r:id="rId11" xr:uid="{00000000-0004-0000-0100-00000A000000}"/>
    <hyperlink ref="B265" r:id="rId12" xr:uid="{00000000-0004-0000-0100-00000B000000}"/>
    <hyperlink ref="B266" r:id="rId13" xr:uid="{00000000-0004-0000-0100-00000C000000}"/>
    <hyperlink ref="B267" r:id="rId14" xr:uid="{00000000-0004-0000-0100-00000D000000}"/>
    <hyperlink ref="B268" r:id="rId15" xr:uid="{00000000-0004-0000-0100-00000E000000}"/>
    <hyperlink ref="B269" r:id="rId16" xr:uid="{00000000-0004-0000-0100-00000F000000}"/>
    <hyperlink ref="B270" r:id="rId17" xr:uid="{00000000-0004-0000-0100-000010000000}"/>
    <hyperlink ref="B271" r:id="rId18" xr:uid="{00000000-0004-0000-0100-000011000000}"/>
    <hyperlink ref="B272" r:id="rId19" xr:uid="{00000000-0004-0000-0100-000012000000}"/>
    <hyperlink ref="B273" r:id="rId20" xr:uid="{00000000-0004-0000-0100-000013000000}"/>
    <hyperlink ref="B276" r:id="rId21" xr:uid="{00000000-0004-0000-0100-000014000000}"/>
    <hyperlink ref="B278" r:id="rId22" xr:uid="{00000000-0004-0000-0100-000015000000}"/>
    <hyperlink ref="B280" r:id="rId23" xr:uid="{00000000-0004-0000-0100-000016000000}"/>
    <hyperlink ref="B284" r:id="rId24" xr:uid="{00000000-0004-0000-0100-000017000000}"/>
    <hyperlink ref="B288" r:id="rId25" xr:uid="{00000000-0004-0000-0100-000018000000}"/>
    <hyperlink ref="B289" r:id="rId26" xr:uid="{00000000-0004-0000-0100-000019000000}"/>
    <hyperlink ref="B290" r:id="rId27" xr:uid="{00000000-0004-0000-0100-00001A000000}"/>
    <hyperlink ref="B292" r:id="rId28" xr:uid="{00000000-0004-0000-0100-00001B000000}"/>
    <hyperlink ref="B293" r:id="rId29" xr:uid="{00000000-0004-0000-0100-00001C000000}"/>
    <hyperlink ref="B294" r:id="rId30" xr:uid="{00000000-0004-0000-0100-00001D000000}"/>
    <hyperlink ref="B295" r:id="rId31" xr:uid="{00000000-0004-0000-0100-00001E000000}"/>
    <hyperlink ref="B296" r:id="rId32" xr:uid="{00000000-0004-0000-0100-00001F000000}"/>
    <hyperlink ref="B297" r:id="rId33" xr:uid="{00000000-0004-0000-0100-000020000000}"/>
    <hyperlink ref="B298" r:id="rId34" xr:uid="{00000000-0004-0000-0100-000021000000}"/>
    <hyperlink ref="B299" r:id="rId35" xr:uid="{00000000-0004-0000-0100-000022000000}"/>
    <hyperlink ref="B302" r:id="rId36" xr:uid="{00000000-0004-0000-0100-000023000000}"/>
    <hyperlink ref="B305" r:id="rId37" xr:uid="{00000000-0004-0000-0100-000024000000}"/>
    <hyperlink ref="B306" r:id="rId38" xr:uid="{00000000-0004-0000-0100-000025000000}"/>
    <hyperlink ref="B307" r:id="rId39" xr:uid="{00000000-0004-0000-0100-000026000000}"/>
    <hyperlink ref="B308" r:id="rId40" xr:uid="{00000000-0004-0000-0100-000027000000}"/>
    <hyperlink ref="B309" r:id="rId41" xr:uid="{00000000-0004-0000-0100-000028000000}"/>
    <hyperlink ref="B310" r:id="rId42" xr:uid="{00000000-0004-0000-0100-000029000000}"/>
    <hyperlink ref="B312" r:id="rId43" xr:uid="{00000000-0004-0000-0100-00002A000000}"/>
    <hyperlink ref="B313" r:id="rId44" xr:uid="{00000000-0004-0000-0100-00002B000000}"/>
    <hyperlink ref="B315" r:id="rId45" xr:uid="{00000000-0004-0000-0100-00002C000000}"/>
    <hyperlink ref="B317" r:id="rId46" xr:uid="{00000000-0004-0000-0100-00002D000000}"/>
    <hyperlink ref="B320" r:id="rId47" xr:uid="{00000000-0004-0000-0100-00002E000000}"/>
    <hyperlink ref="B321" r:id="rId48" xr:uid="{00000000-0004-0000-0100-00002F000000}"/>
    <hyperlink ref="B322" r:id="rId49" xr:uid="{00000000-0004-0000-0100-000030000000}"/>
    <hyperlink ref="B323" r:id="rId50" xr:uid="{00000000-0004-0000-0100-000031000000}"/>
    <hyperlink ref="B324" r:id="rId51" xr:uid="{00000000-0004-0000-0100-000032000000}"/>
    <hyperlink ref="B327" r:id="rId52" xr:uid="{00000000-0004-0000-0100-000033000000}"/>
    <hyperlink ref="B328" r:id="rId53" xr:uid="{00000000-0004-0000-0100-000034000000}"/>
    <hyperlink ref="B329" r:id="rId54" xr:uid="{00000000-0004-0000-0100-000035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F0E4-8DD0-434B-8C41-7CB750E5EB2A}">
  <dimension ref="A3:J9"/>
  <sheetViews>
    <sheetView workbookViewId="0">
      <selection activeCell="B12" sqref="B12"/>
    </sheetView>
  </sheetViews>
  <sheetFormatPr defaultRowHeight="15"/>
  <cols>
    <col min="1" max="1" width="25.7109375" bestFit="1" customWidth="1"/>
    <col min="2" max="2" width="10.28515625" bestFit="1" customWidth="1"/>
    <col min="3" max="3" width="11.28515625" bestFit="1" customWidth="1"/>
    <col min="4" max="4" width="10.42578125" bestFit="1" customWidth="1"/>
    <col min="5" max="5" width="17.42578125" bestFit="1" customWidth="1"/>
    <col min="6" max="6" width="14.140625" bestFit="1" customWidth="1"/>
    <col min="7" max="7" width="12.85546875" bestFit="1" customWidth="1"/>
    <col min="8" max="8" width="11" bestFit="1" customWidth="1"/>
    <col min="9" max="9" width="3.85546875" bestFit="1" customWidth="1"/>
    <col min="10" max="10" width="12.85546875" bestFit="1" customWidth="1"/>
    <col min="11" max="11" width="18.85546875" bestFit="1" customWidth="1"/>
    <col min="12" max="12" width="16.85546875" bestFit="1" customWidth="1"/>
    <col min="13" max="13" width="18.85546875" bestFit="1" customWidth="1"/>
    <col min="14" max="14" width="16.85546875" bestFit="1" customWidth="1"/>
    <col min="15" max="15" width="18.85546875" bestFit="1" customWidth="1"/>
    <col min="16" max="16" width="16.85546875" bestFit="1" customWidth="1"/>
    <col min="17" max="17" width="18.85546875" bestFit="1" customWidth="1"/>
    <col min="18" max="18" width="22.140625" bestFit="1" customWidth="1"/>
    <col min="19" max="19" width="24" bestFit="1" customWidth="1"/>
  </cols>
  <sheetData>
    <row r="3" spans="1:10">
      <c r="A3" s="393" t="s">
        <v>1083</v>
      </c>
      <c r="B3" s="393" t="s">
        <v>0</v>
      </c>
    </row>
    <row r="4" spans="1:10">
      <c r="A4" s="393" t="s">
        <v>1084</v>
      </c>
      <c r="B4" t="s">
        <v>28</v>
      </c>
      <c r="C4" t="s">
        <v>30</v>
      </c>
      <c r="D4" t="s">
        <v>26</v>
      </c>
      <c r="E4" t="s">
        <v>14</v>
      </c>
      <c r="F4" t="s">
        <v>24</v>
      </c>
      <c r="G4" t="s">
        <v>8</v>
      </c>
      <c r="H4" t="s">
        <v>32</v>
      </c>
      <c r="I4" t="s">
        <v>10</v>
      </c>
      <c r="J4" t="s">
        <v>1085</v>
      </c>
    </row>
    <row r="5" spans="1:10">
      <c r="A5" t="s">
        <v>1086</v>
      </c>
      <c r="D5">
        <v>0</v>
      </c>
      <c r="J5">
        <v>0</v>
      </c>
    </row>
    <row r="6" spans="1:10">
      <c r="A6" t="s">
        <v>1087</v>
      </c>
      <c r="C6">
        <v>287</v>
      </c>
      <c r="D6">
        <v>476</v>
      </c>
      <c r="F6">
        <v>32</v>
      </c>
      <c r="H6">
        <v>304</v>
      </c>
      <c r="I6">
        <v>0</v>
      </c>
      <c r="J6">
        <v>1099</v>
      </c>
    </row>
    <row r="7" spans="1:10">
      <c r="A7" t="s">
        <v>1088</v>
      </c>
      <c r="B7">
        <v>40</v>
      </c>
      <c r="C7" s="793">
        <v>899</v>
      </c>
      <c r="D7" s="794">
        <v>2280</v>
      </c>
      <c r="F7">
        <v>0</v>
      </c>
      <c r="G7" s="793">
        <v>1268</v>
      </c>
      <c r="I7">
        <v>0</v>
      </c>
      <c r="J7">
        <v>4487</v>
      </c>
    </row>
    <row r="8" spans="1:10">
      <c r="A8" t="s">
        <v>1089</v>
      </c>
      <c r="C8">
        <v>28</v>
      </c>
      <c r="D8">
        <v>36</v>
      </c>
      <c r="G8">
        <v>0</v>
      </c>
      <c r="J8">
        <v>64</v>
      </c>
    </row>
    <row r="9" spans="1:10">
      <c r="A9" t="s">
        <v>1085</v>
      </c>
      <c r="B9">
        <v>40</v>
      </c>
      <c r="C9">
        <v>1214</v>
      </c>
      <c r="D9">
        <v>2792</v>
      </c>
      <c r="F9">
        <v>32</v>
      </c>
      <c r="G9">
        <v>1268</v>
      </c>
      <c r="H9">
        <v>304</v>
      </c>
      <c r="I9">
        <v>0</v>
      </c>
      <c r="J9">
        <v>5650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AJ910"/>
  <sheetViews>
    <sheetView tabSelected="1" zoomScaleNormal="100" workbookViewId="0">
      <pane xSplit="1" topLeftCell="O1" activePane="topRight" state="frozen"/>
      <selection pane="topRight" activeCell="A57" sqref="A57"/>
    </sheetView>
  </sheetViews>
  <sheetFormatPr defaultColWidth="10.28515625" defaultRowHeight="15"/>
  <cols>
    <col min="1" max="1" width="16" style="395" bestFit="1" customWidth="1"/>
    <col min="2" max="2" width="19.140625" style="395" bestFit="1" customWidth="1"/>
    <col min="3" max="3" width="15.7109375" style="395" bestFit="1" customWidth="1"/>
    <col min="4" max="4" width="20.140625" style="348" bestFit="1" customWidth="1"/>
    <col min="5" max="5" width="31.7109375" style="216" customWidth="1"/>
    <col min="6" max="6" width="85.140625" style="205" customWidth="1"/>
    <col min="7" max="7" width="20.5703125" style="201" bestFit="1" customWidth="1"/>
    <col min="8" max="8" width="19.85546875" style="216" bestFit="1" customWidth="1"/>
    <col min="9" max="9" width="31.7109375" style="202" bestFit="1" customWidth="1"/>
    <col min="10" max="10" width="6.85546875" style="206" customWidth="1"/>
    <col min="11" max="11" width="19.28515625" style="202" bestFit="1" customWidth="1"/>
    <col min="12" max="12" width="17.7109375" style="207" hidden="1" customWidth="1"/>
    <col min="13" max="13" width="22" style="207" hidden="1" customWidth="1"/>
    <col min="14" max="14" width="21.7109375" style="207" hidden="1" customWidth="1"/>
    <col min="15" max="15" width="43.140625" style="213" customWidth="1"/>
    <col min="16" max="16" width="23.7109375" style="213" customWidth="1"/>
    <col min="17" max="17" width="67.140625" style="208" customWidth="1"/>
    <col min="18" max="18" width="9.7109375" style="201" customWidth="1"/>
    <col min="19" max="20" width="12.42578125" style="201" customWidth="1"/>
    <col min="21" max="21" width="10.7109375" style="201" customWidth="1"/>
    <col min="22" max="22" width="17" style="201" customWidth="1"/>
    <col min="23" max="23" width="13" style="446" customWidth="1"/>
    <col min="24" max="24" width="10.28515625" style="426"/>
    <col min="25" max="26" width="12.42578125" style="426" bestFit="1" customWidth="1"/>
    <col min="27" max="27" width="15.42578125" style="196" bestFit="1" customWidth="1"/>
    <col min="28" max="28" width="22.85546875" style="197" bestFit="1" customWidth="1"/>
    <col min="29" max="29" width="14" style="197" bestFit="1" customWidth="1"/>
    <col min="30" max="16384" width="10.28515625" style="203"/>
  </cols>
  <sheetData>
    <row r="1" spans="1:36" ht="66" customHeight="1">
      <c r="A1" s="294" t="s">
        <v>1090</v>
      </c>
      <c r="B1" s="294" t="s">
        <v>1084</v>
      </c>
      <c r="C1" s="294" t="s">
        <v>1091</v>
      </c>
      <c r="D1" s="293" t="s">
        <v>1092</v>
      </c>
      <c r="E1" s="403" t="s">
        <v>1093</v>
      </c>
      <c r="F1" s="403" t="s">
        <v>1094</v>
      </c>
      <c r="G1" s="403" t="s">
        <v>1095</v>
      </c>
      <c r="H1" s="403" t="s">
        <v>41</v>
      </c>
      <c r="I1" s="408" t="s">
        <v>1096</v>
      </c>
      <c r="J1" s="402" t="s">
        <v>1097</v>
      </c>
      <c r="K1" s="408" t="s">
        <v>0</v>
      </c>
      <c r="L1" s="292" t="s">
        <v>1098</v>
      </c>
      <c r="M1" s="292" t="s">
        <v>1099</v>
      </c>
      <c r="N1" s="292" t="s">
        <v>1100</v>
      </c>
      <c r="O1" s="408" t="s">
        <v>1101</v>
      </c>
      <c r="P1" s="408" t="s">
        <v>1102</v>
      </c>
      <c r="Q1" s="403" t="s">
        <v>1103</v>
      </c>
      <c r="R1" s="279" t="s">
        <v>1104</v>
      </c>
      <c r="S1" s="279" t="s">
        <v>1105</v>
      </c>
      <c r="T1" s="279" t="s">
        <v>1106</v>
      </c>
      <c r="U1" s="279" t="s">
        <v>1107</v>
      </c>
      <c r="V1" s="279" t="s">
        <v>1108</v>
      </c>
      <c r="W1" s="278" t="s">
        <v>1109</v>
      </c>
      <c r="X1" s="416" t="s">
        <v>1110</v>
      </c>
      <c r="Y1" s="417" t="s">
        <v>1111</v>
      </c>
      <c r="Z1" s="417" t="s">
        <v>1112</v>
      </c>
      <c r="AA1" s="280" t="s">
        <v>1113</v>
      </c>
      <c r="AB1" s="280" t="s">
        <v>1114</v>
      </c>
      <c r="AC1" s="281" t="s">
        <v>1115</v>
      </c>
      <c r="AD1" s="248"/>
      <c r="AE1" s="248"/>
      <c r="AF1" s="248"/>
      <c r="AG1" s="248"/>
      <c r="AH1" s="248"/>
      <c r="AI1" s="248"/>
      <c r="AJ1" s="203" t="s">
        <v>1116</v>
      </c>
    </row>
    <row r="2" spans="1:36" ht="66" hidden="1" customHeight="1">
      <c r="A2" s="708" t="s">
        <v>1117</v>
      </c>
      <c r="B2" s="709" t="s">
        <v>1087</v>
      </c>
      <c r="C2" s="710" t="s">
        <v>1118</v>
      </c>
      <c r="D2" s="711">
        <v>46142</v>
      </c>
      <c r="E2" s="712" t="s">
        <v>1119</v>
      </c>
      <c r="F2" s="712" t="s">
        <v>1120</v>
      </c>
      <c r="G2" s="713"/>
      <c r="H2" s="714" t="s">
        <v>235</v>
      </c>
      <c r="I2" s="713"/>
      <c r="J2" s="715"/>
      <c r="K2" s="713" t="s">
        <v>14</v>
      </c>
      <c r="L2" s="711"/>
      <c r="M2" s="711"/>
      <c r="N2" s="711"/>
      <c r="O2" s="716"/>
      <c r="P2" s="716"/>
      <c r="Q2" s="717"/>
      <c r="R2" s="718"/>
      <c r="S2" s="718"/>
      <c r="T2" s="718"/>
      <c r="U2" s="718"/>
      <c r="V2" s="718"/>
      <c r="W2" s="719"/>
      <c r="X2" s="713"/>
      <c r="Y2" s="615"/>
      <c r="Z2" s="615"/>
      <c r="AA2" s="616" t="str">
        <f>_xlfn.XLOOKUP(Backlog[[#This Row],[Estado]],CatEstados[Estado],CatEstados[Fase],"Otro")</f>
        <v>Implementación</v>
      </c>
      <c r="AB2" s="616"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 s="617" t="e">
        <f ca="1">IF(OR(#REF!="",NOT(ISNUMBER(Backlog[[#This Row],[Dias_abiertos]]))),"",IF(Backlog[[#This Row],[Dias_abiertos]]&lt;=7,"En plazo",IFERROR(IF(Backlog[[#This Row],[Dias_abiertos]]=_xlfn.XLOOKUP(TRIM(#REF!),CatSLA[Prioridad],CatSLA[SLA_dias],""),"En plazo","Fuera de plazo"),"Sin SLA")))</f>
        <v>#REF!</v>
      </c>
      <c r="AD2" s="248"/>
      <c r="AE2" s="248"/>
      <c r="AF2" s="248"/>
      <c r="AG2" s="248"/>
      <c r="AH2" s="248"/>
      <c r="AI2" s="248"/>
    </row>
    <row r="3" spans="1:36" ht="66" hidden="1" customHeight="1">
      <c r="A3" s="708" t="s">
        <v>1121</v>
      </c>
      <c r="B3" s="709" t="s">
        <v>1087</v>
      </c>
      <c r="C3" s="710" t="s">
        <v>1118</v>
      </c>
      <c r="D3" s="711">
        <v>46149</v>
      </c>
      <c r="E3" s="712" t="s">
        <v>1122</v>
      </c>
      <c r="F3" s="712" t="s">
        <v>1123</v>
      </c>
      <c r="G3" s="713" t="s">
        <v>88</v>
      </c>
      <c r="H3" s="723" t="s">
        <v>1124</v>
      </c>
      <c r="I3" s="713" t="s">
        <v>1125</v>
      </c>
      <c r="J3" s="715"/>
      <c r="K3" s="713" t="s">
        <v>32</v>
      </c>
      <c r="L3" s="711"/>
      <c r="M3" s="711"/>
      <c r="N3" s="711"/>
      <c r="O3" s="716"/>
      <c r="P3" s="716"/>
      <c r="Q3" s="717"/>
      <c r="R3" s="718"/>
      <c r="S3" s="718"/>
      <c r="T3" s="718"/>
      <c r="U3" s="718"/>
      <c r="V3" s="718"/>
      <c r="W3" s="719"/>
      <c r="X3" s="713"/>
      <c r="Y3" s="720"/>
      <c r="Z3" s="720"/>
      <c r="AA3" s="721" t="str">
        <f>_xlfn.XLOOKUP(Backlog[[#This Row],[Estado]],CatEstados[Estado],CatEstados[Fase],"Otro")</f>
        <v>Por hacer</v>
      </c>
      <c r="AB3" s="721"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 s="722" t="e">
        <f ca="1">IF(OR(#REF!="",NOT(ISNUMBER(Backlog[[#This Row],[Dias_abiertos]]))),"",IF(Backlog[[#This Row],[Dias_abiertos]]&lt;=7,"En plazo",IFERROR(IF(Backlog[[#This Row],[Dias_abiertos]]=_xlfn.XLOOKUP(TRIM(#REF!),CatSLA[Prioridad],CatSLA[SLA_dias],""),"En plazo","Fuera de plazo"),"Sin SLA")))</f>
        <v>#REF!</v>
      </c>
      <c r="AD3" s="248"/>
      <c r="AE3" s="248"/>
      <c r="AF3" s="248"/>
      <c r="AG3" s="248"/>
      <c r="AH3" s="248"/>
      <c r="AI3" s="248"/>
    </row>
    <row r="4" spans="1:36" ht="45.75" hidden="1">
      <c r="A4" s="572" t="s">
        <v>1126</v>
      </c>
      <c r="B4" s="573" t="s">
        <v>1089</v>
      </c>
      <c r="C4" s="574" t="s">
        <v>1127</v>
      </c>
      <c r="D4" s="575">
        <v>46140</v>
      </c>
      <c r="E4" s="576" t="s">
        <v>1128</v>
      </c>
      <c r="F4" s="576" t="s">
        <v>1129</v>
      </c>
      <c r="G4" s="404"/>
      <c r="H4" s="577" t="s">
        <v>235</v>
      </c>
      <c r="I4" s="404"/>
      <c r="J4" s="578"/>
      <c r="K4" s="705" t="s">
        <v>30</v>
      </c>
      <c r="L4" s="575"/>
      <c r="M4" s="575"/>
      <c r="N4" s="575"/>
      <c r="O4" s="579"/>
      <c r="P4" s="579"/>
      <c r="Q4" s="532"/>
      <c r="R4" s="404"/>
      <c r="S4" s="404"/>
      <c r="T4" s="404"/>
      <c r="U4" s="404"/>
      <c r="V4" s="404"/>
      <c r="W4" s="404"/>
      <c r="X4" s="424"/>
      <c r="Y4" s="418"/>
      <c r="Z4" s="418"/>
      <c r="AA4" s="196" t="str">
        <f>_xlfn.XLOOKUP(Backlog[[#This Row],[Estado]],CatEstados[Estado],CatEstados[Fase],"Otro")</f>
        <v>Por hacer</v>
      </c>
      <c r="AB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 s="275" t="e">
        <f ca="1">IF(OR(#REF!="",NOT(ISNUMBER(Backlog[[#This Row],[Dias_abiertos]]))),"",IF(Backlog[[#This Row],[Dias_abiertos]]&lt;=7,"En plazo",IFERROR(IF(Backlog[[#This Row],[Dias_abiertos]]=_xlfn.XLOOKUP(TRIM(#REF!),CatSLA[Prioridad],CatSLA[SLA_dias],""),"En plazo","Fuera de plazo"),"Sin SLA")))</f>
        <v>#REF!</v>
      </c>
      <c r="AD4" s="248"/>
      <c r="AE4" s="248"/>
      <c r="AF4" s="248"/>
      <c r="AG4" s="248"/>
      <c r="AH4" s="248"/>
      <c r="AI4" s="248"/>
    </row>
    <row r="5" spans="1:36" ht="121.5" hidden="1">
      <c r="A5" s="572" t="s">
        <v>1130</v>
      </c>
      <c r="B5" s="573" t="s">
        <v>1089</v>
      </c>
      <c r="C5" s="574" t="s">
        <v>1127</v>
      </c>
      <c r="D5" s="575">
        <v>46140</v>
      </c>
      <c r="E5" s="576" t="s">
        <v>1131</v>
      </c>
      <c r="F5" s="576" t="s">
        <v>1132</v>
      </c>
      <c r="G5" s="404"/>
      <c r="H5" s="577" t="s">
        <v>235</v>
      </c>
      <c r="I5" s="404"/>
      <c r="J5" s="578"/>
      <c r="K5" s="705" t="s">
        <v>30</v>
      </c>
      <c r="L5" s="575"/>
      <c r="M5" s="575"/>
      <c r="N5" s="575"/>
      <c r="O5" s="579"/>
      <c r="P5" s="579"/>
      <c r="Q5" s="532"/>
      <c r="R5" s="404"/>
      <c r="S5" s="404"/>
      <c r="T5" s="404"/>
      <c r="U5" s="404"/>
      <c r="V5" s="404"/>
      <c r="W5" s="404"/>
      <c r="X5" s="424"/>
      <c r="Y5" s="418"/>
      <c r="Z5" s="418"/>
      <c r="AA5" s="196" t="str">
        <f>_xlfn.XLOOKUP(Backlog[[#This Row],[Estado]],CatEstados[Estado],CatEstados[Fase],"Otro")</f>
        <v>Por hacer</v>
      </c>
      <c r="AB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 s="275" t="e">
        <f ca="1">IF(OR(#REF!="",NOT(ISNUMBER(Backlog[[#This Row],[Dias_abiertos]]))),"",IF(Backlog[[#This Row],[Dias_abiertos]]&lt;=7,"En plazo",IFERROR(IF(Backlog[[#This Row],[Dias_abiertos]]=_xlfn.XLOOKUP(TRIM(#REF!),CatSLA[Prioridad],CatSLA[SLA_dias],""),"En plazo","Fuera de plazo"),"Sin SLA")))</f>
        <v>#REF!</v>
      </c>
      <c r="AD5" s="248"/>
      <c r="AE5" s="248"/>
      <c r="AF5" s="248"/>
      <c r="AG5" s="248"/>
      <c r="AH5" s="248"/>
      <c r="AI5" s="248"/>
    </row>
    <row r="6" spans="1:36" ht="60.75" hidden="1">
      <c r="A6" s="572" t="s">
        <v>1133</v>
      </c>
      <c r="B6" s="573" t="s">
        <v>1089</v>
      </c>
      <c r="C6" s="574" t="s">
        <v>1127</v>
      </c>
      <c r="D6" s="575">
        <v>46140</v>
      </c>
      <c r="E6" s="576" t="s">
        <v>1134</v>
      </c>
      <c r="F6" s="576" t="s">
        <v>1135</v>
      </c>
      <c r="G6" s="404"/>
      <c r="H6" s="577" t="s">
        <v>235</v>
      </c>
      <c r="I6" s="404"/>
      <c r="J6" s="578"/>
      <c r="K6" s="705" t="s">
        <v>30</v>
      </c>
      <c r="L6" s="575"/>
      <c r="M6" s="575"/>
      <c r="N6" s="575"/>
      <c r="O6" s="579"/>
      <c r="P6" s="579"/>
      <c r="Q6" s="580"/>
      <c r="R6" s="404"/>
      <c r="S6" s="404"/>
      <c r="T6" s="404"/>
      <c r="U6" s="404"/>
      <c r="V6" s="404"/>
      <c r="W6" s="404"/>
      <c r="X6" s="424"/>
      <c r="Y6" s="418"/>
      <c r="Z6" s="418"/>
      <c r="AA6" s="196" t="str">
        <f>_xlfn.XLOOKUP(Backlog[[#This Row],[Estado]],CatEstados[Estado],CatEstados[Fase],"Otro")</f>
        <v>Por hacer</v>
      </c>
      <c r="AB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 s="275" t="e">
        <f ca="1">IF(OR(#REF!="",NOT(ISNUMBER(Backlog[[#This Row],[Dias_abiertos]]))),"",IF(Backlog[[#This Row],[Dias_abiertos]]&lt;=7,"En plazo",IFERROR(IF(Backlog[[#This Row],[Dias_abiertos]]=_xlfn.XLOOKUP(TRIM(#REF!),CatSLA[Prioridad],CatSLA[SLA_dias],""),"En plazo","Fuera de plazo"),"Sin SLA")))</f>
        <v>#REF!</v>
      </c>
      <c r="AD6" s="248"/>
      <c r="AE6" s="248"/>
      <c r="AF6" s="248"/>
      <c r="AG6" s="248"/>
      <c r="AH6" s="248"/>
      <c r="AI6" s="248"/>
    </row>
    <row r="7" spans="1:36" ht="76.5" hidden="1">
      <c r="A7" s="572" t="s">
        <v>1136</v>
      </c>
      <c r="B7" s="573" t="s">
        <v>1089</v>
      </c>
      <c r="C7" s="574" t="s">
        <v>1127</v>
      </c>
      <c r="D7" s="575">
        <v>46140</v>
      </c>
      <c r="E7" s="576" t="s">
        <v>1137</v>
      </c>
      <c r="F7" s="576" t="s">
        <v>1138</v>
      </c>
      <c r="G7" s="404"/>
      <c r="H7" s="577" t="s">
        <v>235</v>
      </c>
      <c r="I7" s="404"/>
      <c r="J7" s="578"/>
      <c r="K7" s="705" t="s">
        <v>30</v>
      </c>
      <c r="L7" s="575"/>
      <c r="M7" s="575"/>
      <c r="N7" s="575"/>
      <c r="O7" s="579"/>
      <c r="P7" s="579"/>
      <c r="Q7" s="532"/>
      <c r="R7" s="404"/>
      <c r="S7" s="404"/>
      <c r="T7" s="404"/>
      <c r="U7" s="404"/>
      <c r="V7" s="404"/>
      <c r="W7" s="404"/>
      <c r="X7" s="424"/>
      <c r="Y7" s="418"/>
      <c r="Z7" s="418"/>
      <c r="AA7" s="196" t="str">
        <f>_xlfn.XLOOKUP(Backlog[[#This Row],[Estado]],CatEstados[Estado],CatEstados[Fase],"Otro")</f>
        <v>Por hacer</v>
      </c>
      <c r="AB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 s="275" t="e">
        <f ca="1">IF(OR(#REF!="",NOT(ISNUMBER(Backlog[[#This Row],[Dias_abiertos]]))),"",IF(Backlog[[#This Row],[Dias_abiertos]]&lt;=7,"En plazo",IFERROR(IF(Backlog[[#This Row],[Dias_abiertos]]=_xlfn.XLOOKUP(TRIM(#REF!),CatSLA[Prioridad],CatSLA[SLA_dias],""),"En plazo","Fuera de plazo"),"Sin SLA")))</f>
        <v>#REF!</v>
      </c>
      <c r="AD7" s="248"/>
      <c r="AE7" s="248"/>
      <c r="AF7" s="248"/>
      <c r="AG7" s="248"/>
      <c r="AH7" s="248"/>
      <c r="AI7" s="248"/>
    </row>
    <row r="8" spans="1:36" ht="60.75" hidden="1">
      <c r="A8" s="572" t="s">
        <v>1139</v>
      </c>
      <c r="B8" s="573" t="s">
        <v>1089</v>
      </c>
      <c r="C8" s="574" t="s">
        <v>1127</v>
      </c>
      <c r="D8" s="575">
        <v>46140</v>
      </c>
      <c r="E8" s="576" t="s">
        <v>1140</v>
      </c>
      <c r="F8" s="576" t="s">
        <v>1141</v>
      </c>
      <c r="G8" s="404"/>
      <c r="H8" s="577" t="s">
        <v>235</v>
      </c>
      <c r="I8" s="404"/>
      <c r="J8" s="578"/>
      <c r="K8" s="705" t="s">
        <v>30</v>
      </c>
      <c r="L8" s="575"/>
      <c r="M8" s="575"/>
      <c r="N8" s="575"/>
      <c r="O8" s="579"/>
      <c r="P8" s="579"/>
      <c r="Q8" s="580"/>
      <c r="R8" s="404"/>
      <c r="S8" s="404"/>
      <c r="T8" s="404"/>
      <c r="U8" s="404"/>
      <c r="V8" s="404"/>
      <c r="W8" s="404"/>
      <c r="X8" s="424"/>
      <c r="Y8" s="418"/>
      <c r="Z8" s="418"/>
      <c r="AA8" s="196" t="str">
        <f>_xlfn.XLOOKUP(Backlog[[#This Row],[Estado]],CatEstados[Estado],CatEstados[Fase],"Otro")</f>
        <v>Por hacer</v>
      </c>
      <c r="AB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 s="275" t="e">
        <f ca="1">IF(OR(#REF!="",NOT(ISNUMBER(Backlog[[#This Row],[Dias_abiertos]]))),"",IF(Backlog[[#This Row],[Dias_abiertos]]&lt;=7,"En plazo",IFERROR(IF(Backlog[[#This Row],[Dias_abiertos]]=_xlfn.XLOOKUP(TRIM(#REF!),CatSLA[Prioridad],CatSLA[SLA_dias],""),"En plazo","Fuera de plazo"),"Sin SLA")))</f>
        <v>#REF!</v>
      </c>
      <c r="AD8" s="248"/>
      <c r="AE8" s="248"/>
      <c r="AF8" s="248"/>
      <c r="AG8" s="248"/>
      <c r="AH8" s="248"/>
      <c r="AI8" s="248"/>
    </row>
    <row r="9" spans="1:36" ht="213" hidden="1">
      <c r="A9" s="572" t="s">
        <v>1142</v>
      </c>
      <c r="B9" s="573" t="s">
        <v>1089</v>
      </c>
      <c r="C9" s="574" t="s">
        <v>1127</v>
      </c>
      <c r="D9" s="575">
        <v>46140</v>
      </c>
      <c r="E9" s="576" t="s">
        <v>1143</v>
      </c>
      <c r="F9" s="576" t="s">
        <v>1144</v>
      </c>
      <c r="G9" s="404"/>
      <c r="H9" s="577" t="s">
        <v>235</v>
      </c>
      <c r="I9" s="404"/>
      <c r="J9" s="578"/>
      <c r="K9" s="705" t="s">
        <v>30</v>
      </c>
      <c r="L9" s="575"/>
      <c r="M9" s="575"/>
      <c r="N9" s="575"/>
      <c r="O9" s="579"/>
      <c r="P9" s="579"/>
      <c r="Q9" s="532"/>
      <c r="R9" s="404"/>
      <c r="S9" s="404"/>
      <c r="T9" s="404"/>
      <c r="U9" s="404"/>
      <c r="V9" s="404"/>
      <c r="W9" s="404"/>
      <c r="X9" s="424"/>
      <c r="Y9" s="418"/>
      <c r="Z9" s="418"/>
      <c r="AA9" s="196" t="str">
        <f>_xlfn.XLOOKUP(Backlog[[#This Row],[Estado]],CatEstados[Estado],CatEstados[Fase],"Otro")</f>
        <v>Por hacer</v>
      </c>
      <c r="AB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 s="275" t="e">
        <f ca="1">IF(OR(#REF!="",NOT(ISNUMBER(Backlog[[#This Row],[Dias_abiertos]]))),"",IF(Backlog[[#This Row],[Dias_abiertos]]&lt;=7,"En plazo",IFERROR(IF(Backlog[[#This Row],[Dias_abiertos]]=_xlfn.XLOOKUP(TRIM(#REF!),CatSLA[Prioridad],CatSLA[SLA_dias],""),"En plazo","Fuera de plazo"),"Sin SLA")))</f>
        <v>#REF!</v>
      </c>
      <c r="AD9" s="248"/>
      <c r="AE9" s="248"/>
      <c r="AF9" s="248"/>
      <c r="AG9" s="248"/>
      <c r="AH9" s="248"/>
      <c r="AI9" s="248"/>
    </row>
    <row r="10" spans="1:36" ht="60.75" hidden="1">
      <c r="A10" s="572" t="s">
        <v>1145</v>
      </c>
      <c r="B10" s="573" t="s">
        <v>1089</v>
      </c>
      <c r="C10" s="574" t="s">
        <v>1127</v>
      </c>
      <c r="D10" s="575">
        <v>46140</v>
      </c>
      <c r="E10" s="576" t="s">
        <v>1146</v>
      </c>
      <c r="F10" s="576" t="s">
        <v>1147</v>
      </c>
      <c r="G10" s="404"/>
      <c r="H10" s="577" t="s">
        <v>235</v>
      </c>
      <c r="I10" s="404"/>
      <c r="J10" s="578"/>
      <c r="K10" s="705" t="s">
        <v>30</v>
      </c>
      <c r="L10" s="575"/>
      <c r="M10" s="575"/>
      <c r="N10" s="575"/>
      <c r="O10" s="579"/>
      <c r="P10" s="579"/>
      <c r="Q10" s="580"/>
      <c r="R10" s="404"/>
      <c r="S10" s="404"/>
      <c r="T10" s="404"/>
      <c r="U10" s="404"/>
      <c r="V10" s="404"/>
      <c r="W10" s="404"/>
      <c r="X10" s="424"/>
      <c r="Y10" s="418"/>
      <c r="Z10" s="418"/>
      <c r="AA10" s="196" t="str">
        <f>_xlfn.XLOOKUP(Backlog[[#This Row],[Estado]],CatEstados[Estado],CatEstados[Fase],"Otro")</f>
        <v>Por hacer</v>
      </c>
      <c r="AB1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 s="275" t="e">
        <f ca="1">IF(OR(#REF!="",NOT(ISNUMBER(Backlog[[#This Row],[Dias_abiertos]]))),"",IF(Backlog[[#This Row],[Dias_abiertos]]&lt;=7,"En plazo",IFERROR(IF(Backlog[[#This Row],[Dias_abiertos]]=_xlfn.XLOOKUP(TRIM(#REF!),CatSLA[Prioridad],CatSLA[SLA_dias],""),"En plazo","Fuera de plazo"),"Sin SLA")))</f>
        <v>#REF!</v>
      </c>
      <c r="AD10" s="248"/>
      <c r="AE10" s="248"/>
      <c r="AF10" s="248"/>
      <c r="AG10" s="248"/>
      <c r="AH10" s="248"/>
      <c r="AI10" s="248"/>
    </row>
    <row r="11" spans="1:36" ht="396.75" hidden="1">
      <c r="A11" s="572" t="s">
        <v>1148</v>
      </c>
      <c r="B11" s="573" t="s">
        <v>1089</v>
      </c>
      <c r="C11" s="574" t="s">
        <v>1127</v>
      </c>
      <c r="D11" s="575">
        <v>46140</v>
      </c>
      <c r="E11" s="576" t="s">
        <v>1149</v>
      </c>
      <c r="F11" s="576" t="s">
        <v>1150</v>
      </c>
      <c r="G11" s="404"/>
      <c r="H11" s="577" t="s">
        <v>235</v>
      </c>
      <c r="I11" s="404"/>
      <c r="J11" s="578"/>
      <c r="K11" s="705" t="s">
        <v>30</v>
      </c>
      <c r="L11" s="575"/>
      <c r="M11" s="575"/>
      <c r="N11" s="575"/>
      <c r="O11" s="579"/>
      <c r="P11" s="579"/>
      <c r="Q11" s="532"/>
      <c r="R11" s="404"/>
      <c r="S11" s="404"/>
      <c r="T11" s="404"/>
      <c r="U11" s="404"/>
      <c r="V11" s="404"/>
      <c r="W11" s="404"/>
      <c r="X11" s="424"/>
      <c r="Y11" s="418"/>
      <c r="Z11" s="418"/>
      <c r="AA11" s="196" t="str">
        <f>_xlfn.XLOOKUP(Backlog[[#This Row],[Estado]],CatEstados[Estado],CatEstados[Fase],"Otro")</f>
        <v>Por hacer</v>
      </c>
      <c r="AB1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1" s="275" t="e">
        <f ca="1">IF(OR(#REF!="",NOT(ISNUMBER(Backlog[[#This Row],[Dias_abiertos]]))),"",IF(Backlog[[#This Row],[Dias_abiertos]]&lt;=7,"En plazo",IFERROR(IF(Backlog[[#This Row],[Dias_abiertos]]=_xlfn.XLOOKUP(TRIM(#REF!),CatSLA[Prioridad],CatSLA[SLA_dias],""),"En plazo","Fuera de plazo"),"Sin SLA")))</f>
        <v>#REF!</v>
      </c>
      <c r="AD11" s="248"/>
      <c r="AE11" s="248"/>
      <c r="AF11" s="248"/>
      <c r="AG11" s="248"/>
      <c r="AH11" s="248"/>
      <c r="AI11" s="248"/>
    </row>
    <row r="12" spans="1:36" ht="152.25" hidden="1">
      <c r="A12" s="572" t="s">
        <v>1151</v>
      </c>
      <c r="B12" s="573" t="s">
        <v>1089</v>
      </c>
      <c r="C12" s="574" t="s">
        <v>1127</v>
      </c>
      <c r="D12" s="575">
        <v>46140</v>
      </c>
      <c r="E12" s="576" t="s">
        <v>1152</v>
      </c>
      <c r="F12" s="576" t="s">
        <v>1153</v>
      </c>
      <c r="G12" s="404"/>
      <c r="H12" s="577" t="s">
        <v>235</v>
      </c>
      <c r="I12" s="404"/>
      <c r="J12" s="578"/>
      <c r="K12" s="705" t="s">
        <v>30</v>
      </c>
      <c r="L12" s="575"/>
      <c r="M12" s="575"/>
      <c r="N12" s="575"/>
      <c r="O12" s="579"/>
      <c r="P12" s="579"/>
      <c r="Q12" s="580"/>
      <c r="R12" s="404"/>
      <c r="S12" s="404"/>
      <c r="T12" s="404"/>
      <c r="U12" s="404"/>
      <c r="V12" s="404"/>
      <c r="W12" s="404"/>
      <c r="X12" s="424"/>
      <c r="Y12" s="418"/>
      <c r="Z12" s="418"/>
      <c r="AA12" s="196" t="str">
        <f>_xlfn.XLOOKUP(Backlog[[#This Row],[Estado]],CatEstados[Estado],CatEstados[Fase],"Otro")</f>
        <v>Por hacer</v>
      </c>
      <c r="AB1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 s="275" t="e">
        <f ca="1">IF(OR(#REF!="",NOT(ISNUMBER(Backlog[[#This Row],[Dias_abiertos]]))),"",IF(Backlog[[#This Row],[Dias_abiertos]]&lt;=7,"En plazo",IFERROR(IF(Backlog[[#This Row],[Dias_abiertos]]=_xlfn.XLOOKUP(TRIM(#REF!),CatSLA[Prioridad],CatSLA[SLA_dias],""),"En plazo","Fuera de plazo"),"Sin SLA")))</f>
        <v>#REF!</v>
      </c>
      <c r="AD12" s="248"/>
      <c r="AE12" s="248"/>
      <c r="AF12" s="248"/>
      <c r="AG12" s="248"/>
      <c r="AH12" s="248"/>
      <c r="AI12" s="248"/>
    </row>
    <row r="13" spans="1:36" ht="183" hidden="1">
      <c r="A13" s="572" t="s">
        <v>1154</v>
      </c>
      <c r="B13" s="573" t="s">
        <v>1089</v>
      </c>
      <c r="C13" s="574" t="s">
        <v>1127</v>
      </c>
      <c r="D13" s="575">
        <v>46140</v>
      </c>
      <c r="E13" s="576" t="s">
        <v>1155</v>
      </c>
      <c r="F13" s="576" t="s">
        <v>1156</v>
      </c>
      <c r="G13" s="404"/>
      <c r="H13" s="577" t="s">
        <v>235</v>
      </c>
      <c r="I13" s="404"/>
      <c r="J13" s="578"/>
      <c r="K13" s="705" t="s">
        <v>30</v>
      </c>
      <c r="L13" s="575"/>
      <c r="M13" s="575"/>
      <c r="N13" s="575"/>
      <c r="O13" s="579"/>
      <c r="P13" s="579"/>
      <c r="Q13" s="532"/>
      <c r="R13" s="404"/>
      <c r="S13" s="404"/>
      <c r="T13" s="404"/>
      <c r="U13" s="404"/>
      <c r="V13" s="404"/>
      <c r="W13" s="404"/>
      <c r="X13" s="424"/>
      <c r="Y13" s="418"/>
      <c r="Z13" s="418"/>
      <c r="AA13" s="196" t="str">
        <f>_xlfn.XLOOKUP(Backlog[[#This Row],[Estado]],CatEstados[Estado],CatEstados[Fase],"Otro")</f>
        <v>Por hacer</v>
      </c>
      <c r="AB1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 s="275" t="e">
        <f ca="1">IF(OR(#REF!="",NOT(ISNUMBER(Backlog[[#This Row],[Dias_abiertos]]))),"",IF(Backlog[[#This Row],[Dias_abiertos]]&lt;=7,"En plazo",IFERROR(IF(Backlog[[#This Row],[Dias_abiertos]]=_xlfn.XLOOKUP(TRIM(#REF!),CatSLA[Prioridad],CatSLA[SLA_dias],""),"En plazo","Fuera de plazo"),"Sin SLA")))</f>
        <v>#REF!</v>
      </c>
      <c r="AD13" s="248"/>
      <c r="AE13" s="248"/>
      <c r="AF13" s="248"/>
      <c r="AG13" s="248"/>
      <c r="AH13" s="248"/>
      <c r="AI13" s="248"/>
    </row>
    <row r="14" spans="1:36" ht="409.6" hidden="1">
      <c r="A14" s="572" t="s">
        <v>1157</v>
      </c>
      <c r="B14" s="573" t="s">
        <v>1089</v>
      </c>
      <c r="C14" s="574" t="s">
        <v>1127</v>
      </c>
      <c r="D14" s="575">
        <v>46140</v>
      </c>
      <c r="E14" s="576" t="s">
        <v>1158</v>
      </c>
      <c r="F14" s="576" t="s">
        <v>1159</v>
      </c>
      <c r="G14" s="404"/>
      <c r="H14" s="577" t="s">
        <v>235</v>
      </c>
      <c r="I14" s="404"/>
      <c r="J14" s="578"/>
      <c r="K14" s="705" t="s">
        <v>30</v>
      </c>
      <c r="L14" s="575"/>
      <c r="M14" s="575"/>
      <c r="N14" s="575"/>
      <c r="O14" s="579"/>
      <c r="P14" s="579"/>
      <c r="Q14" s="532"/>
      <c r="R14" s="404"/>
      <c r="S14" s="404"/>
      <c r="T14" s="404"/>
      <c r="U14" s="404"/>
      <c r="V14" s="404"/>
      <c r="W14" s="404"/>
      <c r="X14" s="424"/>
      <c r="Y14" s="418"/>
      <c r="Z14" s="418"/>
      <c r="AA14" s="196" t="str">
        <f>_xlfn.XLOOKUP(Backlog[[#This Row],[Estado]],CatEstados[Estado],CatEstados[Fase],"Otro")</f>
        <v>Por hacer</v>
      </c>
      <c r="AB1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 s="275" t="e">
        <f ca="1">IF(OR(#REF!="",NOT(ISNUMBER(Backlog[[#This Row],[Dias_abiertos]]))),"",IF(Backlog[[#This Row],[Dias_abiertos]]&lt;=7,"En plazo",IFERROR(IF(Backlog[[#This Row],[Dias_abiertos]]=_xlfn.XLOOKUP(TRIM(#REF!),CatSLA[Prioridad],CatSLA[SLA_dias],""),"En plazo","Fuera de plazo"),"Sin SLA")))</f>
        <v>#REF!</v>
      </c>
      <c r="AD14" s="248"/>
      <c r="AE14" s="248"/>
      <c r="AF14" s="248"/>
      <c r="AG14" s="248"/>
      <c r="AH14" s="248"/>
      <c r="AI14" s="248"/>
    </row>
    <row r="15" spans="1:36" ht="45.75" hidden="1">
      <c r="A15" s="396" t="s">
        <v>1160</v>
      </c>
      <c r="B15" s="648" t="s">
        <v>1087</v>
      </c>
      <c r="C15" s="649" t="s">
        <v>1118</v>
      </c>
      <c r="D15" s="415">
        <v>46140</v>
      </c>
      <c r="E15" s="398" t="s">
        <v>1161</v>
      </c>
      <c r="F15" s="398" t="s">
        <v>1162</v>
      </c>
      <c r="G15" s="400" t="s">
        <v>66</v>
      </c>
      <c r="H15" s="650" t="s">
        <v>1163</v>
      </c>
      <c r="I15" s="400" t="s">
        <v>55</v>
      </c>
      <c r="J15" s="465"/>
      <c r="K15" s="400" t="s">
        <v>26</v>
      </c>
      <c r="L15" s="558"/>
      <c r="M15" s="558"/>
      <c r="N15" s="558"/>
      <c r="O15" s="399" t="s">
        <v>1164</v>
      </c>
      <c r="P15" s="399"/>
      <c r="Q15" s="682"/>
      <c r="R15" s="400"/>
      <c r="S15" s="400">
        <v>24</v>
      </c>
      <c r="T15" s="400"/>
      <c r="U15" s="400"/>
      <c r="V15" s="400"/>
      <c r="W15" s="400"/>
      <c r="X15" s="436"/>
      <c r="Y15" s="418"/>
      <c r="Z15" s="418"/>
      <c r="AA15" s="196" t="str">
        <f>_xlfn.XLOOKUP(Backlog[[#This Row],[Estado]],CatEstados[Estado],CatEstados[Fase],"Otro")</f>
        <v>Por hacer</v>
      </c>
      <c r="AB1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 s="275" t="e">
        <f ca="1">IF(OR(#REF!="",NOT(ISNUMBER(Backlog[[#This Row],[Dias_abiertos]]))),"",IF(Backlog[[#This Row],[Dias_abiertos]]&lt;=7,"En plazo",IFERROR(IF(Backlog[[#This Row],[Dias_abiertos]]=_xlfn.XLOOKUP(TRIM(#REF!),CatSLA[Prioridad],CatSLA[SLA_dias],""),"En plazo","Fuera de plazo"),"Sin SLA")))</f>
        <v>#REF!</v>
      </c>
      <c r="AD15" s="248"/>
      <c r="AE15" s="248"/>
      <c r="AF15" s="248"/>
      <c r="AG15" s="248"/>
      <c r="AH15" s="248"/>
      <c r="AI15" s="248"/>
    </row>
    <row r="16" spans="1:36" ht="45.75">
      <c r="A16" s="604" t="s">
        <v>1165</v>
      </c>
      <c r="B16" s="605" t="s">
        <v>1088</v>
      </c>
      <c r="C16" s="606" t="s">
        <v>1127</v>
      </c>
      <c r="D16" s="607">
        <v>46135</v>
      </c>
      <c r="E16" s="608" t="s">
        <v>1166</v>
      </c>
      <c r="F16" s="608" t="s">
        <v>1167</v>
      </c>
      <c r="G16" s="609" t="s">
        <v>902</v>
      </c>
      <c r="H16" s="610" t="s">
        <v>235</v>
      </c>
      <c r="I16" s="609" t="s">
        <v>1125</v>
      </c>
      <c r="J16" s="611">
        <v>1</v>
      </c>
      <c r="K16" s="609" t="s">
        <v>8</v>
      </c>
      <c r="L16" s="607">
        <v>46142</v>
      </c>
      <c r="M16" s="607"/>
      <c r="N16" s="607"/>
      <c r="O16" s="612" t="s">
        <v>1168</v>
      </c>
      <c r="P16" s="612" t="s">
        <v>1169</v>
      </c>
      <c r="Q16" s="613" t="s">
        <v>1170</v>
      </c>
      <c r="R16" s="609"/>
      <c r="S16" s="609">
        <v>120</v>
      </c>
      <c r="T16" s="609">
        <v>9</v>
      </c>
      <c r="U16" s="609"/>
      <c r="V16" s="609"/>
      <c r="W16" s="609"/>
      <c r="X16" s="614"/>
      <c r="Y16" s="418"/>
      <c r="Z16" s="418"/>
      <c r="AA16" s="196" t="str">
        <f>_xlfn.XLOOKUP(Backlog[[#This Row],[Estado]],CatEstados[Estado],CatEstados[Fase],"Otro")</f>
        <v>En curso</v>
      </c>
      <c r="AB1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6" s="275" t="e">
        <f ca="1">IF(OR(#REF!="",NOT(ISNUMBER(Backlog[[#This Row],[Dias_abiertos]]))),"",IF(Backlog[[#This Row],[Dias_abiertos]]&lt;=7,"En plazo",IFERROR(IF(Backlog[[#This Row],[Dias_abiertos]]=_xlfn.XLOOKUP(TRIM(#REF!),CatSLA[Prioridad],CatSLA[SLA_dias],""),"En plazo","Fuera de plazo"),"Sin SLA")))</f>
        <v>#REF!</v>
      </c>
      <c r="AD16" s="248"/>
      <c r="AE16" s="248"/>
      <c r="AF16" s="248"/>
      <c r="AG16" s="248"/>
      <c r="AH16" s="248"/>
      <c r="AI16" s="248"/>
    </row>
    <row r="17" spans="1:35" ht="60.75">
      <c r="A17" s="604" t="s">
        <v>1171</v>
      </c>
      <c r="B17" s="605" t="s">
        <v>1088</v>
      </c>
      <c r="C17" s="606" t="s">
        <v>1127</v>
      </c>
      <c r="D17" s="607">
        <v>46135</v>
      </c>
      <c r="E17" s="608" t="s">
        <v>1172</v>
      </c>
      <c r="F17" s="608" t="s">
        <v>1173</v>
      </c>
      <c r="G17" s="609" t="s">
        <v>902</v>
      </c>
      <c r="H17" s="610" t="s">
        <v>235</v>
      </c>
      <c r="I17" s="609" t="s">
        <v>1125</v>
      </c>
      <c r="J17" s="611">
        <v>2</v>
      </c>
      <c r="K17" s="609" t="s">
        <v>8</v>
      </c>
      <c r="L17" s="607">
        <v>46142</v>
      </c>
      <c r="M17" s="607"/>
      <c r="N17" s="607"/>
      <c r="O17" s="612" t="s">
        <v>1168</v>
      </c>
      <c r="P17" s="612" t="s">
        <v>1169</v>
      </c>
      <c r="Q17" s="613" t="s">
        <v>1174</v>
      </c>
      <c r="R17" s="609"/>
      <c r="S17" s="609">
        <v>160</v>
      </c>
      <c r="T17" s="609">
        <v>13</v>
      </c>
      <c r="U17" s="609"/>
      <c r="V17" s="609"/>
      <c r="W17" s="609"/>
      <c r="X17" s="614"/>
      <c r="Y17" s="418"/>
      <c r="Z17" s="418"/>
      <c r="AA17" s="196" t="str">
        <f>_xlfn.XLOOKUP(Backlog[[#This Row],[Estado]],CatEstados[Estado],CatEstados[Fase],"Otro")</f>
        <v>En curso</v>
      </c>
      <c r="AB1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 s="275" t="e">
        <f ca="1">IF(OR(#REF!="",NOT(ISNUMBER(Backlog[[#This Row],[Dias_abiertos]]))),"",IF(Backlog[[#This Row],[Dias_abiertos]]&lt;=7,"En plazo",IFERROR(IF(Backlog[[#This Row],[Dias_abiertos]]=_xlfn.XLOOKUP(TRIM(#REF!),CatSLA[Prioridad],CatSLA[SLA_dias],""),"En plazo","Fuera de plazo"),"Sin SLA")))</f>
        <v>#REF!</v>
      </c>
      <c r="AD17" s="248"/>
      <c r="AE17" s="248"/>
      <c r="AF17" s="248"/>
      <c r="AG17" s="248"/>
      <c r="AH17" s="248"/>
      <c r="AI17" s="248"/>
    </row>
    <row r="18" spans="1:35" ht="60.75">
      <c r="A18" s="604" t="s">
        <v>1175</v>
      </c>
      <c r="B18" s="605" t="s">
        <v>1088</v>
      </c>
      <c r="C18" s="606" t="s">
        <v>1127</v>
      </c>
      <c r="D18" s="607">
        <v>46142</v>
      </c>
      <c r="E18" s="608" t="s">
        <v>1176</v>
      </c>
      <c r="F18" s="608" t="s">
        <v>1177</v>
      </c>
      <c r="G18" s="609" t="s">
        <v>902</v>
      </c>
      <c r="H18" s="610" t="s">
        <v>235</v>
      </c>
      <c r="I18" s="609" t="s">
        <v>1125</v>
      </c>
      <c r="J18" s="611">
        <v>5</v>
      </c>
      <c r="K18" s="609" t="s">
        <v>8</v>
      </c>
      <c r="L18" s="596">
        <v>46147</v>
      </c>
      <c r="M18" s="596"/>
      <c r="N18" s="596"/>
      <c r="O18" s="612" t="s">
        <v>1168</v>
      </c>
      <c r="P18" s="612" t="s">
        <v>1169</v>
      </c>
      <c r="Q18" s="791" t="s">
        <v>1178</v>
      </c>
      <c r="R18" s="609"/>
      <c r="S18" s="609">
        <v>136</v>
      </c>
      <c r="T18" s="609">
        <v>9</v>
      </c>
      <c r="U18" s="609"/>
      <c r="V18" s="609"/>
      <c r="W18" s="609"/>
      <c r="X18" s="614"/>
      <c r="Y18" s="418"/>
      <c r="Z18" s="418"/>
      <c r="AA18" s="196" t="str">
        <f>_xlfn.XLOOKUP(Backlog[[#This Row],[Estado]],CatEstados[Estado],CatEstados[Fase],"Otro")</f>
        <v>En curso</v>
      </c>
      <c r="AB1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 s="275" t="e">
        <f ca="1">IF(OR(#REF!="",NOT(ISNUMBER(Backlog[[#This Row],[Dias_abiertos]]))),"",IF(Backlog[[#This Row],[Dias_abiertos]]&lt;=7,"En plazo",IFERROR(IF(Backlog[[#This Row],[Dias_abiertos]]=_xlfn.XLOOKUP(TRIM(#REF!),CatSLA[Prioridad],CatSLA[SLA_dias],""),"En plazo","Fuera de plazo"),"Sin SLA")))</f>
        <v>#REF!</v>
      </c>
      <c r="AD18" s="248"/>
      <c r="AE18" s="248"/>
      <c r="AF18" s="248"/>
      <c r="AG18" s="248"/>
      <c r="AH18" s="248"/>
      <c r="AI18" s="248"/>
    </row>
    <row r="19" spans="1:35" ht="121.5" hidden="1">
      <c r="A19" s="581" t="s">
        <v>1179</v>
      </c>
      <c r="B19" s="582" t="s">
        <v>1088</v>
      </c>
      <c r="C19" s="583" t="s">
        <v>1127</v>
      </c>
      <c r="D19" s="584">
        <v>46142</v>
      </c>
      <c r="E19" s="585" t="s">
        <v>1180</v>
      </c>
      <c r="F19" s="585" t="s">
        <v>1181</v>
      </c>
      <c r="G19" s="586" t="s">
        <v>902</v>
      </c>
      <c r="H19" s="587" t="s">
        <v>235</v>
      </c>
      <c r="I19" s="586" t="s">
        <v>1125</v>
      </c>
      <c r="J19" s="588">
        <v>6</v>
      </c>
      <c r="K19" s="705" t="s">
        <v>30</v>
      </c>
      <c r="L19" s="584"/>
      <c r="M19" s="584"/>
      <c r="N19" s="584"/>
      <c r="O19" s="589" t="s">
        <v>1168</v>
      </c>
      <c r="P19" s="589"/>
      <c r="Q19" s="590" t="s">
        <v>1182</v>
      </c>
      <c r="R19" s="586"/>
      <c r="S19" s="586">
        <v>160</v>
      </c>
      <c r="T19" s="586"/>
      <c r="U19" s="586"/>
      <c r="V19" s="586"/>
      <c r="W19" s="586"/>
      <c r="X19" s="419"/>
      <c r="Y19" s="418"/>
      <c r="Z19" s="418"/>
      <c r="AA19" s="196" t="str">
        <f>_xlfn.XLOOKUP(Backlog[[#This Row],[Estado]],CatEstados[Estado],CatEstados[Fase],"Otro")</f>
        <v>Por hacer</v>
      </c>
      <c r="AB1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 s="275" t="e">
        <f ca="1">IF(OR(#REF!="",NOT(ISNUMBER(Backlog[[#This Row],[Dias_abiertos]]))),"",IF(Backlog[[#This Row],[Dias_abiertos]]&lt;=7,"En plazo",IFERROR(IF(Backlog[[#This Row],[Dias_abiertos]]=_xlfn.XLOOKUP(TRIM(#REF!),CatSLA[Prioridad],CatSLA[SLA_dias],""),"En plazo","Fuera de plazo"),"Sin SLA")))</f>
        <v>#REF!</v>
      </c>
      <c r="AD19" s="248"/>
      <c r="AE19" s="248"/>
      <c r="AF19" s="248"/>
      <c r="AG19" s="248"/>
      <c r="AH19" s="248"/>
      <c r="AI19" s="248"/>
    </row>
    <row r="20" spans="1:35" ht="60.75" hidden="1">
      <c r="A20" s="581" t="s">
        <v>1183</v>
      </c>
      <c r="B20" s="582" t="s">
        <v>1088</v>
      </c>
      <c r="C20" s="583" t="s">
        <v>1127</v>
      </c>
      <c r="D20" s="584">
        <v>46136</v>
      </c>
      <c r="E20" s="585" t="s">
        <v>1184</v>
      </c>
      <c r="F20" s="585" t="s">
        <v>1185</v>
      </c>
      <c r="G20" s="586" t="s">
        <v>902</v>
      </c>
      <c r="H20" s="587" t="s">
        <v>235</v>
      </c>
      <c r="I20" s="586" t="s">
        <v>1125</v>
      </c>
      <c r="J20" s="588">
        <v>3</v>
      </c>
      <c r="K20" s="705" t="s">
        <v>30</v>
      </c>
      <c r="L20" s="584"/>
      <c r="M20" s="584"/>
      <c r="N20" s="584"/>
      <c r="O20" s="589" t="s">
        <v>1168</v>
      </c>
      <c r="P20" s="589"/>
      <c r="Q20" s="591" t="s">
        <v>1186</v>
      </c>
      <c r="R20" s="586"/>
      <c r="S20" s="586">
        <v>400</v>
      </c>
      <c r="T20" s="586"/>
      <c r="U20" s="586"/>
      <c r="V20" s="586"/>
      <c r="W20" s="586"/>
      <c r="X20" s="419"/>
      <c r="Y20" s="418"/>
      <c r="Z20" s="418"/>
      <c r="AA20" s="196" t="str">
        <f>_xlfn.XLOOKUP(Backlog[[#This Row],[Estado]],CatEstados[Estado],CatEstados[Fase],"Otro")</f>
        <v>Por hacer</v>
      </c>
      <c r="AB2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0" s="275" t="e">
        <f ca="1">IF(OR(#REF!="",NOT(ISNUMBER(Backlog[[#This Row],[Dias_abiertos]]))),"",IF(Backlog[[#This Row],[Dias_abiertos]]&lt;=7,"En plazo",IFERROR(IF(Backlog[[#This Row],[Dias_abiertos]]=_xlfn.XLOOKUP(TRIM(#REF!),CatSLA[Prioridad],CatSLA[SLA_dias],""),"En plazo","Fuera de plazo"),"Sin SLA")))</f>
        <v>#REF!</v>
      </c>
      <c r="AD20" s="248"/>
      <c r="AE20" s="248"/>
      <c r="AF20" s="248"/>
      <c r="AG20" s="248"/>
      <c r="AH20" s="248"/>
      <c r="AI20" s="248"/>
    </row>
    <row r="21" spans="1:35" ht="45.75" hidden="1">
      <c r="A21" s="593" t="s">
        <v>1187</v>
      </c>
      <c r="B21" s="594" t="s">
        <v>1088</v>
      </c>
      <c r="C21" s="595" t="s">
        <v>1127</v>
      </c>
      <c r="D21" s="596">
        <v>46136</v>
      </c>
      <c r="E21" s="597" t="s">
        <v>1188</v>
      </c>
      <c r="F21" s="597" t="s">
        <v>1189</v>
      </c>
      <c r="G21" s="598" t="s">
        <v>902</v>
      </c>
      <c r="H21" s="599" t="s">
        <v>235</v>
      </c>
      <c r="I21" s="598" t="s">
        <v>1125</v>
      </c>
      <c r="J21" s="600">
        <v>8</v>
      </c>
      <c r="K21" s="598" t="s">
        <v>8</v>
      </c>
      <c r="L21" s="596">
        <v>46147</v>
      </c>
      <c r="M21" s="596"/>
      <c r="N21" s="596"/>
      <c r="O21" s="601" t="s">
        <v>1168</v>
      </c>
      <c r="P21" s="601" t="s">
        <v>1190</v>
      </c>
      <c r="Q21" s="602" t="s">
        <v>1191</v>
      </c>
      <c r="R21" s="598"/>
      <c r="S21" s="598">
        <v>32</v>
      </c>
      <c r="T21" s="598">
        <v>8</v>
      </c>
      <c r="U21" s="598"/>
      <c r="V21" s="598"/>
      <c r="W21" s="598"/>
      <c r="X21" s="603"/>
      <c r="Y21" s="418"/>
      <c r="Z21" s="418"/>
      <c r="AA21" s="196" t="str">
        <f>_xlfn.XLOOKUP(Backlog[[#This Row],[Estado]],CatEstados[Estado],CatEstados[Fase],"Otro")</f>
        <v>En curso</v>
      </c>
      <c r="AB2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1" s="275" t="e">
        <f ca="1">IF(OR(#REF!="",NOT(ISNUMBER(Backlog[[#This Row],[Dias_abiertos]]))),"",IF(Backlog[[#This Row],[Dias_abiertos]]&lt;=7,"En plazo",IFERROR(IF(Backlog[[#This Row],[Dias_abiertos]]=_xlfn.XLOOKUP(TRIM(#REF!),CatSLA[Prioridad],CatSLA[SLA_dias],""),"En plazo","Fuera de plazo"),"Sin SLA")))</f>
        <v>#REF!</v>
      </c>
      <c r="AD21" s="248"/>
      <c r="AE21" s="248"/>
      <c r="AF21" s="248"/>
      <c r="AG21" s="248"/>
      <c r="AH21" s="248"/>
      <c r="AI21" s="248"/>
    </row>
    <row r="22" spans="1:35" ht="30.75" hidden="1">
      <c r="A22" s="604" t="s">
        <v>1192</v>
      </c>
      <c r="B22" s="605" t="s">
        <v>1088</v>
      </c>
      <c r="C22" s="606" t="s">
        <v>1127</v>
      </c>
      <c r="D22" s="607">
        <v>46136</v>
      </c>
      <c r="E22" s="608" t="s">
        <v>1193</v>
      </c>
      <c r="F22" s="608" t="s">
        <v>1194</v>
      </c>
      <c r="G22" s="609" t="s">
        <v>902</v>
      </c>
      <c r="H22" s="610" t="s">
        <v>235</v>
      </c>
      <c r="I22" s="609" t="s">
        <v>1125</v>
      </c>
      <c r="J22" s="611">
        <v>9</v>
      </c>
      <c r="K22" s="609" t="s">
        <v>8</v>
      </c>
      <c r="L22" s="517">
        <v>46150</v>
      </c>
      <c r="M22" s="517"/>
      <c r="N22" s="517"/>
      <c r="O22" s="612" t="s">
        <v>1168</v>
      </c>
      <c r="P22" s="612" t="s">
        <v>1195</v>
      </c>
      <c r="Q22" s="613" t="s">
        <v>1196</v>
      </c>
      <c r="R22" s="609"/>
      <c r="S22" s="609">
        <v>400</v>
      </c>
      <c r="T22" s="609"/>
      <c r="U22" s="609"/>
      <c r="V22" s="609"/>
      <c r="W22" s="609"/>
      <c r="X22" s="614"/>
      <c r="Y22" s="418"/>
      <c r="Z22" s="418"/>
      <c r="AA22" s="196" t="str">
        <f>_xlfn.XLOOKUP(Backlog[[#This Row],[Estado]],CatEstados[Estado],CatEstados[Fase],"Otro")</f>
        <v>En curso</v>
      </c>
      <c r="AB2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2" s="275" t="e">
        <f ca="1">IF(OR(#REF!="",NOT(ISNUMBER(Backlog[[#This Row],[Dias_abiertos]]))),"",IF(Backlog[[#This Row],[Dias_abiertos]]&lt;=7,"En plazo",IFERROR(IF(Backlog[[#This Row],[Dias_abiertos]]=_xlfn.XLOOKUP(TRIM(#REF!),CatSLA[Prioridad],CatSLA[SLA_dias],""),"En plazo","Fuera de plazo"),"Sin SLA")))</f>
        <v>#REF!</v>
      </c>
      <c r="AD22" s="248"/>
      <c r="AE22" s="248"/>
      <c r="AF22" s="248"/>
      <c r="AG22" s="248"/>
      <c r="AH22" s="248"/>
      <c r="AI22" s="248"/>
    </row>
    <row r="23" spans="1:35" ht="60.75" hidden="1">
      <c r="A23" s="604" t="s">
        <v>1197</v>
      </c>
      <c r="B23" s="605" t="s">
        <v>1088</v>
      </c>
      <c r="C23" s="606" t="s">
        <v>1127</v>
      </c>
      <c r="D23" s="607">
        <v>46136</v>
      </c>
      <c r="E23" s="608" t="s">
        <v>1198</v>
      </c>
      <c r="F23" s="608" t="s">
        <v>1199</v>
      </c>
      <c r="G23" s="609" t="s">
        <v>902</v>
      </c>
      <c r="H23" s="610" t="s">
        <v>235</v>
      </c>
      <c r="I23" s="609" t="s">
        <v>1125</v>
      </c>
      <c r="J23" s="611">
        <v>48</v>
      </c>
      <c r="K23" s="609" t="s">
        <v>8</v>
      </c>
      <c r="L23" s="584"/>
      <c r="M23" s="584"/>
      <c r="N23" s="584"/>
      <c r="O23" s="612" t="s">
        <v>1168</v>
      </c>
      <c r="P23" s="612" t="s">
        <v>1200</v>
      </c>
      <c r="Q23" s="792" t="s">
        <v>1201</v>
      </c>
      <c r="R23" s="609"/>
      <c r="S23" s="609">
        <v>100</v>
      </c>
      <c r="T23" s="609"/>
      <c r="U23" s="609"/>
      <c r="V23" s="609"/>
      <c r="W23" s="609"/>
      <c r="X23" s="614"/>
      <c r="Y23" s="418"/>
      <c r="Z23" s="418"/>
      <c r="AA23" s="196" t="str">
        <f>_xlfn.XLOOKUP(Backlog[[#This Row],[Estado]],CatEstados[Estado],CatEstados[Fase],"Otro")</f>
        <v>En curso</v>
      </c>
      <c r="AB2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3" s="275" t="e">
        <f ca="1">IF(OR(#REF!="",NOT(ISNUMBER(Backlog[[#This Row],[Dias_abiertos]]))),"",IF(Backlog[[#This Row],[Dias_abiertos]]&lt;=7,"En plazo",IFERROR(IF(Backlog[[#This Row],[Dias_abiertos]]=_xlfn.XLOOKUP(TRIM(#REF!),CatSLA[Prioridad],CatSLA[SLA_dias],""),"En plazo","Fuera de plazo"),"Sin SLA")))</f>
        <v>#REF!</v>
      </c>
      <c r="AD23" s="248"/>
      <c r="AE23" s="248"/>
      <c r="AF23" s="248"/>
      <c r="AG23" s="248"/>
      <c r="AH23" s="248"/>
      <c r="AI23" s="248"/>
    </row>
    <row r="24" spans="1:35" ht="30.75" hidden="1">
      <c r="A24" s="604" t="s">
        <v>1202</v>
      </c>
      <c r="B24" s="605" t="s">
        <v>1088</v>
      </c>
      <c r="C24" s="606" t="s">
        <v>1127</v>
      </c>
      <c r="D24" s="607">
        <v>46137</v>
      </c>
      <c r="E24" s="608" t="s">
        <v>1203</v>
      </c>
      <c r="F24" s="608" t="s">
        <v>1204</v>
      </c>
      <c r="G24" s="609" t="s">
        <v>902</v>
      </c>
      <c r="H24" s="610" t="s">
        <v>235</v>
      </c>
      <c r="I24" s="609" t="s">
        <v>1125</v>
      </c>
      <c r="J24" s="611">
        <v>49</v>
      </c>
      <c r="K24" s="609" t="s">
        <v>8</v>
      </c>
      <c r="L24" s="584"/>
      <c r="M24" s="584"/>
      <c r="N24" s="584"/>
      <c r="O24" s="612" t="s">
        <v>1168</v>
      </c>
      <c r="P24" s="612" t="s">
        <v>1200</v>
      </c>
      <c r="Q24" s="613" t="s">
        <v>1205</v>
      </c>
      <c r="R24" s="609"/>
      <c r="S24" s="609">
        <v>60</v>
      </c>
      <c r="T24" s="609"/>
      <c r="U24" s="609"/>
      <c r="V24" s="609"/>
      <c r="W24" s="609"/>
      <c r="X24" s="614"/>
      <c r="Y24" s="418"/>
      <c r="Z24" s="418"/>
      <c r="AA24" s="196" t="str">
        <f>_xlfn.XLOOKUP(Backlog[[#This Row],[Estado]],CatEstados[Estado],CatEstados[Fase],"Otro")</f>
        <v>En curso</v>
      </c>
      <c r="AB2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4" s="275" t="e">
        <f ca="1">IF(OR(#REF!="",NOT(ISNUMBER(Backlog[[#This Row],[Dias_abiertos]]))),"",IF(Backlog[[#This Row],[Dias_abiertos]]&lt;=7,"En plazo",IFERROR(IF(Backlog[[#This Row],[Dias_abiertos]]=_xlfn.XLOOKUP(TRIM(#REF!),CatSLA[Prioridad],CatSLA[SLA_dias],""),"En plazo","Fuera de plazo"),"Sin SLA")))</f>
        <v>#REF!</v>
      </c>
      <c r="AD24" s="248"/>
      <c r="AE24" s="248"/>
      <c r="AF24" s="248"/>
      <c r="AG24" s="248"/>
      <c r="AH24" s="248"/>
      <c r="AI24" s="248"/>
    </row>
    <row r="25" spans="1:35" ht="30.75" hidden="1">
      <c r="A25" s="581" t="s">
        <v>1206</v>
      </c>
      <c r="B25" s="582" t="s">
        <v>1088</v>
      </c>
      <c r="C25" s="583" t="s">
        <v>1127</v>
      </c>
      <c r="D25" s="584">
        <v>46136</v>
      </c>
      <c r="E25" s="585" t="s">
        <v>1207</v>
      </c>
      <c r="F25" s="585" t="s">
        <v>1208</v>
      </c>
      <c r="G25" s="586" t="s">
        <v>902</v>
      </c>
      <c r="H25" s="587" t="s">
        <v>235</v>
      </c>
      <c r="I25" s="586" t="s">
        <v>1125</v>
      </c>
      <c r="J25" s="588">
        <v>50</v>
      </c>
      <c r="K25" s="705" t="s">
        <v>8</v>
      </c>
      <c r="L25" s="584"/>
      <c r="M25" s="584"/>
      <c r="N25" s="584"/>
      <c r="O25" s="589" t="s">
        <v>1168</v>
      </c>
      <c r="P25" s="589" t="s">
        <v>1209</v>
      </c>
      <c r="Q25" s="592" t="s">
        <v>1210</v>
      </c>
      <c r="R25" s="586"/>
      <c r="S25" s="586">
        <v>100</v>
      </c>
      <c r="T25" s="586"/>
      <c r="U25" s="586"/>
      <c r="V25" s="586"/>
      <c r="W25" s="586"/>
      <c r="X25" s="419"/>
      <c r="Y25" s="418"/>
      <c r="Z25" s="418"/>
      <c r="AA25" s="196" t="str">
        <f>_xlfn.XLOOKUP(Backlog[[#This Row],[Estado]],CatEstados[Estado],CatEstados[Fase],"Otro")</f>
        <v>En curso</v>
      </c>
      <c r="AB2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5" s="275" t="e">
        <f ca="1">IF(OR(#REF!="",NOT(ISNUMBER(Backlog[[#This Row],[Dias_abiertos]]))),"",IF(Backlog[[#This Row],[Dias_abiertos]]&lt;=7,"En plazo",IFERROR(IF(Backlog[[#This Row],[Dias_abiertos]]=_xlfn.XLOOKUP(TRIM(#REF!),CatSLA[Prioridad],CatSLA[SLA_dias],""),"En plazo","Fuera de plazo"),"Sin SLA")))</f>
        <v>#REF!</v>
      </c>
      <c r="AD25" s="248"/>
      <c r="AE25" s="248"/>
      <c r="AF25" s="248"/>
      <c r="AG25" s="248"/>
      <c r="AH25" s="248"/>
      <c r="AI25" s="248"/>
    </row>
    <row r="26" spans="1:35" ht="76.5" hidden="1">
      <c r="A26" s="581" t="s">
        <v>1211</v>
      </c>
      <c r="B26" s="582" t="s">
        <v>1088</v>
      </c>
      <c r="C26" s="583" t="s">
        <v>1127</v>
      </c>
      <c r="D26" s="584">
        <v>46136</v>
      </c>
      <c r="E26" s="585" t="s">
        <v>1212</v>
      </c>
      <c r="F26" s="585" t="s">
        <v>1212</v>
      </c>
      <c r="G26" s="586" t="s">
        <v>902</v>
      </c>
      <c r="H26" s="587" t="s">
        <v>235</v>
      </c>
      <c r="I26" s="586" t="s">
        <v>1125</v>
      </c>
      <c r="J26" s="588">
        <v>51</v>
      </c>
      <c r="K26" s="705" t="s">
        <v>8</v>
      </c>
      <c r="L26" s="584"/>
      <c r="M26" s="584"/>
      <c r="N26" s="584"/>
      <c r="O26" s="589" t="s">
        <v>1168</v>
      </c>
      <c r="P26" s="589" t="s">
        <v>1213</v>
      </c>
      <c r="Q26" s="592" t="s">
        <v>1214</v>
      </c>
      <c r="R26" s="586"/>
      <c r="S26" s="586">
        <v>100</v>
      </c>
      <c r="T26" s="586"/>
      <c r="U26" s="586"/>
      <c r="V26" s="586"/>
      <c r="W26" s="586"/>
      <c r="X26" s="419"/>
      <c r="Y26" s="418"/>
      <c r="Z26" s="418"/>
      <c r="AA26" s="196" t="str">
        <f>_xlfn.XLOOKUP(Backlog[[#This Row],[Estado]],CatEstados[Estado],CatEstados[Fase],"Otro")</f>
        <v>En curso</v>
      </c>
      <c r="AB2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6" s="275" t="e">
        <f ca="1">IF(OR(#REF!="",NOT(ISNUMBER(Backlog[[#This Row],[Dias_abiertos]]))),"",IF(Backlog[[#This Row],[Dias_abiertos]]&lt;=7,"En plazo",IFERROR(IF(Backlog[[#This Row],[Dias_abiertos]]=_xlfn.XLOOKUP(TRIM(#REF!),CatSLA[Prioridad],CatSLA[SLA_dias],""),"En plazo","Fuera de plazo"),"Sin SLA")))</f>
        <v>#REF!</v>
      </c>
      <c r="AD26" s="248"/>
      <c r="AE26" s="248"/>
      <c r="AF26" s="248"/>
      <c r="AG26" s="248"/>
      <c r="AH26" s="248"/>
      <c r="AI26" s="248"/>
    </row>
    <row r="27" spans="1:35" ht="30.75" hidden="1">
      <c r="A27" s="776" t="s">
        <v>1215</v>
      </c>
      <c r="B27" s="777" t="s">
        <v>1088</v>
      </c>
      <c r="C27" s="778" t="s">
        <v>1127</v>
      </c>
      <c r="D27" s="779">
        <v>46146</v>
      </c>
      <c r="E27" s="780" t="s">
        <v>1216</v>
      </c>
      <c r="F27" s="780" t="s">
        <v>1217</v>
      </c>
      <c r="G27" s="346" t="s">
        <v>902</v>
      </c>
      <c r="H27" s="781" t="s">
        <v>235</v>
      </c>
      <c r="I27" s="346" t="s">
        <v>1125</v>
      </c>
      <c r="J27" s="782">
        <v>13</v>
      </c>
      <c r="K27" s="705" t="s">
        <v>30</v>
      </c>
      <c r="L27" s="584"/>
      <c r="M27" s="584"/>
      <c r="N27" s="584"/>
      <c r="O27" s="787" t="s">
        <v>1168</v>
      </c>
      <c r="P27" s="787"/>
      <c r="Q27" s="788" t="s">
        <v>1218</v>
      </c>
      <c r="R27" s="586"/>
      <c r="S27" s="586">
        <v>24</v>
      </c>
      <c r="T27" s="586"/>
      <c r="U27" s="586"/>
      <c r="V27" s="586"/>
      <c r="W27" s="586"/>
      <c r="X27" s="419"/>
      <c r="Y27" s="418"/>
      <c r="Z27" s="418"/>
      <c r="AA27" s="196" t="str">
        <f>_xlfn.XLOOKUP(Backlog[[#This Row],[Estado]],CatEstados[Estado],CatEstados[Fase],"Otro")</f>
        <v>Por hacer</v>
      </c>
      <c r="AB2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7" s="275" t="e">
        <f ca="1">IF(OR(#REF!="",NOT(ISNUMBER(Backlog[[#This Row],[Dias_abiertos]]))),"",IF(Backlog[[#This Row],[Dias_abiertos]]&lt;=7,"En plazo",IFERROR(IF(Backlog[[#This Row],[Dias_abiertos]]=_xlfn.XLOOKUP(TRIM(#REF!),CatSLA[Prioridad],CatSLA[SLA_dias],""),"En plazo","Fuera de plazo"),"Sin SLA")))</f>
        <v>#REF!</v>
      </c>
      <c r="AD27" s="248"/>
      <c r="AE27" s="248"/>
      <c r="AF27" s="248"/>
      <c r="AG27" s="248"/>
      <c r="AH27" s="248"/>
      <c r="AI27" s="248"/>
    </row>
    <row r="28" spans="1:35" ht="30.75" hidden="1">
      <c r="A28" s="776" t="s">
        <v>1219</v>
      </c>
      <c r="B28" s="777" t="s">
        <v>1088</v>
      </c>
      <c r="C28" s="778" t="s">
        <v>1127</v>
      </c>
      <c r="D28" s="779">
        <v>46136</v>
      </c>
      <c r="E28" s="783" t="s">
        <v>1220</v>
      </c>
      <c r="F28" s="780" t="s">
        <v>1221</v>
      </c>
      <c r="G28" s="346" t="s">
        <v>902</v>
      </c>
      <c r="H28" s="781" t="s">
        <v>235</v>
      </c>
      <c r="I28" s="346" t="s">
        <v>1125</v>
      </c>
      <c r="J28" s="782">
        <v>16</v>
      </c>
      <c r="K28" s="705" t="s">
        <v>30</v>
      </c>
      <c r="L28" s="584"/>
      <c r="M28" s="584"/>
      <c r="N28" s="584"/>
      <c r="O28" s="787" t="s">
        <v>1168</v>
      </c>
      <c r="P28" s="787"/>
      <c r="Q28" s="789" t="s">
        <v>1222</v>
      </c>
      <c r="R28" s="586"/>
      <c r="S28" s="586">
        <v>24</v>
      </c>
      <c r="T28" s="586"/>
      <c r="U28" s="586"/>
      <c r="V28" s="586"/>
      <c r="W28" s="586"/>
      <c r="X28" s="419"/>
      <c r="Y28" s="418"/>
      <c r="Z28" s="418"/>
      <c r="AA28" s="196" t="str">
        <f>_xlfn.XLOOKUP(Backlog[[#This Row],[Estado]],CatEstados[Estado],CatEstados[Fase],"Otro")</f>
        <v>Por hacer</v>
      </c>
      <c r="AB2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8" s="275" t="e">
        <f ca="1">IF(OR(#REF!="",NOT(ISNUMBER(Backlog[[#This Row],[Dias_abiertos]]))),"",IF(Backlog[[#This Row],[Dias_abiertos]]&lt;=7,"En plazo",IFERROR(IF(Backlog[[#This Row],[Dias_abiertos]]=_xlfn.XLOOKUP(TRIM(#REF!),CatSLA[Prioridad],CatSLA[SLA_dias],""),"En plazo","Fuera de plazo"),"Sin SLA")))</f>
        <v>#REF!</v>
      </c>
      <c r="AD28" s="248"/>
      <c r="AE28" s="248"/>
      <c r="AF28" s="248"/>
      <c r="AG28" s="248"/>
      <c r="AH28" s="248"/>
      <c r="AI28" s="248"/>
    </row>
    <row r="29" spans="1:35" ht="30.75" hidden="1">
      <c r="A29" s="776" t="s">
        <v>1223</v>
      </c>
      <c r="B29" s="777" t="s">
        <v>1088</v>
      </c>
      <c r="C29" s="778" t="s">
        <v>1127</v>
      </c>
      <c r="D29" s="779">
        <v>46146</v>
      </c>
      <c r="E29" s="784" t="s">
        <v>1224</v>
      </c>
      <c r="F29" s="780" t="s">
        <v>1225</v>
      </c>
      <c r="G29" s="346" t="s">
        <v>902</v>
      </c>
      <c r="H29" s="781" t="s">
        <v>235</v>
      </c>
      <c r="I29" s="346" t="s">
        <v>1125</v>
      </c>
      <c r="J29" s="782">
        <v>19</v>
      </c>
      <c r="K29" s="705" t="s">
        <v>30</v>
      </c>
      <c r="L29" s="584"/>
      <c r="M29" s="584"/>
      <c r="N29" s="584"/>
      <c r="O29" s="787" t="s">
        <v>1168</v>
      </c>
      <c r="P29" s="787"/>
      <c r="Q29" s="789" t="s">
        <v>1226</v>
      </c>
      <c r="R29" s="586"/>
      <c r="S29" s="586">
        <v>24</v>
      </c>
      <c r="T29" s="586"/>
      <c r="U29" s="586"/>
      <c r="V29" s="586"/>
      <c r="W29" s="586"/>
      <c r="X29" s="419"/>
      <c r="Y29" s="418"/>
      <c r="Z29" s="418"/>
      <c r="AA29" s="196" t="str">
        <f>_xlfn.XLOOKUP(Backlog[[#This Row],[Estado]],CatEstados[Estado],CatEstados[Fase],"Otro")</f>
        <v>Por hacer</v>
      </c>
      <c r="AB2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9" s="275" t="e">
        <f ca="1">IF(OR(#REF!="",NOT(ISNUMBER(Backlog[[#This Row],[Dias_abiertos]]))),"",IF(Backlog[[#This Row],[Dias_abiertos]]&lt;=7,"En plazo",IFERROR(IF(Backlog[[#This Row],[Dias_abiertos]]=_xlfn.XLOOKUP(TRIM(#REF!),CatSLA[Prioridad],CatSLA[SLA_dias],""),"En plazo","Fuera de plazo"),"Sin SLA")))</f>
        <v>#REF!</v>
      </c>
      <c r="AD29" s="248"/>
      <c r="AE29" s="248"/>
      <c r="AF29" s="248"/>
      <c r="AG29" s="248"/>
      <c r="AH29" s="248"/>
      <c r="AI29" s="248"/>
    </row>
    <row r="30" spans="1:35" ht="30.75" hidden="1">
      <c r="A30" s="776" t="s">
        <v>1227</v>
      </c>
      <c r="B30" s="777" t="s">
        <v>1088</v>
      </c>
      <c r="C30" s="778" t="s">
        <v>1127</v>
      </c>
      <c r="D30" s="779">
        <v>46146</v>
      </c>
      <c r="E30" s="784" t="s">
        <v>1228</v>
      </c>
      <c r="F30" s="780" t="s">
        <v>1229</v>
      </c>
      <c r="G30" s="346" t="s">
        <v>902</v>
      </c>
      <c r="H30" s="781" t="s">
        <v>235</v>
      </c>
      <c r="I30" s="346" t="s">
        <v>1125</v>
      </c>
      <c r="J30" s="782">
        <v>22</v>
      </c>
      <c r="K30" s="705" t="s">
        <v>30</v>
      </c>
      <c r="L30" s="584"/>
      <c r="M30" s="584"/>
      <c r="N30" s="584"/>
      <c r="O30" s="787" t="s">
        <v>1168</v>
      </c>
      <c r="P30" s="787"/>
      <c r="Q30" s="789" t="s">
        <v>1230</v>
      </c>
      <c r="R30" s="586"/>
      <c r="S30" s="586">
        <v>24</v>
      </c>
      <c r="T30" s="586"/>
      <c r="U30" s="586"/>
      <c r="V30" s="586"/>
      <c r="W30" s="586"/>
      <c r="X30" s="419"/>
      <c r="Y30" s="418"/>
      <c r="Z30" s="418"/>
      <c r="AA30" s="196" t="str">
        <f>_xlfn.XLOOKUP(Backlog[[#This Row],[Estado]],CatEstados[Estado],CatEstados[Fase],"Otro")</f>
        <v>Por hacer</v>
      </c>
      <c r="AB3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0" s="275" t="e">
        <f ca="1">IF(OR(#REF!="",NOT(ISNUMBER(Backlog[[#This Row],[Dias_abiertos]]))),"",IF(Backlog[[#This Row],[Dias_abiertos]]&lt;=7,"En plazo",IFERROR(IF(Backlog[[#This Row],[Dias_abiertos]]=_xlfn.XLOOKUP(TRIM(#REF!),CatSLA[Prioridad],CatSLA[SLA_dias],""),"En plazo","Fuera de plazo"),"Sin SLA")))</f>
        <v>#REF!</v>
      </c>
      <c r="AD30" s="248"/>
      <c r="AE30" s="248"/>
      <c r="AF30" s="248"/>
      <c r="AG30" s="248"/>
      <c r="AH30" s="248"/>
      <c r="AI30" s="248"/>
    </row>
    <row r="31" spans="1:35" ht="30.75" hidden="1">
      <c r="A31" s="776" t="s">
        <v>1231</v>
      </c>
      <c r="B31" s="777" t="s">
        <v>1088</v>
      </c>
      <c r="C31" s="778" t="s">
        <v>1127</v>
      </c>
      <c r="D31" s="779">
        <v>46146</v>
      </c>
      <c r="E31" s="784" t="s">
        <v>1232</v>
      </c>
      <c r="F31" s="780" t="s">
        <v>1233</v>
      </c>
      <c r="G31" s="346" t="s">
        <v>902</v>
      </c>
      <c r="H31" s="781" t="s">
        <v>235</v>
      </c>
      <c r="I31" s="346" t="s">
        <v>1125</v>
      </c>
      <c r="J31" s="782">
        <v>23</v>
      </c>
      <c r="K31" s="705" t="s">
        <v>30</v>
      </c>
      <c r="L31" s="584"/>
      <c r="M31" s="584"/>
      <c r="N31" s="584"/>
      <c r="O31" s="787" t="s">
        <v>1234</v>
      </c>
      <c r="P31" s="787"/>
      <c r="Q31" s="790"/>
      <c r="R31" s="586"/>
      <c r="S31" s="586">
        <v>24</v>
      </c>
      <c r="T31" s="586"/>
      <c r="U31" s="586"/>
      <c r="V31" s="586"/>
      <c r="W31" s="586"/>
      <c r="X31" s="419"/>
      <c r="Y31" s="418"/>
      <c r="Z31" s="418"/>
      <c r="AA31" s="196" t="str">
        <f>_xlfn.XLOOKUP(Backlog[[#This Row],[Estado]],CatEstados[Estado],CatEstados[Fase],"Otro")</f>
        <v>Por hacer</v>
      </c>
      <c r="AB3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1" s="275" t="e">
        <f ca="1">IF(OR(#REF!="",NOT(ISNUMBER(Backlog[[#This Row],[Dias_abiertos]]))),"",IF(Backlog[[#This Row],[Dias_abiertos]]&lt;=7,"En plazo",IFERROR(IF(Backlog[[#This Row],[Dias_abiertos]]=_xlfn.XLOOKUP(TRIM(#REF!),CatSLA[Prioridad],CatSLA[SLA_dias],""),"En plazo","Fuera de plazo"),"Sin SLA")))</f>
        <v>#REF!</v>
      </c>
      <c r="AD31" s="248"/>
      <c r="AE31" s="248"/>
      <c r="AF31" s="248"/>
      <c r="AG31" s="248"/>
      <c r="AH31" s="248"/>
      <c r="AI31" s="248"/>
    </row>
    <row r="32" spans="1:35" ht="30.75" hidden="1">
      <c r="A32" s="346">
        <v>16452</v>
      </c>
      <c r="B32" s="777" t="s">
        <v>1088</v>
      </c>
      <c r="C32" s="778" t="s">
        <v>1127</v>
      </c>
      <c r="D32" s="779">
        <v>46136</v>
      </c>
      <c r="E32" s="780" t="s">
        <v>1235</v>
      </c>
      <c r="F32" s="785" t="s">
        <v>1236</v>
      </c>
      <c r="G32" s="346" t="s">
        <v>902</v>
      </c>
      <c r="H32" s="781" t="s">
        <v>235</v>
      </c>
      <c r="I32" s="346" t="s">
        <v>1125</v>
      </c>
      <c r="J32" s="346">
        <v>26</v>
      </c>
      <c r="K32" s="705" t="s">
        <v>30</v>
      </c>
      <c r="L32" s="584"/>
      <c r="M32" s="584"/>
      <c r="N32" s="584"/>
      <c r="O32" s="787" t="s">
        <v>1234</v>
      </c>
      <c r="P32" s="787"/>
      <c r="Q32" s="789" t="s">
        <v>1237</v>
      </c>
      <c r="R32" s="586"/>
      <c r="S32" s="586">
        <v>24</v>
      </c>
      <c r="T32" s="586"/>
      <c r="U32" s="586"/>
      <c r="V32" s="586"/>
      <c r="W32" s="586"/>
      <c r="X32" s="419"/>
      <c r="Y32" s="418"/>
      <c r="Z32" s="418"/>
      <c r="AA32" s="196" t="str">
        <f>_xlfn.XLOOKUP(Backlog[[#This Row],[Estado]],CatEstados[Estado],CatEstados[Fase],"Otro")</f>
        <v>Por hacer</v>
      </c>
      <c r="AB3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2" s="275" t="e">
        <f ca="1">IF(OR(#REF!="",NOT(ISNUMBER(Backlog[[#This Row],[Dias_abiertos]]))),"",IF(Backlog[[#This Row],[Dias_abiertos]]&lt;=7,"En plazo",IFERROR(IF(Backlog[[#This Row],[Dias_abiertos]]=_xlfn.XLOOKUP(TRIM(#REF!),CatSLA[Prioridad],CatSLA[SLA_dias],""),"En plazo","Fuera de plazo"),"Sin SLA")))</f>
        <v>#REF!</v>
      </c>
      <c r="AD32" s="248"/>
      <c r="AE32" s="248"/>
      <c r="AF32" s="248"/>
      <c r="AG32" s="248"/>
      <c r="AH32" s="248"/>
      <c r="AI32" s="248"/>
    </row>
    <row r="33" spans="1:35" ht="30.75" hidden="1">
      <c r="A33" s="346">
        <v>16672</v>
      </c>
      <c r="B33" s="777" t="s">
        <v>1088</v>
      </c>
      <c r="C33" s="778" t="s">
        <v>1127</v>
      </c>
      <c r="D33" s="779">
        <v>46146</v>
      </c>
      <c r="E33" s="780" t="s">
        <v>1238</v>
      </c>
      <c r="F33" s="785" t="s">
        <v>1239</v>
      </c>
      <c r="G33" s="346" t="s">
        <v>902</v>
      </c>
      <c r="H33" s="781" t="s">
        <v>235</v>
      </c>
      <c r="I33" s="346" t="s">
        <v>1125</v>
      </c>
      <c r="J33" s="346">
        <v>30</v>
      </c>
      <c r="K33" s="705" t="s">
        <v>30</v>
      </c>
      <c r="L33" s="584"/>
      <c r="M33" s="584"/>
      <c r="N33" s="584"/>
      <c r="O33" s="787" t="s">
        <v>1234</v>
      </c>
      <c r="P33" s="787"/>
      <c r="Q33" s="789" t="s">
        <v>1240</v>
      </c>
      <c r="R33" s="586"/>
      <c r="S33" s="586">
        <v>24</v>
      </c>
      <c r="T33" s="586"/>
      <c r="U33" s="586"/>
      <c r="V33" s="586"/>
      <c r="W33" s="586"/>
      <c r="X33" s="419"/>
      <c r="Y33" s="418"/>
      <c r="Z33" s="418"/>
      <c r="AA33" s="196" t="str">
        <f>_xlfn.XLOOKUP(Backlog[[#This Row],[Estado]],CatEstados[Estado],CatEstados[Fase],"Otro")</f>
        <v>Por hacer</v>
      </c>
      <c r="AB3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3" s="275" t="e">
        <f ca="1">IF(OR(#REF!="",NOT(ISNUMBER(Backlog[[#This Row],[Dias_abiertos]]))),"",IF(Backlog[[#This Row],[Dias_abiertos]]&lt;=7,"En plazo",IFERROR(IF(Backlog[[#This Row],[Dias_abiertos]]=_xlfn.XLOOKUP(TRIM(#REF!),CatSLA[Prioridad],CatSLA[SLA_dias],""),"En plazo","Fuera de plazo"),"Sin SLA")))</f>
        <v>#REF!</v>
      </c>
      <c r="AD33" s="248"/>
      <c r="AE33" s="248"/>
      <c r="AF33" s="248"/>
      <c r="AG33" s="248"/>
      <c r="AH33" s="248"/>
      <c r="AI33" s="248"/>
    </row>
    <row r="34" spans="1:35" ht="30.75" hidden="1">
      <c r="A34" s="346">
        <v>16416</v>
      </c>
      <c r="B34" s="777" t="s">
        <v>1088</v>
      </c>
      <c r="C34" s="778" t="s">
        <v>1127</v>
      </c>
      <c r="D34" s="779">
        <v>46136</v>
      </c>
      <c r="E34" s="780" t="s">
        <v>1241</v>
      </c>
      <c r="F34" s="785" t="s">
        <v>1242</v>
      </c>
      <c r="G34" s="346" t="s">
        <v>902</v>
      </c>
      <c r="H34" s="781" t="s">
        <v>235</v>
      </c>
      <c r="I34" s="346" t="s">
        <v>1125</v>
      </c>
      <c r="J34" s="346">
        <v>31</v>
      </c>
      <c r="K34" s="705" t="s">
        <v>30</v>
      </c>
      <c r="L34" s="584"/>
      <c r="M34" s="584"/>
      <c r="N34" s="584"/>
      <c r="O34" s="787" t="s">
        <v>1234</v>
      </c>
      <c r="P34" s="787"/>
      <c r="Q34" s="789" t="s">
        <v>1243</v>
      </c>
      <c r="R34" s="586"/>
      <c r="S34" s="586">
        <v>24</v>
      </c>
      <c r="T34" s="586"/>
      <c r="U34" s="586"/>
      <c r="V34" s="586"/>
      <c r="W34" s="586"/>
      <c r="X34" s="419"/>
      <c r="Y34" s="418"/>
      <c r="Z34" s="418"/>
      <c r="AA34" s="196" t="str">
        <f>_xlfn.XLOOKUP(Backlog[[#This Row],[Estado]],CatEstados[Estado],CatEstados[Fase],"Otro")</f>
        <v>Por hacer</v>
      </c>
      <c r="AB3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4" s="275" t="e">
        <f ca="1">IF(OR(#REF!="",NOT(ISNUMBER(Backlog[[#This Row],[Dias_abiertos]]))),"",IF(Backlog[[#This Row],[Dias_abiertos]]&lt;=7,"En plazo",IFERROR(IF(Backlog[[#This Row],[Dias_abiertos]]=_xlfn.XLOOKUP(TRIM(#REF!),CatSLA[Prioridad],CatSLA[SLA_dias],""),"En plazo","Fuera de plazo"),"Sin SLA")))</f>
        <v>#REF!</v>
      </c>
      <c r="AD34" s="248"/>
      <c r="AE34" s="248"/>
      <c r="AF34" s="248"/>
      <c r="AG34" s="248"/>
      <c r="AH34" s="248"/>
      <c r="AI34" s="248"/>
    </row>
    <row r="35" spans="1:35" ht="30.75" hidden="1">
      <c r="A35" s="346">
        <v>16417</v>
      </c>
      <c r="B35" s="777" t="s">
        <v>1088</v>
      </c>
      <c r="C35" s="778" t="s">
        <v>1127</v>
      </c>
      <c r="D35" s="779">
        <v>46136</v>
      </c>
      <c r="E35" s="780" t="s">
        <v>1244</v>
      </c>
      <c r="F35" s="785" t="s">
        <v>1245</v>
      </c>
      <c r="G35" s="346" t="s">
        <v>902</v>
      </c>
      <c r="H35" s="781" t="s">
        <v>235</v>
      </c>
      <c r="I35" s="346" t="s">
        <v>1125</v>
      </c>
      <c r="J35" s="346">
        <v>32</v>
      </c>
      <c r="K35" s="705" t="s">
        <v>30</v>
      </c>
      <c r="L35" s="584"/>
      <c r="M35" s="584"/>
      <c r="N35" s="584"/>
      <c r="O35" s="787" t="s">
        <v>1234</v>
      </c>
      <c r="P35" s="787"/>
      <c r="Q35" s="789" t="s">
        <v>1246</v>
      </c>
      <c r="R35" s="586"/>
      <c r="S35" s="586">
        <v>24</v>
      </c>
      <c r="T35" s="586"/>
      <c r="U35" s="586"/>
      <c r="V35" s="586"/>
      <c r="W35" s="586"/>
      <c r="X35" s="419"/>
      <c r="Y35" s="418"/>
      <c r="Z35" s="418"/>
      <c r="AA35" s="196" t="str">
        <f>_xlfn.XLOOKUP(Backlog[[#This Row],[Estado]],CatEstados[Estado],CatEstados[Fase],"Otro")</f>
        <v>Por hacer</v>
      </c>
      <c r="AB3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5" s="275" t="e">
        <f ca="1">IF(OR(#REF!="",NOT(ISNUMBER(Backlog[[#This Row],[Dias_abiertos]]))),"",IF(Backlog[[#This Row],[Dias_abiertos]]&lt;=7,"En plazo",IFERROR(IF(Backlog[[#This Row],[Dias_abiertos]]=_xlfn.XLOOKUP(TRIM(#REF!),CatSLA[Prioridad],CatSLA[SLA_dias],""),"En plazo","Fuera de plazo"),"Sin SLA")))</f>
        <v>#REF!</v>
      </c>
      <c r="AD35" s="248"/>
      <c r="AE35" s="248"/>
      <c r="AF35" s="248"/>
      <c r="AG35" s="248"/>
      <c r="AH35" s="248"/>
      <c r="AI35" s="248"/>
    </row>
    <row r="36" spans="1:35" ht="30.75" hidden="1">
      <c r="A36" s="346">
        <v>16673</v>
      </c>
      <c r="B36" s="777" t="s">
        <v>1088</v>
      </c>
      <c r="C36" s="778" t="s">
        <v>1127</v>
      </c>
      <c r="D36" s="779">
        <v>46146</v>
      </c>
      <c r="E36" s="780" t="s">
        <v>1247</v>
      </c>
      <c r="F36" s="785" t="s">
        <v>1248</v>
      </c>
      <c r="G36" s="346" t="s">
        <v>902</v>
      </c>
      <c r="H36" s="781" t="s">
        <v>235</v>
      </c>
      <c r="I36" s="346" t="s">
        <v>1125</v>
      </c>
      <c r="J36" s="346">
        <v>35</v>
      </c>
      <c r="K36" s="705" t="s">
        <v>30</v>
      </c>
      <c r="L36" s="584"/>
      <c r="M36" s="584"/>
      <c r="N36" s="584"/>
      <c r="O36" s="787" t="s">
        <v>1234</v>
      </c>
      <c r="P36" s="787"/>
      <c r="Q36" s="789" t="s">
        <v>1249</v>
      </c>
      <c r="R36" s="586"/>
      <c r="S36" s="586">
        <v>24</v>
      </c>
      <c r="T36" s="586"/>
      <c r="U36" s="586"/>
      <c r="V36" s="586"/>
      <c r="W36" s="586"/>
      <c r="X36" s="419"/>
      <c r="Y36" s="418"/>
      <c r="Z36" s="418"/>
      <c r="AA36" s="196" t="str">
        <f>_xlfn.XLOOKUP(Backlog[[#This Row],[Estado]],CatEstados[Estado],CatEstados[Fase],"Otro")</f>
        <v>Por hacer</v>
      </c>
      <c r="AB3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6" s="275" t="e">
        <f ca="1">IF(OR(#REF!="",NOT(ISNUMBER(Backlog[[#This Row],[Dias_abiertos]]))),"",IF(Backlog[[#This Row],[Dias_abiertos]]&lt;=7,"En plazo",IFERROR(IF(Backlog[[#This Row],[Dias_abiertos]]=_xlfn.XLOOKUP(TRIM(#REF!),CatSLA[Prioridad],CatSLA[SLA_dias],""),"En plazo","Fuera de plazo"),"Sin SLA")))</f>
        <v>#REF!</v>
      </c>
      <c r="AD36" s="248"/>
      <c r="AE36" s="248"/>
      <c r="AF36" s="248"/>
      <c r="AG36" s="248"/>
      <c r="AH36" s="248"/>
      <c r="AI36" s="248"/>
    </row>
    <row r="37" spans="1:35" ht="30.75" hidden="1">
      <c r="A37" s="346">
        <v>16448</v>
      </c>
      <c r="B37" s="777" t="s">
        <v>1088</v>
      </c>
      <c r="C37" s="778" t="s">
        <v>1127</v>
      </c>
      <c r="D37" s="779">
        <v>46136</v>
      </c>
      <c r="E37" s="786" t="s">
        <v>1250</v>
      </c>
      <c r="F37" s="785" t="s">
        <v>1251</v>
      </c>
      <c r="G37" s="346" t="s">
        <v>902</v>
      </c>
      <c r="H37" s="781" t="s">
        <v>235</v>
      </c>
      <c r="I37" s="346" t="s">
        <v>1125</v>
      </c>
      <c r="J37" s="346">
        <v>39</v>
      </c>
      <c r="K37" s="705" t="s">
        <v>30</v>
      </c>
      <c r="L37" s="584"/>
      <c r="M37" s="584"/>
      <c r="N37" s="584"/>
      <c r="O37" s="787" t="s">
        <v>1234</v>
      </c>
      <c r="P37" s="787"/>
      <c r="Q37" s="789" t="s">
        <v>1252</v>
      </c>
      <c r="R37" s="586"/>
      <c r="S37" s="586">
        <v>24</v>
      </c>
      <c r="T37" s="586"/>
      <c r="U37" s="586"/>
      <c r="V37" s="586"/>
      <c r="W37" s="586"/>
      <c r="X37" s="419"/>
      <c r="Y37" s="418"/>
      <c r="Z37" s="418"/>
      <c r="AA37" s="196" t="str">
        <f>_xlfn.XLOOKUP(Backlog[[#This Row],[Estado]],CatEstados[Estado],CatEstados[Fase],"Otro")</f>
        <v>Por hacer</v>
      </c>
      <c r="AB3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7" s="275" t="e">
        <f ca="1">IF(OR(#REF!="",NOT(ISNUMBER(Backlog[[#This Row],[Dias_abiertos]]))),"",IF(Backlog[[#This Row],[Dias_abiertos]]&lt;=7,"En plazo",IFERROR(IF(Backlog[[#This Row],[Dias_abiertos]]=_xlfn.XLOOKUP(TRIM(#REF!),CatSLA[Prioridad],CatSLA[SLA_dias],""),"En plazo","Fuera de plazo"),"Sin SLA")))</f>
        <v>#REF!</v>
      </c>
      <c r="AD37" s="248"/>
      <c r="AE37" s="248"/>
      <c r="AF37" s="248"/>
      <c r="AG37" s="248"/>
      <c r="AH37" s="248"/>
      <c r="AI37" s="248"/>
    </row>
    <row r="38" spans="1:35" ht="30.75" hidden="1">
      <c r="A38" s="581" t="s">
        <v>1253</v>
      </c>
      <c r="B38" s="582" t="s">
        <v>1088</v>
      </c>
      <c r="C38" s="583" t="s">
        <v>1127</v>
      </c>
      <c r="D38" s="584">
        <v>46146</v>
      </c>
      <c r="E38" s="618" t="s">
        <v>1254</v>
      </c>
      <c r="F38" s="585" t="s">
        <v>1255</v>
      </c>
      <c r="G38" s="586" t="s">
        <v>902</v>
      </c>
      <c r="H38" s="587" t="s">
        <v>235</v>
      </c>
      <c r="I38" s="586" t="s">
        <v>1125</v>
      </c>
      <c r="J38" s="588">
        <v>47</v>
      </c>
      <c r="K38" s="705" t="s">
        <v>30</v>
      </c>
      <c r="L38" s="584"/>
      <c r="M38" s="584"/>
      <c r="N38" s="584"/>
      <c r="O38" s="589" t="s">
        <v>1234</v>
      </c>
      <c r="P38" s="589"/>
      <c r="Q38" s="619"/>
      <c r="R38" s="586"/>
      <c r="S38" s="586">
        <v>24</v>
      </c>
      <c r="T38" s="586"/>
      <c r="U38" s="586"/>
      <c r="V38" s="586"/>
      <c r="W38" s="586"/>
      <c r="X38" s="419"/>
      <c r="Y38" s="418"/>
      <c r="Z38" s="418"/>
      <c r="AA38" s="196" t="str">
        <f>_xlfn.XLOOKUP(Backlog[[#This Row],[Estado]],CatEstados[Estado],CatEstados[Fase],"Otro")</f>
        <v>Por hacer</v>
      </c>
      <c r="AB3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8" s="275" t="e">
        <f ca="1">IF(OR(#REF!="",NOT(ISNUMBER(Backlog[[#This Row],[Dias_abiertos]]))),"",IF(Backlog[[#This Row],[Dias_abiertos]]&lt;=7,"En plazo",IFERROR(IF(Backlog[[#This Row],[Dias_abiertos]]=_xlfn.XLOOKUP(TRIM(#REF!),CatSLA[Prioridad],CatSLA[SLA_dias],""),"En plazo","Fuera de plazo"),"Sin SLA")))</f>
        <v>#REF!</v>
      </c>
      <c r="AD38" s="248"/>
      <c r="AE38" s="248"/>
      <c r="AF38" s="248"/>
      <c r="AG38" s="248"/>
      <c r="AH38" s="248"/>
      <c r="AI38" s="248"/>
    </row>
    <row r="39" spans="1:35" ht="30.75" hidden="1">
      <c r="A39" s="400">
        <v>16675</v>
      </c>
      <c r="B39" s="648" t="s">
        <v>1088</v>
      </c>
      <c r="C39" s="649" t="s">
        <v>1127</v>
      </c>
      <c r="D39" s="415">
        <v>46146</v>
      </c>
      <c r="E39" s="398" t="s">
        <v>1256</v>
      </c>
      <c r="F39" s="398"/>
      <c r="G39" s="400" t="s">
        <v>66</v>
      </c>
      <c r="H39" s="650" t="s">
        <v>235</v>
      </c>
      <c r="I39" s="400" t="s">
        <v>55</v>
      </c>
      <c r="J39" s="465">
        <v>100</v>
      </c>
      <c r="K39" s="400" t="s">
        <v>26</v>
      </c>
      <c r="L39" s="584"/>
      <c r="M39" s="584"/>
      <c r="N39" s="584"/>
      <c r="O39" s="399" t="s">
        <v>1234</v>
      </c>
      <c r="P39" s="399"/>
      <c r="Q39" s="729" t="s">
        <v>1257</v>
      </c>
      <c r="R39" s="400"/>
      <c r="S39" s="400">
        <v>80</v>
      </c>
      <c r="T39" s="400"/>
      <c r="U39" s="400"/>
      <c r="V39" s="400"/>
      <c r="W39" s="400"/>
      <c r="X39" s="436"/>
      <c r="Y39" s="418"/>
      <c r="Z39" s="418"/>
      <c r="AA39" s="196" t="str">
        <f>_xlfn.XLOOKUP(Backlog[[#This Row],[Estado]],CatEstados[Estado],CatEstados[Fase],"Otro")</f>
        <v>Por hacer</v>
      </c>
      <c r="AB3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39" s="275" t="e">
        <f ca="1">IF(OR(#REF!="",NOT(ISNUMBER(Backlog[[#This Row],[Dias_abiertos]]))),"",IF(Backlog[[#This Row],[Dias_abiertos]]&lt;=7,"En plazo",IFERROR(IF(Backlog[[#This Row],[Dias_abiertos]]=_xlfn.XLOOKUP(TRIM(#REF!),CatSLA[Prioridad],CatSLA[SLA_dias],""),"En plazo","Fuera de plazo"),"Sin SLA")))</f>
        <v>#REF!</v>
      </c>
      <c r="AD39" s="248"/>
      <c r="AE39" s="248"/>
      <c r="AF39" s="248"/>
      <c r="AG39" s="248"/>
      <c r="AH39" s="248"/>
      <c r="AI39" s="248"/>
    </row>
    <row r="40" spans="1:35" ht="30.75" hidden="1">
      <c r="A40" s="400">
        <v>16676</v>
      </c>
      <c r="B40" s="648" t="s">
        <v>1088</v>
      </c>
      <c r="C40" s="649" t="s">
        <v>1127</v>
      </c>
      <c r="D40" s="415">
        <v>46146</v>
      </c>
      <c r="E40" s="398" t="s">
        <v>1258</v>
      </c>
      <c r="F40" s="398"/>
      <c r="G40" s="400" t="s">
        <v>66</v>
      </c>
      <c r="H40" s="650" t="s">
        <v>235</v>
      </c>
      <c r="I40" s="400" t="s">
        <v>55</v>
      </c>
      <c r="J40" s="465">
        <v>101</v>
      </c>
      <c r="K40" s="400" t="s">
        <v>26</v>
      </c>
      <c r="L40" s="584"/>
      <c r="M40" s="584"/>
      <c r="N40" s="584"/>
      <c r="O40" s="399" t="s">
        <v>1234</v>
      </c>
      <c r="P40" s="399"/>
      <c r="Q40" s="729" t="s">
        <v>1259</v>
      </c>
      <c r="R40" s="400"/>
      <c r="S40" s="400">
        <v>80</v>
      </c>
      <c r="T40" s="400"/>
      <c r="U40" s="400"/>
      <c r="V40" s="400"/>
      <c r="W40" s="400"/>
      <c r="X40" s="436"/>
      <c r="Y40" s="418"/>
      <c r="Z40" s="418"/>
      <c r="AA40" s="196" t="str">
        <f>_xlfn.XLOOKUP(Backlog[[#This Row],[Estado]],CatEstados[Estado],CatEstados[Fase],"Otro")</f>
        <v>Por hacer</v>
      </c>
      <c r="AB4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0" s="275" t="e">
        <f ca="1">IF(OR(#REF!="",NOT(ISNUMBER(Backlog[[#This Row],[Dias_abiertos]]))),"",IF(Backlog[[#This Row],[Dias_abiertos]]&lt;=7,"En plazo",IFERROR(IF(Backlog[[#This Row],[Dias_abiertos]]=_xlfn.XLOOKUP(TRIM(#REF!),CatSLA[Prioridad],CatSLA[SLA_dias],""),"En plazo","Fuera de plazo"),"Sin SLA")))</f>
        <v>#REF!</v>
      </c>
      <c r="AD40" s="248"/>
      <c r="AE40" s="248"/>
      <c r="AF40" s="248"/>
      <c r="AG40" s="248"/>
      <c r="AH40" s="248"/>
      <c r="AI40" s="248"/>
    </row>
    <row r="41" spans="1:35" ht="30.75" hidden="1">
      <c r="A41" s="400">
        <v>16677</v>
      </c>
      <c r="B41" s="648" t="s">
        <v>1088</v>
      </c>
      <c r="C41" s="649" t="s">
        <v>1127</v>
      </c>
      <c r="D41" s="415">
        <v>46146</v>
      </c>
      <c r="E41" s="398" t="s">
        <v>1260</v>
      </c>
      <c r="F41" s="398"/>
      <c r="G41" s="400" t="s">
        <v>66</v>
      </c>
      <c r="H41" s="650" t="s">
        <v>235</v>
      </c>
      <c r="I41" s="400" t="s">
        <v>55</v>
      </c>
      <c r="J41" s="465">
        <v>102</v>
      </c>
      <c r="K41" s="400" t="s">
        <v>26</v>
      </c>
      <c r="L41" s="584"/>
      <c r="M41" s="584"/>
      <c r="N41" s="584"/>
      <c r="O41" s="399" t="s">
        <v>1234</v>
      </c>
      <c r="P41" s="399"/>
      <c r="Q41" s="729" t="s">
        <v>1261</v>
      </c>
      <c r="R41" s="400"/>
      <c r="S41" s="400">
        <v>80</v>
      </c>
      <c r="T41" s="400"/>
      <c r="U41" s="400"/>
      <c r="V41" s="400"/>
      <c r="W41" s="400"/>
      <c r="X41" s="436"/>
      <c r="Y41" s="418"/>
      <c r="Z41" s="418"/>
      <c r="AA41" s="196" t="str">
        <f>_xlfn.XLOOKUP(Backlog[[#This Row],[Estado]],CatEstados[Estado],CatEstados[Fase],"Otro")</f>
        <v>Por hacer</v>
      </c>
      <c r="AB4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1" s="275" t="e">
        <f ca="1">IF(OR(#REF!="",NOT(ISNUMBER(Backlog[[#This Row],[Dias_abiertos]]))),"",IF(Backlog[[#This Row],[Dias_abiertos]]&lt;=7,"En plazo",IFERROR(IF(Backlog[[#This Row],[Dias_abiertos]]=_xlfn.XLOOKUP(TRIM(#REF!),CatSLA[Prioridad],CatSLA[SLA_dias],""),"En plazo","Fuera de plazo"),"Sin SLA")))</f>
        <v>#REF!</v>
      </c>
      <c r="AD41" s="248"/>
      <c r="AE41" s="248"/>
      <c r="AF41" s="248"/>
      <c r="AG41" s="248"/>
      <c r="AH41" s="248"/>
      <c r="AI41" s="248"/>
    </row>
    <row r="42" spans="1:35" ht="30.75" hidden="1">
      <c r="A42" s="400">
        <v>16678</v>
      </c>
      <c r="B42" s="648" t="s">
        <v>1088</v>
      </c>
      <c r="C42" s="649" t="s">
        <v>1127</v>
      </c>
      <c r="D42" s="415">
        <v>46146</v>
      </c>
      <c r="E42" s="398" t="s">
        <v>1262</v>
      </c>
      <c r="F42" s="398"/>
      <c r="G42" s="400" t="s">
        <v>66</v>
      </c>
      <c r="H42" s="650" t="s">
        <v>235</v>
      </c>
      <c r="I42" s="400" t="s">
        <v>55</v>
      </c>
      <c r="J42" s="465">
        <v>103</v>
      </c>
      <c r="K42" s="400" t="s">
        <v>26</v>
      </c>
      <c r="L42" s="584"/>
      <c r="M42" s="584"/>
      <c r="N42" s="584"/>
      <c r="O42" s="399" t="s">
        <v>1234</v>
      </c>
      <c r="P42" s="399"/>
      <c r="Q42" s="729" t="s">
        <v>1263</v>
      </c>
      <c r="R42" s="400"/>
      <c r="S42" s="400">
        <v>40</v>
      </c>
      <c r="T42" s="400"/>
      <c r="U42" s="400"/>
      <c r="V42" s="400"/>
      <c r="W42" s="400"/>
      <c r="X42" s="436"/>
      <c r="Y42" s="418"/>
      <c r="Z42" s="418"/>
      <c r="AA42" s="196" t="str">
        <f>_xlfn.XLOOKUP(Backlog[[#This Row],[Estado]],CatEstados[Estado],CatEstados[Fase],"Otro")</f>
        <v>Por hacer</v>
      </c>
      <c r="AB4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2" s="275" t="e">
        <f ca="1">IF(OR(#REF!="",NOT(ISNUMBER(Backlog[[#This Row],[Dias_abiertos]]))),"",IF(Backlog[[#This Row],[Dias_abiertos]]&lt;=7,"En plazo",IFERROR(IF(Backlog[[#This Row],[Dias_abiertos]]=_xlfn.XLOOKUP(TRIM(#REF!),CatSLA[Prioridad],CatSLA[SLA_dias],""),"En plazo","Fuera de plazo"),"Sin SLA")))</f>
        <v>#REF!</v>
      </c>
      <c r="AD42" s="248"/>
      <c r="AE42" s="248"/>
      <c r="AF42" s="248"/>
      <c r="AG42" s="248"/>
      <c r="AH42" s="248"/>
      <c r="AI42" s="248"/>
    </row>
    <row r="43" spans="1:35" ht="45.75" hidden="1">
      <c r="A43" s="400">
        <v>16679</v>
      </c>
      <c r="B43" s="648" t="s">
        <v>1088</v>
      </c>
      <c r="C43" s="649" t="s">
        <v>1127</v>
      </c>
      <c r="D43" s="415">
        <v>46146</v>
      </c>
      <c r="E43" s="398" t="s">
        <v>1264</v>
      </c>
      <c r="F43" s="398" t="s">
        <v>1265</v>
      </c>
      <c r="G43" s="400" t="s">
        <v>66</v>
      </c>
      <c r="H43" s="650" t="s">
        <v>235</v>
      </c>
      <c r="I43" s="400" t="s">
        <v>55</v>
      </c>
      <c r="J43" s="465">
        <v>104</v>
      </c>
      <c r="K43" s="400" t="s">
        <v>26</v>
      </c>
      <c r="L43" s="584"/>
      <c r="M43" s="584"/>
      <c r="N43" s="584"/>
      <c r="O43" s="399" t="s">
        <v>1234</v>
      </c>
      <c r="P43" s="399"/>
      <c r="Q43" s="729" t="s">
        <v>1266</v>
      </c>
      <c r="R43" s="400"/>
      <c r="S43" s="400">
        <v>40</v>
      </c>
      <c r="T43" s="400"/>
      <c r="U43" s="400"/>
      <c r="V43" s="400"/>
      <c r="W43" s="400"/>
      <c r="X43" s="436"/>
      <c r="Y43" s="418"/>
      <c r="Z43" s="418"/>
      <c r="AA43" s="196" t="str">
        <f>_xlfn.XLOOKUP(Backlog[[#This Row],[Estado]],CatEstados[Estado],CatEstados[Fase],"Otro")</f>
        <v>Por hacer</v>
      </c>
      <c r="AB4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3" s="275" t="e">
        <f ca="1">IF(OR(#REF!="",NOT(ISNUMBER(Backlog[[#This Row],[Dias_abiertos]]))),"",IF(Backlog[[#This Row],[Dias_abiertos]]&lt;=7,"En plazo",IFERROR(IF(Backlog[[#This Row],[Dias_abiertos]]=_xlfn.XLOOKUP(TRIM(#REF!),CatSLA[Prioridad],CatSLA[SLA_dias],""),"En plazo","Fuera de plazo"),"Sin SLA")))</f>
        <v>#REF!</v>
      </c>
      <c r="AD43" s="248"/>
      <c r="AE43" s="248"/>
      <c r="AF43" s="248"/>
      <c r="AG43" s="248"/>
      <c r="AH43" s="248"/>
      <c r="AI43" s="248"/>
    </row>
    <row r="44" spans="1:35" ht="45.75" hidden="1">
      <c r="A44" s="396" t="s">
        <v>1267</v>
      </c>
      <c r="B44" s="649" t="s">
        <v>1088</v>
      </c>
      <c r="C44" s="649"/>
      <c r="D44" s="415">
        <v>46126</v>
      </c>
      <c r="E44" s="398" t="s">
        <v>1268</v>
      </c>
      <c r="F44" s="398" t="s">
        <v>1269</v>
      </c>
      <c r="G44" s="400" t="s">
        <v>1270</v>
      </c>
      <c r="H44" s="650" t="s">
        <v>1271</v>
      </c>
      <c r="I44" s="400" t="s">
        <v>55</v>
      </c>
      <c r="J44" s="465"/>
      <c r="K44" s="400" t="s">
        <v>26</v>
      </c>
      <c r="L44" s="348"/>
      <c r="M44" s="348"/>
      <c r="N44" s="348"/>
      <c r="O44" s="399"/>
      <c r="P44" s="399" t="s">
        <v>1272</v>
      </c>
      <c r="Q44" s="684"/>
      <c r="R44" s="400"/>
      <c r="S44" s="400">
        <v>80</v>
      </c>
      <c r="T44" s="400"/>
      <c r="U44" s="400"/>
      <c r="V44" s="400"/>
      <c r="W44" s="400"/>
      <c r="X44" s="436"/>
      <c r="Y44" s="418"/>
      <c r="Z44" s="418"/>
      <c r="AC44" s="275"/>
      <c r="AD44" s="248"/>
      <c r="AE44" s="248"/>
      <c r="AF44" s="248"/>
      <c r="AG44" s="248"/>
      <c r="AH44" s="248"/>
      <c r="AI44" s="248"/>
    </row>
    <row r="45" spans="1:35" ht="60.75" hidden="1">
      <c r="A45" s="396" t="s">
        <v>1273</v>
      </c>
      <c r="B45" s="649" t="s">
        <v>1087</v>
      </c>
      <c r="C45" s="649"/>
      <c r="D45" s="415">
        <v>46126</v>
      </c>
      <c r="E45" s="398" t="s">
        <v>1274</v>
      </c>
      <c r="F45" s="398" t="s">
        <v>1275</v>
      </c>
      <c r="G45" s="400" t="s">
        <v>70</v>
      </c>
      <c r="H45" s="401" t="s">
        <v>235</v>
      </c>
      <c r="I45" s="400" t="s">
        <v>55</v>
      </c>
      <c r="J45" s="465"/>
      <c r="K45" s="400" t="s">
        <v>26</v>
      </c>
      <c r="L45" s="348"/>
      <c r="M45" s="348"/>
      <c r="N45" s="348"/>
      <c r="O45" s="399"/>
      <c r="P45" s="399"/>
      <c r="Q45" s="684"/>
      <c r="R45" s="400"/>
      <c r="S45" s="400">
        <v>24</v>
      </c>
      <c r="T45" s="400"/>
      <c r="U45" s="400"/>
      <c r="V45" s="400"/>
      <c r="W45" s="400"/>
      <c r="X45" s="436"/>
      <c r="Y45" s="418"/>
      <c r="Z45" s="418"/>
      <c r="AC45" s="275"/>
      <c r="AD45" s="248"/>
      <c r="AE45" s="248"/>
      <c r="AF45" s="248"/>
      <c r="AG45" s="248"/>
      <c r="AH45" s="248"/>
      <c r="AI45" s="248"/>
    </row>
    <row r="46" spans="1:35" ht="30.75" hidden="1">
      <c r="A46" s="335" t="s">
        <v>1276</v>
      </c>
      <c r="B46" s="745" t="s">
        <v>1087</v>
      </c>
      <c r="C46" s="746" t="s">
        <v>1118</v>
      </c>
      <c r="D46" s="337">
        <v>46132</v>
      </c>
      <c r="E46" s="338" t="s">
        <v>1277</v>
      </c>
      <c r="F46" s="338" t="s">
        <v>1278</v>
      </c>
      <c r="G46" s="254" t="s">
        <v>70</v>
      </c>
      <c r="H46" s="742" t="s">
        <v>235</v>
      </c>
      <c r="I46" s="254"/>
      <c r="J46" s="456"/>
      <c r="K46" s="254" t="s">
        <v>32</v>
      </c>
      <c r="L46" s="348"/>
      <c r="M46" s="348"/>
      <c r="N46" s="348"/>
      <c r="O46" s="339" t="s">
        <v>1279</v>
      </c>
      <c r="P46" s="339" t="s">
        <v>1280</v>
      </c>
      <c r="Q46" s="571"/>
      <c r="R46" s="254"/>
      <c r="S46" s="254">
        <v>24</v>
      </c>
      <c r="T46" s="254"/>
      <c r="U46" s="254"/>
      <c r="V46" s="254"/>
      <c r="W46" s="254"/>
      <c r="X46" s="744"/>
      <c r="Y46" s="418"/>
      <c r="Z46" s="418"/>
      <c r="AC46" s="275"/>
      <c r="AD46" s="248"/>
      <c r="AE46" s="248"/>
      <c r="AF46" s="248"/>
      <c r="AG46" s="248"/>
      <c r="AH46" s="248"/>
      <c r="AI46" s="248"/>
    </row>
    <row r="47" spans="1:35" ht="30.75" hidden="1">
      <c r="A47" s="396" t="s">
        <v>1281</v>
      </c>
      <c r="B47" s="649" t="s">
        <v>1087</v>
      </c>
      <c r="C47" s="651"/>
      <c r="D47" s="415">
        <v>46132</v>
      </c>
      <c r="E47" s="398" t="s">
        <v>1282</v>
      </c>
      <c r="F47" s="398" t="s">
        <v>1283</v>
      </c>
      <c r="G47" s="400" t="s">
        <v>225</v>
      </c>
      <c r="H47" s="401" t="s">
        <v>235</v>
      </c>
      <c r="I47" s="400" t="s">
        <v>55</v>
      </c>
      <c r="J47" s="465"/>
      <c r="K47" s="400" t="s">
        <v>26</v>
      </c>
      <c r="L47" s="348"/>
      <c r="M47" s="348"/>
      <c r="N47" s="348"/>
      <c r="O47" s="399"/>
      <c r="P47" s="399"/>
      <c r="Q47" s="399"/>
      <c r="R47" s="400"/>
      <c r="S47" s="400">
        <v>16</v>
      </c>
      <c r="T47" s="400"/>
      <c r="U47" s="400"/>
      <c r="V47" s="400"/>
      <c r="W47" s="400"/>
      <c r="X47" s="436"/>
      <c r="Y47" s="418"/>
      <c r="Z47" s="418"/>
      <c r="AC47" s="275"/>
      <c r="AD47" s="248"/>
      <c r="AE47" s="248"/>
      <c r="AF47" s="248"/>
      <c r="AG47" s="248"/>
      <c r="AH47" s="248"/>
      <c r="AI47" s="248"/>
    </row>
    <row r="48" spans="1:35" ht="60.75" hidden="1">
      <c r="A48" s="652" t="s">
        <v>1284</v>
      </c>
      <c r="B48" s="397" t="s">
        <v>1088</v>
      </c>
      <c r="C48" s="400" t="s">
        <v>1127</v>
      </c>
      <c r="D48" s="415" t="s">
        <v>1285</v>
      </c>
      <c r="E48" s="653" t="s">
        <v>1286</v>
      </c>
      <c r="F48" s="654" t="s">
        <v>1287</v>
      </c>
      <c r="G48" s="400" t="s">
        <v>66</v>
      </c>
      <c r="H48" s="400" t="s">
        <v>415</v>
      </c>
      <c r="I48" s="655" t="s">
        <v>55</v>
      </c>
      <c r="J48" s="465"/>
      <c r="K48" s="400" t="s">
        <v>26</v>
      </c>
      <c r="L48" s="262"/>
      <c r="M48" s="262"/>
      <c r="N48" s="262"/>
      <c r="O48" s="399"/>
      <c r="P48" s="399"/>
      <c r="Q48" s="399"/>
      <c r="R48" s="400"/>
      <c r="S48" s="400">
        <v>8</v>
      </c>
      <c r="T48" s="400"/>
      <c r="U48" s="400"/>
      <c r="V48" s="400"/>
      <c r="W48" s="400"/>
      <c r="X48" s="730"/>
      <c r="Y48" s="418"/>
      <c r="Z48" s="418"/>
      <c r="AA48" s="196" t="str">
        <f>_xlfn.XLOOKUP(Backlog[[#This Row],[Estado]],CatEstados[Estado],CatEstados[Fase],"Otro")</f>
        <v>Por hacer</v>
      </c>
      <c r="AB4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8" s="275" t="e">
        <f ca="1">IF(OR(#REF!="",NOT(ISNUMBER(Backlog[[#This Row],[Dias_abiertos]]))),"",IF(Backlog[[#This Row],[Dias_abiertos]]&lt;=7,"En plazo",IFERROR(IF(Backlog[[#This Row],[Dias_abiertos]]=_xlfn.XLOOKUP(TRIM(#REF!),CatSLA[Prioridad],CatSLA[SLA_dias],""),"En plazo","Fuera de plazo"),"Sin SLA")))</f>
        <v>#REF!</v>
      </c>
      <c r="AD48" s="248"/>
      <c r="AE48" s="248"/>
      <c r="AF48" s="248"/>
      <c r="AG48" s="248"/>
      <c r="AH48" s="248"/>
      <c r="AI48" s="248"/>
    </row>
    <row r="49" spans="1:36" ht="30.75" hidden="1">
      <c r="A49" s="652" t="s">
        <v>1288</v>
      </c>
      <c r="B49" s="397" t="s">
        <v>1087</v>
      </c>
      <c r="C49" s="397"/>
      <c r="D49" s="415">
        <v>45915</v>
      </c>
      <c r="E49" s="653" t="s">
        <v>1289</v>
      </c>
      <c r="F49" s="398" t="s">
        <v>1290</v>
      </c>
      <c r="G49" s="400" t="s">
        <v>1270</v>
      </c>
      <c r="H49" s="400" t="s">
        <v>235</v>
      </c>
      <c r="I49" s="655" t="s">
        <v>55</v>
      </c>
      <c r="J49" s="465"/>
      <c r="K49" s="400" t="s">
        <v>26</v>
      </c>
      <c r="L49" s="262"/>
      <c r="M49" s="262"/>
      <c r="N49" s="262"/>
      <c r="O49" s="399" t="s">
        <v>1291</v>
      </c>
      <c r="P49" s="399"/>
      <c r="Q49" s="684"/>
      <c r="R49" s="400"/>
      <c r="S49" s="400">
        <v>60</v>
      </c>
      <c r="T49" s="400"/>
      <c r="U49" s="400"/>
      <c r="V49" s="400"/>
      <c r="W49" s="400"/>
      <c r="X49" s="730"/>
      <c r="Y49" s="418"/>
      <c r="Z49" s="418"/>
      <c r="AA49" s="196" t="str">
        <f>_xlfn.XLOOKUP(Backlog[[#This Row],[Estado]],CatEstados[Estado],CatEstados[Fase],"Otro")</f>
        <v>Por hacer</v>
      </c>
      <c r="AB4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49" s="275" t="e">
        <f ca="1">IF(OR(#REF!="",NOT(ISNUMBER(Backlog[[#This Row],[Dias_abiertos]]))),"",IF(Backlog[[#This Row],[Dias_abiertos]]&lt;=7,"En plazo",IFERROR(IF(Backlog[[#This Row],[Dias_abiertos]]=_xlfn.XLOOKUP(TRIM(#REF!),CatSLA[Prioridad],CatSLA[SLA_dias],""),"En plazo","Fuera de plazo"),"Sin SLA")))</f>
        <v>#REF!</v>
      </c>
      <c r="AD49" s="248"/>
      <c r="AE49" s="248"/>
      <c r="AF49" s="248"/>
      <c r="AG49" s="248"/>
      <c r="AH49" s="248"/>
      <c r="AI49" s="248"/>
    </row>
    <row r="50" spans="1:36" ht="45.75" hidden="1">
      <c r="A50" s="652" t="s">
        <v>1292</v>
      </c>
      <c r="B50" s="397" t="s">
        <v>1088</v>
      </c>
      <c r="C50" s="397"/>
      <c r="D50" s="415" t="s">
        <v>1293</v>
      </c>
      <c r="E50" s="653" t="s">
        <v>1294</v>
      </c>
      <c r="F50" s="398" t="s">
        <v>1295</v>
      </c>
      <c r="G50" s="400" t="s">
        <v>1270</v>
      </c>
      <c r="H50" s="400" t="s">
        <v>235</v>
      </c>
      <c r="I50" s="655" t="s">
        <v>55</v>
      </c>
      <c r="J50" s="465"/>
      <c r="K50" s="400" t="s">
        <v>26</v>
      </c>
      <c r="L50" s="262"/>
      <c r="M50" s="262"/>
      <c r="N50" s="262"/>
      <c r="O50" s="399" t="s">
        <v>1296</v>
      </c>
      <c r="P50" s="399"/>
      <c r="Q50" s="399"/>
      <c r="R50" s="400"/>
      <c r="S50" s="400">
        <v>120</v>
      </c>
      <c r="T50" s="400"/>
      <c r="U50" s="400"/>
      <c r="V50" s="400"/>
      <c r="W50" s="400"/>
      <c r="X50" s="730"/>
      <c r="Y50" s="418"/>
      <c r="Z50" s="418"/>
      <c r="AA50" s="196" t="str">
        <f>_xlfn.XLOOKUP(Backlog[[#This Row],[Estado]],CatEstados[Estado],CatEstados[Fase],"Otro")</f>
        <v>Por hacer</v>
      </c>
      <c r="AB5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0" s="275" t="e">
        <f ca="1">IF(OR(#REF!="",NOT(ISNUMBER(Backlog[[#This Row],[Dias_abiertos]]))),"",IF(Backlog[[#This Row],[Dias_abiertos]]&lt;=7,"En plazo",IFERROR(IF(Backlog[[#This Row],[Dias_abiertos]]=_xlfn.XLOOKUP(TRIM(#REF!),CatSLA[Prioridad],CatSLA[SLA_dias],""),"En plazo","Fuera de plazo"),"Sin SLA")))</f>
        <v>#REF!</v>
      </c>
      <c r="AD50" s="248"/>
      <c r="AE50" s="248"/>
      <c r="AF50" s="248"/>
      <c r="AG50" s="248"/>
      <c r="AH50" s="248"/>
      <c r="AI50" s="248"/>
    </row>
    <row r="51" spans="1:36" ht="30.75" hidden="1">
      <c r="A51" s="652" t="s">
        <v>1297</v>
      </c>
      <c r="B51" s="397" t="s">
        <v>1088</v>
      </c>
      <c r="C51" s="397"/>
      <c r="D51" s="415" t="s">
        <v>1293</v>
      </c>
      <c r="E51" s="653" t="s">
        <v>1298</v>
      </c>
      <c r="F51" s="398"/>
      <c r="G51" s="400" t="s">
        <v>1270</v>
      </c>
      <c r="H51" s="400" t="s">
        <v>235</v>
      </c>
      <c r="I51" s="655" t="s">
        <v>55</v>
      </c>
      <c r="J51" s="465"/>
      <c r="K51" s="400" t="s">
        <v>26</v>
      </c>
      <c r="L51" s="262"/>
      <c r="M51" s="262"/>
      <c r="N51" s="262"/>
      <c r="O51" s="399"/>
      <c r="P51" s="399"/>
      <c r="Q51" s="399"/>
      <c r="R51" s="400"/>
      <c r="S51" s="400">
        <v>120</v>
      </c>
      <c r="T51" s="400"/>
      <c r="U51" s="400"/>
      <c r="V51" s="400"/>
      <c r="W51" s="400"/>
      <c r="X51" s="730"/>
      <c r="Y51" s="418"/>
      <c r="Z51" s="418"/>
      <c r="AA51" s="196" t="str">
        <f>_xlfn.XLOOKUP(Backlog[[#This Row],[Estado]],CatEstados[Estado],CatEstados[Fase],"Otro")</f>
        <v>Por hacer</v>
      </c>
      <c r="AB5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1" s="275" t="e">
        <f ca="1">IF(OR(#REF!="",NOT(ISNUMBER(Backlog[[#This Row],[Dias_abiertos]]))),"",IF(Backlog[[#This Row],[Dias_abiertos]]&lt;=7,"En plazo",IFERROR(IF(Backlog[[#This Row],[Dias_abiertos]]=_xlfn.XLOOKUP(TRIM(#REF!),CatSLA[Prioridad],CatSLA[SLA_dias],""),"En plazo","Fuera de plazo"),"Sin SLA")))</f>
        <v>#REF!</v>
      </c>
      <c r="AD51" s="248"/>
      <c r="AE51" s="248"/>
      <c r="AF51" s="248"/>
      <c r="AG51" s="248"/>
      <c r="AH51" s="248"/>
      <c r="AI51" s="248"/>
    </row>
    <row r="52" spans="1:36" ht="137.25" hidden="1">
      <c r="A52" s="652" t="s">
        <v>1299</v>
      </c>
      <c r="B52" s="397" t="s">
        <v>1087</v>
      </c>
      <c r="C52" s="397"/>
      <c r="D52" s="415" t="s">
        <v>1293</v>
      </c>
      <c r="E52" s="653" t="s">
        <v>1300</v>
      </c>
      <c r="F52" s="398" t="s">
        <v>1301</v>
      </c>
      <c r="G52" s="400" t="s">
        <v>1270</v>
      </c>
      <c r="H52" s="656" t="s">
        <v>235</v>
      </c>
      <c r="I52" s="655" t="s">
        <v>55</v>
      </c>
      <c r="J52" s="465"/>
      <c r="K52" s="400" t="s">
        <v>26</v>
      </c>
      <c r="L52" s="262"/>
      <c r="M52" s="262"/>
      <c r="N52" s="262"/>
      <c r="O52" s="399"/>
      <c r="P52" s="399"/>
      <c r="Q52" s="684"/>
      <c r="R52" s="400" t="s">
        <v>1302</v>
      </c>
      <c r="S52" s="400">
        <v>180</v>
      </c>
      <c r="T52" s="400"/>
      <c r="U52" s="400"/>
      <c r="V52" s="400"/>
      <c r="W52" s="400"/>
      <c r="X52" s="730"/>
      <c r="Y52" s="418"/>
      <c r="Z52" s="418"/>
      <c r="AA52" s="196" t="str">
        <f>_xlfn.XLOOKUP(Backlog[[#This Row],[Estado]],CatEstados[Estado],CatEstados[Fase],"Otro")</f>
        <v>Por hacer</v>
      </c>
      <c r="AB5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2" s="275" t="e">
        <f ca="1">IF(OR(#REF!="",NOT(ISNUMBER(Backlog[[#This Row],[Dias_abiertos]]))),"",IF(Backlog[[#This Row],[Dias_abiertos]]&lt;=7,"En plazo",IFERROR(IF(Backlog[[#This Row],[Dias_abiertos]]=_xlfn.XLOOKUP(TRIM(#REF!),CatSLA[Prioridad],CatSLA[SLA_dias],""),"En plazo","Fuera de plazo"),"Sin SLA")))</f>
        <v>#REF!</v>
      </c>
      <c r="AD52" s="248"/>
      <c r="AE52" s="248"/>
      <c r="AF52" s="248"/>
      <c r="AG52" s="248"/>
      <c r="AH52" s="248"/>
      <c r="AI52" s="248"/>
    </row>
    <row r="53" spans="1:36" ht="45.75" hidden="1">
      <c r="A53" s="511" t="s">
        <v>1303</v>
      </c>
      <c r="B53" s="333" t="s">
        <v>1088</v>
      </c>
      <c r="C53" s="333"/>
      <c r="D53" s="262" t="s">
        <v>1293</v>
      </c>
      <c r="E53" s="329" t="s">
        <v>1304</v>
      </c>
      <c r="F53" s="198" t="s">
        <v>1305</v>
      </c>
      <c r="G53" s="236" t="s">
        <v>1270</v>
      </c>
      <c r="H53" s="236" t="s">
        <v>235</v>
      </c>
      <c r="I53" s="235" t="s">
        <v>55</v>
      </c>
      <c r="J53" s="452"/>
      <c r="K53" s="236" t="s">
        <v>10</v>
      </c>
      <c r="L53" s="262"/>
      <c r="M53" s="262"/>
      <c r="N53" s="262"/>
      <c r="O53" s="200"/>
      <c r="P53" s="200"/>
      <c r="Q53" s="200"/>
      <c r="R53" s="236" t="s">
        <v>1306</v>
      </c>
      <c r="S53" s="236">
        <v>0</v>
      </c>
      <c r="T53" s="236"/>
      <c r="U53" s="236"/>
      <c r="V53" s="236"/>
      <c r="W53" s="236"/>
      <c r="X53" s="422"/>
      <c r="Y53" s="418"/>
      <c r="Z53" s="418"/>
      <c r="AA53" s="196" t="str">
        <f>_xlfn.XLOOKUP(Backlog[[#This Row],[Estado]],CatEstados[Estado],CatEstados[Fase],"Otro")</f>
        <v>Otro</v>
      </c>
      <c r="AB5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3" s="275" t="e">
        <f ca="1">IF(OR(#REF!="",NOT(ISNUMBER(Backlog[[#This Row],[Dias_abiertos]]))),"",IF(Backlog[[#This Row],[Dias_abiertos]]&lt;=7,"En plazo",IFERROR(IF(Backlog[[#This Row],[Dias_abiertos]]=_xlfn.XLOOKUP(TRIM(#REF!),CatSLA[Prioridad],CatSLA[SLA_dias],""),"En plazo","Fuera de plazo"),"Sin SLA")))</f>
        <v>#REF!</v>
      </c>
      <c r="AD53" s="248"/>
      <c r="AE53" s="248"/>
      <c r="AF53" s="248"/>
      <c r="AG53" s="248"/>
      <c r="AH53" s="248"/>
      <c r="AI53" s="248"/>
    </row>
    <row r="54" spans="1:36" s="264" customFormat="1" ht="60.75" hidden="1">
      <c r="A54" s="652" t="s">
        <v>1307</v>
      </c>
      <c r="B54" s="397" t="s">
        <v>1087</v>
      </c>
      <c r="C54" s="397"/>
      <c r="D54" s="415" t="s">
        <v>1293</v>
      </c>
      <c r="E54" s="653" t="s">
        <v>1308</v>
      </c>
      <c r="F54" s="398" t="s">
        <v>1309</v>
      </c>
      <c r="G54" s="400" t="s">
        <v>1270</v>
      </c>
      <c r="H54" s="400" t="s">
        <v>235</v>
      </c>
      <c r="I54" s="655" t="s">
        <v>55</v>
      </c>
      <c r="J54" s="465"/>
      <c r="K54" s="400" t="s">
        <v>26</v>
      </c>
      <c r="L54" s="262"/>
      <c r="M54" s="262"/>
      <c r="N54" s="262"/>
      <c r="O54" s="399" t="s">
        <v>1310</v>
      </c>
      <c r="P54" s="399"/>
      <c r="Q54" s="399"/>
      <c r="R54" s="400" t="s">
        <v>1311</v>
      </c>
      <c r="S54" s="400">
        <v>60</v>
      </c>
      <c r="T54" s="400"/>
      <c r="U54" s="400"/>
      <c r="V54" s="400"/>
      <c r="W54" s="400"/>
      <c r="X54" s="730"/>
      <c r="Y54" s="418"/>
      <c r="Z54" s="418"/>
      <c r="AA54" s="196" t="str">
        <f>_xlfn.XLOOKUP(Backlog[[#This Row],[Estado]],CatEstados[Estado],CatEstados[Fase],"Otro")</f>
        <v>Por hacer</v>
      </c>
      <c r="AB5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4" s="275" t="e">
        <f ca="1">IF(OR(#REF!="",NOT(ISNUMBER(Backlog[[#This Row],[Dias_abiertos]]))),"",IF(Backlog[[#This Row],[Dias_abiertos]]&lt;=7,"En plazo",IFERROR(IF(Backlog[[#This Row],[Dias_abiertos]]=_xlfn.XLOOKUP(TRIM(#REF!),CatSLA[Prioridad],CatSLA[SLA_dias],""),"En plazo","Fuera de plazo"),"Sin SLA")))</f>
        <v>#REF!</v>
      </c>
    </row>
    <row r="55" spans="1:36" ht="30.75" hidden="1">
      <c r="A55" s="759" t="s">
        <v>1312</v>
      </c>
      <c r="B55" s="760" t="s">
        <v>1088</v>
      </c>
      <c r="C55" s="760"/>
      <c r="D55" s="558" t="s">
        <v>1293</v>
      </c>
      <c r="E55" s="761" t="s">
        <v>1313</v>
      </c>
      <c r="F55" s="559" t="s">
        <v>1314</v>
      </c>
      <c r="G55" s="561" t="s">
        <v>1270</v>
      </c>
      <c r="H55" s="561" t="s">
        <v>235</v>
      </c>
      <c r="I55" s="762" t="s">
        <v>55</v>
      </c>
      <c r="J55" s="763"/>
      <c r="K55" s="561" t="s">
        <v>24</v>
      </c>
      <c r="L55" s="262"/>
      <c r="M55" s="262"/>
      <c r="N55" s="262"/>
      <c r="O55" s="567" t="s">
        <v>1315</v>
      </c>
      <c r="P55" s="567"/>
      <c r="Q55" s="567"/>
      <c r="R55" s="561"/>
      <c r="S55" s="561"/>
      <c r="T55" s="561"/>
      <c r="U55" s="561"/>
      <c r="V55" s="561"/>
      <c r="W55" s="561"/>
      <c r="X55" s="764"/>
      <c r="Y55" s="418"/>
      <c r="Z55" s="418"/>
      <c r="AA55" s="196" t="str">
        <f>_xlfn.XLOOKUP(Backlog[[#This Row],[Estado]],CatEstados[Estado],CatEstados[Fase],"Otro")</f>
        <v>Implementación</v>
      </c>
      <c r="AB5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5" s="275" t="e">
        <f ca="1">IF(OR(#REF!="",NOT(ISNUMBER(Backlog[[#This Row],[Dias_abiertos]]))),"",IF(Backlog[[#This Row],[Dias_abiertos]]&lt;=7,"En plazo",IFERROR(IF(Backlog[[#This Row],[Dias_abiertos]]=_xlfn.XLOOKUP(TRIM(#REF!),CatSLA[Prioridad],CatSLA[SLA_dias],""),"En plazo","Fuera de plazo"),"Sin SLA")))</f>
        <v>#REF!</v>
      </c>
      <c r="AD55" s="248"/>
      <c r="AE55" s="248"/>
      <c r="AF55" s="248"/>
      <c r="AG55" s="248"/>
      <c r="AH55" s="248"/>
      <c r="AI55" s="248"/>
    </row>
    <row r="56" spans="1:36" ht="30.75" hidden="1">
      <c r="A56" s="396"/>
      <c r="B56" s="397" t="s">
        <v>1089</v>
      </c>
      <c r="C56" s="397"/>
      <c r="D56" s="415">
        <v>45849</v>
      </c>
      <c r="E56" s="398" t="s">
        <v>1316</v>
      </c>
      <c r="F56" s="398" t="s">
        <v>1317</v>
      </c>
      <c r="G56" s="400" t="s">
        <v>1270</v>
      </c>
      <c r="H56" s="400" t="s">
        <v>235</v>
      </c>
      <c r="I56" s="655" t="s">
        <v>55</v>
      </c>
      <c r="J56" s="465"/>
      <c r="K56" s="400" t="s">
        <v>26</v>
      </c>
      <c r="L56" s="262"/>
      <c r="M56" s="262"/>
      <c r="N56" s="262"/>
      <c r="O56" s="399" t="s">
        <v>1318</v>
      </c>
      <c r="P56" s="399"/>
      <c r="Q56" s="399"/>
      <c r="R56" s="400"/>
      <c r="S56" s="400">
        <v>8</v>
      </c>
      <c r="T56" s="400"/>
      <c r="U56" s="400"/>
      <c r="V56" s="400"/>
      <c r="W56" s="400"/>
      <c r="X56" s="730"/>
      <c r="Y56" s="418"/>
      <c r="Z56" s="418"/>
      <c r="AA56" s="196" t="str">
        <f>_xlfn.XLOOKUP(Backlog[[#This Row],[Estado]],CatEstados[Estado],CatEstados[Fase],"Otro")</f>
        <v>Por hacer</v>
      </c>
      <c r="AB5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6" s="275" t="e">
        <f ca="1">IF(OR(#REF!="",NOT(ISNUMBER(Backlog[[#This Row],[Dias_abiertos]]))),"",IF(Backlog[[#This Row],[Dias_abiertos]]&lt;=7,"En plazo",IFERROR(IF(Backlog[[#This Row],[Dias_abiertos]]=_xlfn.XLOOKUP(TRIM(#REF!),CatSLA[Prioridad],CatSLA[SLA_dias],""),"En plazo","Fuera de plazo"),"Sin SLA")))</f>
        <v>#REF!</v>
      </c>
      <c r="AD56" s="248"/>
      <c r="AE56" s="248"/>
      <c r="AF56" s="248"/>
      <c r="AG56" s="248"/>
      <c r="AH56" s="248"/>
      <c r="AI56" s="248"/>
      <c r="AJ56" s="203" t="s">
        <v>1319</v>
      </c>
    </row>
    <row r="57" spans="1:36" ht="45.75" hidden="1">
      <c r="A57" s="396" t="s">
        <v>1320</v>
      </c>
      <c r="B57" s="397" t="s">
        <v>1089</v>
      </c>
      <c r="C57" s="397"/>
      <c r="D57" s="415">
        <v>45853</v>
      </c>
      <c r="E57" s="398" t="s">
        <v>1321</v>
      </c>
      <c r="F57" s="398" t="s">
        <v>1322</v>
      </c>
      <c r="G57" s="400" t="s">
        <v>1270</v>
      </c>
      <c r="H57" s="400" t="s">
        <v>235</v>
      </c>
      <c r="I57" s="655" t="s">
        <v>55</v>
      </c>
      <c r="J57" s="465"/>
      <c r="K57" s="400" t="s">
        <v>26</v>
      </c>
      <c r="L57" s="262"/>
      <c r="M57" s="262"/>
      <c r="N57" s="262"/>
      <c r="O57" s="399"/>
      <c r="P57" s="399" t="s">
        <v>1323</v>
      </c>
      <c r="Q57" s="399"/>
      <c r="R57" s="400"/>
      <c r="S57" s="400">
        <v>0</v>
      </c>
      <c r="T57" s="400"/>
      <c r="U57" s="400"/>
      <c r="V57" s="400"/>
      <c r="W57" s="400"/>
      <c r="X57" s="730"/>
      <c r="Y57" s="418"/>
      <c r="Z57" s="418"/>
      <c r="AA57" s="196" t="str">
        <f>_xlfn.XLOOKUP(Backlog[[#This Row],[Estado]],CatEstados[Estado],CatEstados[Fase],"Otro")</f>
        <v>Por hacer</v>
      </c>
      <c r="AB5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7" s="275" t="e">
        <f ca="1">IF(OR(#REF!="",NOT(ISNUMBER(Backlog[[#This Row],[Dias_abiertos]]))),"",IF(Backlog[[#This Row],[Dias_abiertos]]&lt;=7,"En plazo",IFERROR(IF(Backlog[[#This Row],[Dias_abiertos]]=_xlfn.XLOOKUP(TRIM(#REF!),CatSLA[Prioridad],CatSLA[SLA_dias],""),"En plazo","Fuera de plazo"),"Sin SLA")))</f>
        <v>#REF!</v>
      </c>
      <c r="AD57" s="248"/>
      <c r="AE57" s="248"/>
      <c r="AF57" s="248"/>
      <c r="AG57" s="248"/>
      <c r="AH57" s="248"/>
      <c r="AI57" s="248"/>
    </row>
    <row r="58" spans="1:36" ht="45.75" hidden="1">
      <c r="A58" s="396" t="s">
        <v>1324</v>
      </c>
      <c r="B58" s="397" t="s">
        <v>1089</v>
      </c>
      <c r="C58" s="397"/>
      <c r="D58" s="415">
        <v>45861</v>
      </c>
      <c r="E58" s="398" t="s">
        <v>1325</v>
      </c>
      <c r="F58" s="398" t="s">
        <v>1326</v>
      </c>
      <c r="G58" s="400" t="s">
        <v>1270</v>
      </c>
      <c r="H58" s="400" t="s">
        <v>235</v>
      </c>
      <c r="I58" s="655" t="s">
        <v>55</v>
      </c>
      <c r="J58" s="465"/>
      <c r="K58" s="400" t="s">
        <v>26</v>
      </c>
      <c r="L58" s="262"/>
      <c r="M58" s="262"/>
      <c r="N58" s="262"/>
      <c r="O58" s="399"/>
      <c r="P58" s="399"/>
      <c r="Q58" s="399"/>
      <c r="R58" s="400"/>
      <c r="S58" s="400">
        <v>0</v>
      </c>
      <c r="T58" s="400"/>
      <c r="U58" s="400"/>
      <c r="V58" s="400"/>
      <c r="W58" s="400"/>
      <c r="X58" s="730"/>
      <c r="Y58" s="418"/>
      <c r="Z58" s="418"/>
      <c r="AA58" s="196" t="str">
        <f>_xlfn.XLOOKUP(Backlog[[#This Row],[Estado]],CatEstados[Estado],CatEstados[Fase],"Otro")</f>
        <v>Por hacer</v>
      </c>
      <c r="AB5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8" s="275" t="e">
        <f ca="1">IF(OR(#REF!="",NOT(ISNUMBER(Backlog[[#This Row],[Dias_abiertos]]))),"",IF(Backlog[[#This Row],[Dias_abiertos]]&lt;=7,"En plazo",IFERROR(IF(Backlog[[#This Row],[Dias_abiertos]]=_xlfn.XLOOKUP(TRIM(#REF!),CatSLA[Prioridad],CatSLA[SLA_dias],""),"En plazo","Fuera de plazo"),"Sin SLA")))</f>
        <v>#REF!</v>
      </c>
      <c r="AD58" s="248"/>
      <c r="AE58" s="248"/>
      <c r="AF58" s="248"/>
      <c r="AG58" s="248"/>
      <c r="AH58" s="248"/>
      <c r="AI58" s="248"/>
    </row>
    <row r="59" spans="1:36" ht="45.75" hidden="1">
      <c r="A59" s="396" t="s">
        <v>1327</v>
      </c>
      <c r="B59" s="397" t="s">
        <v>1089</v>
      </c>
      <c r="C59" s="397"/>
      <c r="D59" s="415">
        <v>45939</v>
      </c>
      <c r="E59" s="398" t="s">
        <v>1328</v>
      </c>
      <c r="F59" s="398" t="s">
        <v>1329</v>
      </c>
      <c r="G59" s="400" t="s">
        <v>1270</v>
      </c>
      <c r="H59" s="400" t="s">
        <v>235</v>
      </c>
      <c r="I59" s="655" t="s">
        <v>55</v>
      </c>
      <c r="J59" s="465"/>
      <c r="K59" s="400" t="s">
        <v>26</v>
      </c>
      <c r="L59" s="262"/>
      <c r="M59" s="262"/>
      <c r="N59" s="262"/>
      <c r="O59" s="399"/>
      <c r="P59" s="399" t="s">
        <v>1330</v>
      </c>
      <c r="Q59" s="684"/>
      <c r="R59" s="400"/>
      <c r="S59" s="400">
        <v>0</v>
      </c>
      <c r="T59" s="400"/>
      <c r="U59" s="400"/>
      <c r="V59" s="400"/>
      <c r="W59" s="400"/>
      <c r="X59" s="730"/>
      <c r="Y59" s="418"/>
      <c r="Z59" s="418"/>
      <c r="AA59" s="196" t="str">
        <f>_xlfn.XLOOKUP(Backlog[[#This Row],[Estado]],CatEstados[Estado],CatEstados[Fase],"Otro")</f>
        <v>Por hacer</v>
      </c>
      <c r="AB5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59" s="275" t="e">
        <f ca="1">IF(OR(#REF!="",NOT(ISNUMBER(Backlog[[#This Row],[Dias_abiertos]]))),"",IF(Backlog[[#This Row],[Dias_abiertos]]&lt;=7,"En plazo",IFERROR(IF(Backlog[[#This Row],[Dias_abiertos]]=_xlfn.XLOOKUP(TRIM(#REF!),CatSLA[Prioridad],CatSLA[SLA_dias],""),"En plazo","Fuera de plazo"),"Sin SLA")))</f>
        <v>#REF!</v>
      </c>
      <c r="AD59" s="248"/>
      <c r="AE59" s="248"/>
      <c r="AF59" s="248"/>
      <c r="AG59" s="248"/>
      <c r="AH59" s="248"/>
      <c r="AI59" s="248"/>
    </row>
    <row r="60" spans="1:36" ht="45.75" hidden="1">
      <c r="A60" s="396" t="s">
        <v>1331</v>
      </c>
      <c r="B60" s="397" t="s">
        <v>1089</v>
      </c>
      <c r="C60" s="397"/>
      <c r="D60" s="415">
        <v>45939</v>
      </c>
      <c r="E60" s="398" t="s">
        <v>1332</v>
      </c>
      <c r="F60" s="398" t="s">
        <v>1329</v>
      </c>
      <c r="G60" s="400" t="s">
        <v>1270</v>
      </c>
      <c r="H60" s="400" t="s">
        <v>235</v>
      </c>
      <c r="I60" s="655" t="s">
        <v>55</v>
      </c>
      <c r="J60" s="465"/>
      <c r="K60" s="400" t="s">
        <v>26</v>
      </c>
      <c r="L60" s="262"/>
      <c r="M60" s="262"/>
      <c r="N60" s="262"/>
      <c r="O60" s="399"/>
      <c r="P60" s="399" t="s">
        <v>1330</v>
      </c>
      <c r="Q60" s="684"/>
      <c r="R60" s="400"/>
      <c r="S60" s="400">
        <v>0</v>
      </c>
      <c r="T60" s="400"/>
      <c r="U60" s="400"/>
      <c r="V60" s="400"/>
      <c r="W60" s="400"/>
      <c r="X60" s="730"/>
      <c r="Y60" s="418"/>
      <c r="Z60" s="418"/>
      <c r="AA60" s="196" t="str">
        <f>_xlfn.XLOOKUP(Backlog[[#This Row],[Estado]],CatEstados[Estado],CatEstados[Fase],"Otro")</f>
        <v>Por hacer</v>
      </c>
      <c r="AB6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0" s="275" t="e">
        <f ca="1">IF(OR(#REF!="",NOT(ISNUMBER(Backlog[[#This Row],[Dias_abiertos]]))),"",IF(Backlog[[#This Row],[Dias_abiertos]]&lt;=7,"En plazo",IFERROR(IF(Backlog[[#This Row],[Dias_abiertos]]=_xlfn.XLOOKUP(TRIM(#REF!),CatSLA[Prioridad],CatSLA[SLA_dias],""),"En plazo","Fuera de plazo"),"Sin SLA")))</f>
        <v>#REF!</v>
      </c>
      <c r="AD60" s="248"/>
      <c r="AE60" s="248"/>
      <c r="AF60" s="248"/>
      <c r="AG60" s="248"/>
      <c r="AH60" s="248"/>
      <c r="AI60" s="248"/>
    </row>
    <row r="61" spans="1:36" ht="45.75" hidden="1">
      <c r="A61" s="396" t="s">
        <v>1333</v>
      </c>
      <c r="B61" s="397" t="s">
        <v>1089</v>
      </c>
      <c r="C61" s="397"/>
      <c r="D61" s="415">
        <v>45939</v>
      </c>
      <c r="E61" s="398" t="s">
        <v>1334</v>
      </c>
      <c r="F61" s="398" t="s">
        <v>1329</v>
      </c>
      <c r="G61" s="400" t="s">
        <v>1270</v>
      </c>
      <c r="H61" s="400" t="s">
        <v>235</v>
      </c>
      <c r="I61" s="655" t="s">
        <v>55</v>
      </c>
      <c r="J61" s="465"/>
      <c r="K61" s="400" t="s">
        <v>26</v>
      </c>
      <c r="L61" s="262"/>
      <c r="M61" s="262"/>
      <c r="N61" s="262"/>
      <c r="O61" s="399"/>
      <c r="P61" s="399" t="s">
        <v>1330</v>
      </c>
      <c r="Q61" s="684"/>
      <c r="R61" s="400"/>
      <c r="S61" s="400">
        <v>0</v>
      </c>
      <c r="T61" s="400"/>
      <c r="U61" s="400"/>
      <c r="V61" s="400"/>
      <c r="W61" s="400"/>
      <c r="X61" s="730"/>
      <c r="Y61" s="418"/>
      <c r="Z61" s="418"/>
      <c r="AA61" s="196" t="str">
        <f>_xlfn.XLOOKUP(Backlog[[#This Row],[Estado]],CatEstados[Estado],CatEstados[Fase],"Otro")</f>
        <v>Por hacer</v>
      </c>
      <c r="AB6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1" s="275" t="e">
        <f ca="1">IF(OR(#REF!="",NOT(ISNUMBER(Backlog[[#This Row],[Dias_abiertos]]))),"",IF(Backlog[[#This Row],[Dias_abiertos]]&lt;=7,"En plazo",IFERROR(IF(Backlog[[#This Row],[Dias_abiertos]]=_xlfn.XLOOKUP(TRIM(#REF!),CatSLA[Prioridad],CatSLA[SLA_dias],""),"En plazo","Fuera de plazo"),"Sin SLA")))</f>
        <v>#REF!</v>
      </c>
      <c r="AD61" s="248"/>
      <c r="AE61" s="248"/>
      <c r="AF61" s="248"/>
      <c r="AG61" s="248"/>
      <c r="AH61" s="248"/>
      <c r="AI61" s="248"/>
    </row>
    <row r="62" spans="1:36" ht="60.75" hidden="1">
      <c r="A62" s="660" t="s">
        <v>1335</v>
      </c>
      <c r="B62" s="397" t="s">
        <v>1087</v>
      </c>
      <c r="C62" s="397"/>
      <c r="D62" s="415">
        <v>45856</v>
      </c>
      <c r="E62" s="398" t="s">
        <v>1336</v>
      </c>
      <c r="F62" s="661" t="s">
        <v>1337</v>
      </c>
      <c r="G62" s="400" t="s">
        <v>1270</v>
      </c>
      <c r="H62" s="400" t="s">
        <v>235</v>
      </c>
      <c r="I62" s="400" t="s">
        <v>55</v>
      </c>
      <c r="J62" s="400"/>
      <c r="K62" s="400" t="s">
        <v>26</v>
      </c>
      <c r="L62" s="262" t="s">
        <v>1338</v>
      </c>
      <c r="M62" s="262"/>
      <c r="N62" s="196"/>
      <c r="O62" s="436"/>
      <c r="P62" s="400" t="s">
        <v>1339</v>
      </c>
      <c r="Q62" s="731"/>
      <c r="R62" s="400"/>
      <c r="S62" s="400">
        <v>0</v>
      </c>
      <c r="T62" s="436"/>
      <c r="U62" s="436"/>
      <c r="V62" s="732"/>
      <c r="W62" s="732"/>
      <c r="X62" s="436"/>
      <c r="Y62" s="418"/>
      <c r="Z62" s="418"/>
      <c r="AA62" s="196" t="str">
        <f>_xlfn.XLOOKUP(Backlog[[#This Row],[Estado]],CatEstados[Estado],CatEstados[Fase],"Otro")</f>
        <v>Por hacer</v>
      </c>
      <c r="AB6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2" s="275" t="e">
        <f ca="1">IF(OR(#REF!="",NOT(ISNUMBER(Backlog[[#This Row],[Dias_abiertos]]))),"",IF(Backlog[[#This Row],[Dias_abiertos]]&lt;=7,"En plazo",IFERROR(IF(Backlog[[#This Row],[Dias_abiertos]]=_xlfn.XLOOKUP(TRIM(#REF!),CatSLA[Prioridad],CatSLA[SLA_dias],""),"En plazo","Fuera de plazo"),"Sin SLA")))</f>
        <v>#REF!</v>
      </c>
      <c r="AD62" s="248"/>
      <c r="AE62" s="248"/>
      <c r="AF62" s="248"/>
      <c r="AG62" s="248"/>
      <c r="AH62" s="248"/>
      <c r="AI62" s="248"/>
    </row>
    <row r="63" spans="1:36" ht="66.75" hidden="1" customHeight="1">
      <c r="A63" s="556" t="s">
        <v>1340</v>
      </c>
      <c r="B63" s="760" t="s">
        <v>1088</v>
      </c>
      <c r="C63" s="760"/>
      <c r="D63" s="558">
        <v>45974</v>
      </c>
      <c r="E63" s="559" t="s">
        <v>1341</v>
      </c>
      <c r="F63" s="559" t="s">
        <v>1342</v>
      </c>
      <c r="G63" s="561" t="s">
        <v>66</v>
      </c>
      <c r="H63" s="562" t="s">
        <v>235</v>
      </c>
      <c r="I63" s="561" t="s">
        <v>55</v>
      </c>
      <c r="J63" s="763"/>
      <c r="K63" s="561" t="s">
        <v>24</v>
      </c>
      <c r="L63" s="262"/>
      <c r="M63" s="262"/>
      <c r="N63" s="262"/>
      <c r="O63" s="567" t="s">
        <v>1343</v>
      </c>
      <c r="P63" s="567"/>
      <c r="Q63" s="567"/>
      <c r="R63" s="561"/>
      <c r="S63" s="561">
        <v>0</v>
      </c>
      <c r="T63" s="561"/>
      <c r="U63" s="561"/>
      <c r="V63" s="561"/>
      <c r="W63" s="561"/>
      <c r="X63" s="568"/>
      <c r="Y63" s="418"/>
      <c r="Z63" s="418"/>
      <c r="AA63" s="196" t="str">
        <f>_xlfn.XLOOKUP(Backlog[[#This Row],[Estado]],CatEstados[Estado],CatEstados[Fase],"Otro")</f>
        <v>Implementación</v>
      </c>
      <c r="AB6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3" s="197" t="e">
        <f ca="1">IF(OR(#REF!="",NOT(ISNUMBER(Backlog[[#This Row],[Dias_abiertos]]))),"",IF(Backlog[[#This Row],[Dias_abiertos]]&lt;=7,"En plazo",IFERROR(IF(Backlog[[#This Row],[Dias_abiertos]]=_xlfn.XLOOKUP(TRIM(#REF!),CatSLA[Prioridad],CatSLA[SLA_dias],""),"En plazo","Fuera de plazo"),"Sin SLA")))</f>
        <v>#REF!</v>
      </c>
      <c r="AD63" s="248"/>
      <c r="AE63" s="248"/>
      <c r="AF63" s="248"/>
      <c r="AG63" s="248"/>
      <c r="AH63" s="248"/>
      <c r="AI63" s="248"/>
    </row>
    <row r="64" spans="1:36" ht="76.5" hidden="1">
      <c r="A64" s="396" t="s">
        <v>1344</v>
      </c>
      <c r="B64" s="397" t="s">
        <v>1088</v>
      </c>
      <c r="C64" s="397"/>
      <c r="D64" s="415">
        <v>45978</v>
      </c>
      <c r="E64" s="398" t="s">
        <v>1345</v>
      </c>
      <c r="F64" s="436" t="s">
        <v>1346</v>
      </c>
      <c r="G64" s="400" t="s">
        <v>225</v>
      </c>
      <c r="H64" s="401" t="s">
        <v>1163</v>
      </c>
      <c r="I64" s="400" t="s">
        <v>55</v>
      </c>
      <c r="J64" s="465"/>
      <c r="K64" s="400" t="s">
        <v>26</v>
      </c>
      <c r="L64" s="348"/>
      <c r="M64" s="348"/>
      <c r="N64" s="348"/>
      <c r="O64" s="399" t="s">
        <v>1347</v>
      </c>
      <c r="P64" s="399"/>
      <c r="Q64" s="399"/>
      <c r="R64" s="400"/>
      <c r="S64" s="400">
        <v>60</v>
      </c>
      <c r="T64" s="400"/>
      <c r="U64" s="400"/>
      <c r="V64" s="400"/>
      <c r="W64" s="400"/>
      <c r="X64" s="436"/>
      <c r="Y64" s="418"/>
      <c r="Z64" s="418"/>
      <c r="AA64" s="196" t="str">
        <f>_xlfn.XLOOKUP(Backlog[[#This Row],[Estado]],CatEstados[Estado],CatEstados[Fase],"Otro")</f>
        <v>Por hacer</v>
      </c>
      <c r="AB6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4" s="275" t="e">
        <f ca="1">IF(OR(#REF!="",NOT(ISNUMBER(Backlog[[#This Row],[Dias_abiertos]]))),"",IF(Backlog[[#This Row],[Dias_abiertos]]&lt;=7,"En plazo",IFERROR(IF(Backlog[[#This Row],[Dias_abiertos]]=_xlfn.XLOOKUP(TRIM(#REF!),CatSLA[Prioridad],CatSLA[SLA_dias],""),"En plazo","Fuera de plazo"),"Sin SLA")))</f>
        <v>#REF!</v>
      </c>
      <c r="AD64" s="248"/>
      <c r="AE64" s="248"/>
      <c r="AF64" s="248"/>
      <c r="AG64" s="248"/>
      <c r="AH64" s="248"/>
      <c r="AI64" s="248"/>
    </row>
    <row r="65" spans="1:35" ht="45.75" hidden="1">
      <c r="A65" s="765" t="s">
        <v>1348</v>
      </c>
      <c r="B65" s="557" t="s">
        <v>1087</v>
      </c>
      <c r="C65" s="557"/>
      <c r="D65" s="558">
        <v>46059</v>
      </c>
      <c r="E65" s="559" t="s">
        <v>1349</v>
      </c>
      <c r="F65" s="559" t="s">
        <v>1350</v>
      </c>
      <c r="G65" s="561" t="s">
        <v>66</v>
      </c>
      <c r="H65" s="562" t="s">
        <v>235</v>
      </c>
      <c r="I65" s="561" t="s">
        <v>1125</v>
      </c>
      <c r="J65" s="763"/>
      <c r="K65" s="561" t="s">
        <v>24</v>
      </c>
      <c r="L65" s="348"/>
      <c r="M65" s="348"/>
      <c r="N65" s="348"/>
      <c r="O65" s="567" t="s">
        <v>1351</v>
      </c>
      <c r="P65" s="567" t="s">
        <v>1352</v>
      </c>
      <c r="Q65" s="567"/>
      <c r="R65" s="561"/>
      <c r="S65" s="561">
        <v>24</v>
      </c>
      <c r="T65" s="561"/>
      <c r="U65" s="561"/>
      <c r="V65" s="561"/>
      <c r="W65" s="561"/>
      <c r="X65" s="568"/>
      <c r="Y65" s="418"/>
      <c r="Z65" s="418"/>
      <c r="AA65" s="196" t="str">
        <f>_xlfn.XLOOKUP(Backlog[[#This Row],[Estado]],CatEstados[Estado],CatEstados[Fase],"Otro")</f>
        <v>Implementación</v>
      </c>
      <c r="AB6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5" s="275" t="e">
        <f ca="1">IF(OR(#REF!="",NOT(ISNUMBER(Backlog[[#This Row],[Dias_abiertos]]))),"",IF(Backlog[[#This Row],[Dias_abiertos]]&lt;=7,"En plazo",IFERROR(IF(Backlog[[#This Row],[Dias_abiertos]]=_xlfn.XLOOKUP(TRIM(#REF!),CatSLA[Prioridad],CatSLA[SLA_dias],""),"En plazo","Fuera de plazo"),"Sin SLA")))</f>
        <v>#REF!</v>
      </c>
      <c r="AD65" s="248"/>
      <c r="AE65" s="248"/>
      <c r="AF65" s="248"/>
      <c r="AG65" s="248"/>
      <c r="AH65" s="248"/>
      <c r="AI65" s="248"/>
    </row>
    <row r="66" spans="1:35" ht="45.75" hidden="1">
      <c r="A66" s="766" t="s">
        <v>1353</v>
      </c>
      <c r="B66" s="760" t="s">
        <v>1088</v>
      </c>
      <c r="C66" s="760"/>
      <c r="D66" s="558">
        <v>46050</v>
      </c>
      <c r="E66" s="559" t="s">
        <v>1354</v>
      </c>
      <c r="F66" s="559" t="s">
        <v>1355</v>
      </c>
      <c r="G66" s="561" t="s">
        <v>66</v>
      </c>
      <c r="H66" s="562" t="s">
        <v>1163</v>
      </c>
      <c r="I66" s="561" t="s">
        <v>55</v>
      </c>
      <c r="J66" s="763"/>
      <c r="K66" s="561" t="s">
        <v>24</v>
      </c>
      <c r="L66" s="348"/>
      <c r="M66" s="348"/>
      <c r="N66" s="348"/>
      <c r="O66" s="567" t="s">
        <v>1356</v>
      </c>
      <c r="P66" s="567"/>
      <c r="Q66" s="567"/>
      <c r="R66" s="561"/>
      <c r="S66" s="561">
        <v>0</v>
      </c>
      <c r="T66" s="561"/>
      <c r="U66" s="561"/>
      <c r="V66" s="561"/>
      <c r="W66" s="561"/>
      <c r="X66" s="568"/>
      <c r="Y66" s="418"/>
      <c r="Z66" s="418"/>
      <c r="AA66" s="196" t="str">
        <f>_xlfn.XLOOKUP(Backlog[[#This Row],[Estado]],CatEstados[Estado],CatEstados[Fase],"Otro")</f>
        <v>Implementación</v>
      </c>
      <c r="AB6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6" s="197" t="e">
        <f ca="1">IF(OR(#REF!="",NOT(ISNUMBER(Backlog[[#This Row],[Dias_abiertos]]))),"",IF(Backlog[[#This Row],[Dias_abiertos]]&lt;=7,"En plazo",IFERROR(IF(Backlog[[#This Row],[Dias_abiertos]]=_xlfn.XLOOKUP(TRIM(#REF!),CatSLA[Prioridad],CatSLA[SLA_dias],""),"En plazo","Fuera de plazo"),"Sin SLA")))</f>
        <v>#REF!</v>
      </c>
      <c r="AD66" s="248"/>
      <c r="AE66" s="248"/>
      <c r="AF66" s="248"/>
      <c r="AG66" s="248"/>
      <c r="AH66" s="248"/>
      <c r="AI66" s="248"/>
    </row>
    <row r="67" spans="1:35" ht="60.75" hidden="1">
      <c r="A67" s="632" t="s">
        <v>1357</v>
      </c>
      <c r="B67" s="623" t="s">
        <v>1087</v>
      </c>
      <c r="C67" s="623"/>
      <c r="D67" s="624">
        <v>46030</v>
      </c>
      <c r="E67" s="625" t="s">
        <v>1358</v>
      </c>
      <c r="F67" s="636" t="s">
        <v>1359</v>
      </c>
      <c r="G67" s="626" t="s">
        <v>98</v>
      </c>
      <c r="H67" s="631" t="s">
        <v>235</v>
      </c>
      <c r="I67" s="626"/>
      <c r="J67" s="627"/>
      <c r="K67" s="626" t="s">
        <v>10</v>
      </c>
      <c r="L67" s="348"/>
      <c r="M67" s="348"/>
      <c r="N67" s="348"/>
      <c r="O67" s="628"/>
      <c r="P67" s="628"/>
      <c r="Q67" s="628"/>
      <c r="R67" s="626"/>
      <c r="S67" s="626">
        <v>0</v>
      </c>
      <c r="T67" s="626"/>
      <c r="U67" s="626"/>
      <c r="V67" s="626"/>
      <c r="W67" s="626"/>
      <c r="X67" s="630"/>
      <c r="Y67" s="418"/>
      <c r="Z67" s="418"/>
      <c r="AA67" s="196" t="str">
        <f>_xlfn.XLOOKUP(Backlog[[#This Row],[Estado]],CatEstados[Estado],CatEstados[Fase],"Otro")</f>
        <v>Otro</v>
      </c>
      <c r="AB6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67" s="275" t="e">
        <f ca="1">IF(OR(#REF!="",NOT(ISNUMBER(Backlog[[#This Row],[Dias_abiertos]]))),"",IF(Backlog[[#This Row],[Dias_abiertos]]&lt;=7,"En plazo",IFERROR(IF(Backlog[[#This Row],[Dias_abiertos]]=_xlfn.XLOOKUP(TRIM(#REF!),CatSLA[Prioridad],CatSLA[SLA_dias],""),"En plazo","Fuera de plazo"),"Sin SLA")))</f>
        <v>#REF!</v>
      </c>
      <c r="AD67" s="248"/>
      <c r="AE67" s="248"/>
      <c r="AF67" s="248"/>
      <c r="AG67" s="248"/>
      <c r="AH67" s="248"/>
      <c r="AI67" s="248"/>
    </row>
    <row r="68" spans="1:35" ht="105.75" hidden="1" customHeight="1">
      <c r="A68" s="759" t="s">
        <v>1360</v>
      </c>
      <c r="B68" s="557" t="s">
        <v>1087</v>
      </c>
      <c r="C68" s="557"/>
      <c r="D68" s="558">
        <v>46084</v>
      </c>
      <c r="E68" s="559" t="s">
        <v>1361</v>
      </c>
      <c r="F68" s="767" t="s">
        <v>1362</v>
      </c>
      <c r="G68" s="768" t="s">
        <v>98</v>
      </c>
      <c r="H68" s="769" t="s">
        <v>235</v>
      </c>
      <c r="I68" s="561"/>
      <c r="J68" s="763"/>
      <c r="K68" s="561" t="s">
        <v>24</v>
      </c>
      <c r="L68" s="348"/>
      <c r="M68" s="348"/>
      <c r="N68" s="348"/>
      <c r="O68" s="567" t="s">
        <v>1363</v>
      </c>
      <c r="P68" s="567"/>
      <c r="Q68" s="567"/>
      <c r="R68" s="561"/>
      <c r="S68" s="561">
        <v>0</v>
      </c>
      <c r="T68" s="561"/>
      <c r="U68" s="561"/>
      <c r="V68" s="561"/>
      <c r="W68" s="561"/>
      <c r="X68" s="568"/>
      <c r="Y68" s="418"/>
      <c r="Z68" s="418"/>
      <c r="AC68" s="275"/>
      <c r="AD68" s="248"/>
      <c r="AE68" s="248"/>
      <c r="AF68" s="248"/>
      <c r="AG68" s="248"/>
      <c r="AH68" s="248"/>
      <c r="AI68" s="248"/>
    </row>
    <row r="69" spans="1:35" ht="78.75" hidden="1" customHeight="1">
      <c r="A69" s="335" t="s">
        <v>1364</v>
      </c>
      <c r="B69" s="336" t="s">
        <v>1088</v>
      </c>
      <c r="C69" s="336" t="s">
        <v>1118</v>
      </c>
      <c r="D69" s="337">
        <v>46088</v>
      </c>
      <c r="E69" s="742" t="s">
        <v>1365</v>
      </c>
      <c r="F69" s="338" t="s">
        <v>1366</v>
      </c>
      <c r="G69" s="254" t="s">
        <v>70</v>
      </c>
      <c r="H69" s="742" t="s">
        <v>235</v>
      </c>
      <c r="I69" s="254" t="s">
        <v>55</v>
      </c>
      <c r="J69" s="456"/>
      <c r="K69" s="254" t="s">
        <v>8</v>
      </c>
      <c r="L69" s="415"/>
      <c r="M69" s="415"/>
      <c r="N69" s="415"/>
      <c r="O69" s="339"/>
      <c r="P69" s="339"/>
      <c r="Q69" s="743" t="s">
        <v>1367</v>
      </c>
      <c r="R69" s="254"/>
      <c r="S69" s="254">
        <v>60</v>
      </c>
      <c r="T69" s="254"/>
      <c r="U69" s="254"/>
      <c r="V69" s="254"/>
      <c r="W69" s="254"/>
      <c r="X69" s="744"/>
      <c r="Y69" s="418"/>
      <c r="Z69" s="418"/>
      <c r="AD69" s="248"/>
      <c r="AE69" s="248"/>
      <c r="AF69" s="248"/>
      <c r="AG69" s="248"/>
      <c r="AH69" s="248"/>
      <c r="AI69" s="248"/>
    </row>
    <row r="70" spans="1:35" ht="90.75" hidden="1" customHeight="1">
      <c r="A70" s="621" t="s">
        <v>1368</v>
      </c>
      <c r="B70" s="633" t="s">
        <v>1088</v>
      </c>
      <c r="C70" s="633"/>
      <c r="D70" s="624">
        <v>46118</v>
      </c>
      <c r="E70" s="625" t="s">
        <v>1369</v>
      </c>
      <c r="F70" s="625" t="s">
        <v>1370</v>
      </c>
      <c r="G70" s="626" t="s">
        <v>98</v>
      </c>
      <c r="H70" s="631" t="s">
        <v>235</v>
      </c>
      <c r="I70" s="626"/>
      <c r="J70" s="627"/>
      <c r="K70" s="626" t="s">
        <v>10</v>
      </c>
      <c r="L70" s="415"/>
      <c r="M70" s="415"/>
      <c r="N70" s="415"/>
      <c r="O70" s="628"/>
      <c r="P70" s="628"/>
      <c r="Q70" s="628" t="s">
        <v>1371</v>
      </c>
      <c r="R70" s="626"/>
      <c r="S70" s="626">
        <v>0</v>
      </c>
      <c r="T70" s="626"/>
      <c r="U70" s="626"/>
      <c r="V70" s="626"/>
      <c r="W70" s="626"/>
      <c r="X70" s="630"/>
      <c r="Y70" s="418"/>
      <c r="Z70" s="418"/>
      <c r="AD70" s="248"/>
      <c r="AE70" s="248"/>
      <c r="AF70" s="248"/>
      <c r="AG70" s="248"/>
      <c r="AH70" s="248"/>
      <c r="AI70" s="248"/>
    </row>
    <row r="71" spans="1:35" ht="45.75" hidden="1">
      <c r="A71" s="632" t="s">
        <v>1372</v>
      </c>
      <c r="B71" s="623" t="s">
        <v>1089</v>
      </c>
      <c r="C71" s="623"/>
      <c r="D71" s="624">
        <v>45986</v>
      </c>
      <c r="E71" s="625" t="s">
        <v>1373</v>
      </c>
      <c r="F71" s="638" t="s">
        <v>1374</v>
      </c>
      <c r="G71" s="626" t="s">
        <v>1270</v>
      </c>
      <c r="H71" s="631" t="s">
        <v>235</v>
      </c>
      <c r="I71" s="626"/>
      <c r="J71" s="627"/>
      <c r="K71" s="626" t="s">
        <v>22</v>
      </c>
      <c r="L71" s="262"/>
      <c r="M71" s="262"/>
      <c r="N71" s="262"/>
      <c r="O71" s="628"/>
      <c r="P71" s="628"/>
      <c r="Q71" s="628"/>
      <c r="R71" s="626"/>
      <c r="S71" s="626">
        <v>0</v>
      </c>
      <c r="T71" s="626"/>
      <c r="U71" s="626"/>
      <c r="V71" s="626"/>
      <c r="W71" s="626"/>
      <c r="X71" s="630"/>
      <c r="Y71" s="418"/>
      <c r="Z71" s="418"/>
      <c r="AA71" s="196" t="str">
        <f>_xlfn.XLOOKUP(Backlog[[#This Row],[Estado]],CatEstados[Estado],CatEstados[Fase],"Otro")</f>
        <v>Otro</v>
      </c>
      <c r="AB7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1" s="197" t="e">
        <f ca="1">IF(OR(#REF!="",NOT(ISNUMBER(Backlog[[#This Row],[Dias_abiertos]]))),"",IF(Backlog[[#This Row],[Dias_abiertos]]&lt;=7,"En plazo",IFERROR(IF(Backlog[[#This Row],[Dias_abiertos]]=_xlfn.XLOOKUP(TRIM(#REF!),CatSLA[Prioridad],CatSLA[SLA_dias],""),"En plazo","Fuera de plazo"),"Sin SLA")))</f>
        <v>#REF!</v>
      </c>
      <c r="AD71" s="248"/>
      <c r="AE71" s="248"/>
      <c r="AF71" s="248"/>
      <c r="AG71" s="248"/>
      <c r="AH71" s="248"/>
      <c r="AI71" s="248"/>
    </row>
    <row r="72" spans="1:35" ht="76.5" hidden="1" customHeight="1">
      <c r="A72" s="652" t="s">
        <v>1375</v>
      </c>
      <c r="B72" s="397" t="s">
        <v>1088</v>
      </c>
      <c r="C72" s="397"/>
      <c r="D72" s="415">
        <v>45986</v>
      </c>
      <c r="E72" s="398" t="s">
        <v>1376</v>
      </c>
      <c r="F72" s="398" t="s">
        <v>1377</v>
      </c>
      <c r="G72" s="400" t="s">
        <v>66</v>
      </c>
      <c r="H72" s="681" t="s">
        <v>235</v>
      </c>
      <c r="I72" s="400" t="s">
        <v>55</v>
      </c>
      <c r="J72" s="465"/>
      <c r="K72" s="400" t="s">
        <v>26</v>
      </c>
      <c r="L72" s="262">
        <v>45993</v>
      </c>
      <c r="M72" s="262"/>
      <c r="N72" s="262"/>
      <c r="O72" s="399"/>
      <c r="P72" s="399"/>
      <c r="Q72" s="399"/>
      <c r="R72" s="400"/>
      <c r="S72" s="400">
        <v>20</v>
      </c>
      <c r="T72" s="400"/>
      <c r="U72" s="400"/>
      <c r="V72" s="400"/>
      <c r="W72" s="400"/>
      <c r="X72" s="436"/>
      <c r="Y72" s="418"/>
      <c r="Z72" s="418"/>
      <c r="AA72" s="196" t="str">
        <f>_xlfn.XLOOKUP(Backlog[[#This Row],[Estado]],CatEstados[Estado],CatEstados[Fase],"Otro")</f>
        <v>Por hacer</v>
      </c>
      <c r="AB7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2" s="197" t="e">
        <f ca="1">IF(OR(#REF!="",NOT(ISNUMBER(Backlog[[#This Row],[Dias_abiertos]]))),"",IF(Backlog[[#This Row],[Dias_abiertos]]&lt;=7,"En plazo",IFERROR(IF(Backlog[[#This Row],[Dias_abiertos]]=_xlfn.XLOOKUP(TRIM(#REF!),CatSLA[Prioridad],CatSLA[SLA_dias],""),"En plazo","Fuera de plazo"),"Sin SLA")))</f>
        <v>#REF!</v>
      </c>
      <c r="AD72" s="248"/>
      <c r="AE72" s="248"/>
      <c r="AF72" s="248"/>
      <c r="AG72" s="248"/>
      <c r="AH72" s="248"/>
      <c r="AI72" s="248"/>
    </row>
    <row r="73" spans="1:35" ht="30.75" hidden="1">
      <c r="A73" s="396" t="s">
        <v>1378</v>
      </c>
      <c r="B73" s="397" t="s">
        <v>1089</v>
      </c>
      <c r="C73" s="397"/>
      <c r="D73" s="415">
        <v>45994</v>
      </c>
      <c r="E73" s="398" t="s">
        <v>1379</v>
      </c>
      <c r="F73" s="398"/>
      <c r="G73" s="400" t="s">
        <v>1270</v>
      </c>
      <c r="H73" s="401" t="s">
        <v>235</v>
      </c>
      <c r="I73" s="400" t="s">
        <v>55</v>
      </c>
      <c r="J73" s="465"/>
      <c r="K73" s="400" t="s">
        <v>26</v>
      </c>
      <c r="L73" s="262"/>
      <c r="M73" s="262"/>
      <c r="N73" s="262"/>
      <c r="O73" s="399"/>
      <c r="P73" s="399"/>
      <c r="Q73" s="399"/>
      <c r="R73" s="400"/>
      <c r="S73" s="400">
        <v>8</v>
      </c>
      <c r="T73" s="400"/>
      <c r="U73" s="400"/>
      <c r="V73" s="400"/>
      <c r="W73" s="400"/>
      <c r="X73" s="436"/>
      <c r="Y73" s="418"/>
      <c r="Z73" s="418"/>
      <c r="AA73" s="196" t="str">
        <f>_xlfn.XLOOKUP(Backlog[[#This Row],[Estado]],CatEstados[Estado],CatEstados[Fase],"Otro")</f>
        <v>Por hacer</v>
      </c>
      <c r="AB7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3" s="197" t="e">
        <f ca="1">IF(OR(#REF!="",NOT(ISNUMBER(Backlog[[#This Row],[Dias_abiertos]]))),"",IF(Backlog[[#This Row],[Dias_abiertos]]&lt;=7,"En plazo",IFERROR(IF(Backlog[[#This Row],[Dias_abiertos]]=_xlfn.XLOOKUP(TRIM(#REF!),CatSLA[Prioridad],CatSLA[SLA_dias],""),"En plazo","Fuera de plazo"),"Sin SLA")))</f>
        <v>#REF!</v>
      </c>
      <c r="AD73" s="248"/>
      <c r="AE73" s="248"/>
      <c r="AF73" s="248"/>
      <c r="AG73" s="248"/>
      <c r="AH73" s="248"/>
      <c r="AI73" s="248"/>
    </row>
    <row r="74" spans="1:35" ht="30.75" hidden="1">
      <c r="A74" s="621" t="s">
        <v>1380</v>
      </c>
      <c r="B74" s="633" t="s">
        <v>1089</v>
      </c>
      <c r="C74" s="633"/>
      <c r="D74" s="624">
        <v>45994</v>
      </c>
      <c r="E74" s="625" t="s">
        <v>1381</v>
      </c>
      <c r="F74" s="625"/>
      <c r="G74" s="626" t="s">
        <v>1270</v>
      </c>
      <c r="H74" s="631" t="s">
        <v>235</v>
      </c>
      <c r="I74" s="626"/>
      <c r="J74" s="627"/>
      <c r="K74" s="626" t="s">
        <v>8</v>
      </c>
      <c r="L74" s="262"/>
      <c r="M74" s="262"/>
      <c r="N74" s="262"/>
      <c r="O74" s="628"/>
      <c r="P74" s="628"/>
      <c r="Q74" s="628"/>
      <c r="R74" s="626"/>
      <c r="S74" s="626">
        <v>0</v>
      </c>
      <c r="T74" s="626"/>
      <c r="U74" s="626"/>
      <c r="V74" s="626"/>
      <c r="W74" s="626"/>
      <c r="X74" s="630"/>
      <c r="Y74" s="418"/>
      <c r="Z74" s="418"/>
      <c r="AA74" s="196" t="str">
        <f>_xlfn.XLOOKUP(Backlog[[#This Row],[Estado]],CatEstados[Estado],CatEstados[Fase],"Otro")</f>
        <v>En curso</v>
      </c>
      <c r="AB7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4" s="197" t="e">
        <f ca="1">IF(OR(#REF!="",NOT(ISNUMBER(Backlog[[#This Row],[Dias_abiertos]]))),"",IF(Backlog[[#This Row],[Dias_abiertos]]&lt;=7,"En plazo",IFERROR(IF(Backlog[[#This Row],[Dias_abiertos]]=_xlfn.XLOOKUP(TRIM(#REF!),CatSLA[Prioridad],CatSLA[SLA_dias],""),"En plazo","Fuera de plazo"),"Sin SLA")))</f>
        <v>#REF!</v>
      </c>
      <c r="AD74" s="248"/>
      <c r="AE74" s="248"/>
      <c r="AF74" s="248"/>
      <c r="AG74" s="248"/>
      <c r="AH74" s="248"/>
      <c r="AI74" s="248"/>
    </row>
    <row r="75" spans="1:35" ht="26.25" hidden="1" customHeight="1">
      <c r="A75" s="396" t="s">
        <v>1382</v>
      </c>
      <c r="B75" s="397" t="s">
        <v>1089</v>
      </c>
      <c r="C75" s="397"/>
      <c r="D75" s="415">
        <v>45994</v>
      </c>
      <c r="E75" s="398" t="s">
        <v>1383</v>
      </c>
      <c r="F75" s="398"/>
      <c r="G75" s="400" t="s">
        <v>1270</v>
      </c>
      <c r="H75" s="401" t="s">
        <v>235</v>
      </c>
      <c r="I75" s="400" t="s">
        <v>55</v>
      </c>
      <c r="J75" s="465"/>
      <c r="K75" s="400" t="s">
        <v>26</v>
      </c>
      <c r="L75" s="262"/>
      <c r="M75" s="262"/>
      <c r="N75" s="262"/>
      <c r="O75" s="399"/>
      <c r="P75" s="399"/>
      <c r="Q75" s="399"/>
      <c r="R75" s="400"/>
      <c r="S75" s="400">
        <v>20</v>
      </c>
      <c r="T75" s="400"/>
      <c r="U75" s="400"/>
      <c r="V75" s="400"/>
      <c r="W75" s="400"/>
      <c r="X75" s="436"/>
      <c r="Y75" s="418"/>
      <c r="Z75" s="418"/>
      <c r="AA75" s="196" t="str">
        <f>_xlfn.XLOOKUP(Backlog[[#This Row],[Estado]],CatEstados[Estado],CatEstados[Fase],"Otro")</f>
        <v>Por hacer</v>
      </c>
      <c r="AB7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5" s="197" t="e">
        <f ca="1">IF(OR(#REF!="",NOT(ISNUMBER(Backlog[[#This Row],[Dias_abiertos]]))),"",IF(Backlog[[#This Row],[Dias_abiertos]]&lt;=7,"En plazo",IFERROR(IF(Backlog[[#This Row],[Dias_abiertos]]=_xlfn.XLOOKUP(TRIM(#REF!),CatSLA[Prioridad],CatSLA[SLA_dias],""),"En plazo","Fuera de plazo"),"Sin SLA")))</f>
        <v>#REF!</v>
      </c>
      <c r="AD75" s="248"/>
      <c r="AE75" s="248"/>
      <c r="AF75" s="248"/>
      <c r="AG75" s="248"/>
      <c r="AH75" s="248"/>
      <c r="AI75" s="248"/>
    </row>
    <row r="76" spans="1:35" ht="30.75" hidden="1" customHeight="1">
      <c r="A76" s="621" t="s">
        <v>1384</v>
      </c>
      <c r="B76" s="633" t="s">
        <v>1089</v>
      </c>
      <c r="C76" s="633"/>
      <c r="D76" s="624">
        <v>45994</v>
      </c>
      <c r="E76" s="625" t="s">
        <v>1385</v>
      </c>
      <c r="F76" s="625"/>
      <c r="G76" s="626" t="s">
        <v>1270</v>
      </c>
      <c r="H76" s="631" t="s">
        <v>235</v>
      </c>
      <c r="I76" s="626"/>
      <c r="J76" s="627"/>
      <c r="K76" s="626" t="s">
        <v>22</v>
      </c>
      <c r="L76" s="262"/>
      <c r="M76" s="262"/>
      <c r="N76" s="262"/>
      <c r="O76" s="628"/>
      <c r="P76" s="628"/>
      <c r="Q76" s="628"/>
      <c r="R76" s="626"/>
      <c r="S76" s="626">
        <v>0</v>
      </c>
      <c r="T76" s="626"/>
      <c r="U76" s="626"/>
      <c r="V76" s="626"/>
      <c r="W76" s="626"/>
      <c r="X76" s="630"/>
      <c r="Y76" s="418"/>
      <c r="Z76" s="418"/>
      <c r="AA76" s="196" t="str">
        <f>_xlfn.XLOOKUP(Backlog[[#This Row],[Estado]],CatEstados[Estado],CatEstados[Fase],"Otro")</f>
        <v>Otro</v>
      </c>
      <c r="AB7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6" s="197" t="e">
        <f ca="1">IF(OR(#REF!="",NOT(ISNUMBER(Backlog[[#This Row],[Dias_abiertos]]))),"",IF(Backlog[[#This Row],[Dias_abiertos]]&lt;=7,"En plazo",IFERROR(IF(Backlog[[#This Row],[Dias_abiertos]]=_xlfn.XLOOKUP(TRIM(#REF!),CatSLA[Prioridad],CatSLA[SLA_dias],""),"En plazo","Fuera de plazo"),"Sin SLA")))</f>
        <v>#REF!</v>
      </c>
      <c r="AD76" s="248"/>
      <c r="AE76" s="248"/>
      <c r="AF76" s="248"/>
      <c r="AG76" s="248"/>
      <c r="AH76" s="248"/>
      <c r="AI76" s="248"/>
    </row>
    <row r="77" spans="1:35" ht="60.75" hidden="1">
      <c r="A77" s="396" t="s">
        <v>1386</v>
      </c>
      <c r="B77" s="649" t="s">
        <v>1087</v>
      </c>
      <c r="C77" s="649"/>
      <c r="D77" s="415">
        <v>46000</v>
      </c>
      <c r="E77" s="398" t="s">
        <v>1387</v>
      </c>
      <c r="F77" s="699" t="s">
        <v>1388</v>
      </c>
      <c r="G77" s="400" t="s">
        <v>66</v>
      </c>
      <c r="H77" s="401" t="s">
        <v>235</v>
      </c>
      <c r="I77" s="400" t="s">
        <v>55</v>
      </c>
      <c r="J77" s="465"/>
      <c r="K77" s="400" t="s">
        <v>26</v>
      </c>
      <c r="L77" s="262"/>
      <c r="M77" s="262"/>
      <c r="N77" s="262"/>
      <c r="O77" s="399"/>
      <c r="P77" s="399"/>
      <c r="Q77" s="399"/>
      <c r="R77" s="400"/>
      <c r="S77" s="400">
        <v>16</v>
      </c>
      <c r="T77" s="400"/>
      <c r="U77" s="400"/>
      <c r="V77" s="400"/>
      <c r="W77" s="400"/>
      <c r="X77" s="436"/>
      <c r="Y77" s="418"/>
      <c r="Z77" s="418"/>
      <c r="AA77" s="196" t="str">
        <f>_xlfn.XLOOKUP(Backlog[[#This Row],[Estado]],CatEstados[Estado],CatEstados[Fase],"Otro")</f>
        <v>Por hacer</v>
      </c>
      <c r="AB7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7" s="197" t="e">
        <f ca="1">IF(OR(#REF!="",NOT(ISNUMBER(Backlog[[#This Row],[Dias_abiertos]]))),"",IF(Backlog[[#This Row],[Dias_abiertos]]&lt;=7,"En plazo",IFERROR(IF(Backlog[[#This Row],[Dias_abiertos]]=_xlfn.XLOOKUP(TRIM(#REF!),CatSLA[Prioridad],CatSLA[SLA_dias],""),"En plazo","Fuera de plazo"),"Sin SLA")))</f>
        <v>#REF!</v>
      </c>
      <c r="AD77" s="248"/>
      <c r="AE77" s="248"/>
      <c r="AF77" s="248"/>
      <c r="AG77" s="248"/>
      <c r="AH77" s="248"/>
      <c r="AI77" s="248"/>
    </row>
    <row r="78" spans="1:35" ht="229.5" hidden="1" customHeight="1">
      <c r="A78" s="733" t="s">
        <v>1389</v>
      </c>
      <c r="B78" s="397" t="s">
        <v>1088</v>
      </c>
      <c r="C78" s="397"/>
      <c r="D78" s="415">
        <v>46010</v>
      </c>
      <c r="E78" s="398" t="s">
        <v>1390</v>
      </c>
      <c r="F78" s="699" t="s">
        <v>1391</v>
      </c>
      <c r="G78" s="400" t="s">
        <v>75</v>
      </c>
      <c r="H78" s="401" t="s">
        <v>235</v>
      </c>
      <c r="I78" s="400" t="s">
        <v>55</v>
      </c>
      <c r="J78" s="465"/>
      <c r="K78" s="400" t="s">
        <v>26</v>
      </c>
      <c r="L78" s="348"/>
      <c r="M78" s="348"/>
      <c r="N78" s="348"/>
      <c r="O78" s="399"/>
      <c r="P78" s="399"/>
      <c r="Q78" s="399"/>
      <c r="R78" s="400"/>
      <c r="S78" s="400">
        <v>40</v>
      </c>
      <c r="T78" s="400"/>
      <c r="U78" s="400"/>
      <c r="V78" s="400"/>
      <c r="W78" s="400"/>
      <c r="X78" s="436"/>
      <c r="Y78" s="418"/>
      <c r="Z78" s="418"/>
      <c r="AA78" s="196" t="str">
        <f>_xlfn.XLOOKUP(Backlog[[#This Row],[Estado]],CatEstados[Estado],CatEstados[Fase],"Otro")</f>
        <v>Por hacer</v>
      </c>
      <c r="AB7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8" s="197" t="e">
        <f ca="1">IF(OR(#REF!="",NOT(ISNUMBER(Backlog[[#This Row],[Dias_abiertos]]))),"",IF(Backlog[[#This Row],[Dias_abiertos]]&lt;=7,"En plazo",IFERROR(IF(Backlog[[#This Row],[Dias_abiertos]]=_xlfn.XLOOKUP(TRIM(#REF!),CatSLA[Prioridad],CatSLA[SLA_dias],""),"En plazo","Fuera de plazo"),"Sin SLA")))</f>
        <v>#REF!</v>
      </c>
      <c r="AD78" s="248"/>
      <c r="AE78" s="248"/>
      <c r="AF78" s="248"/>
      <c r="AG78" s="248"/>
      <c r="AH78" s="248"/>
      <c r="AI78" s="248"/>
    </row>
    <row r="79" spans="1:35" ht="60.75" hidden="1">
      <c r="A79" s="621" t="s">
        <v>1392</v>
      </c>
      <c r="B79" s="728" t="s">
        <v>1088</v>
      </c>
      <c r="C79" s="633" t="s">
        <v>1393</v>
      </c>
      <c r="D79" s="624">
        <v>46154</v>
      </c>
      <c r="E79" s="625" t="s">
        <v>1394</v>
      </c>
      <c r="F79" s="625" t="s">
        <v>1395</v>
      </c>
      <c r="G79" s="626" t="s">
        <v>659</v>
      </c>
      <c r="H79" s="631" t="s">
        <v>235</v>
      </c>
      <c r="I79" s="626" t="s">
        <v>1125</v>
      </c>
      <c r="J79" s="627"/>
      <c r="K79" s="626" t="s">
        <v>28</v>
      </c>
      <c r="L79" s="348"/>
      <c r="M79" s="348"/>
      <c r="N79" s="348"/>
      <c r="O79" s="628" t="s">
        <v>1396</v>
      </c>
      <c r="P79" s="628" t="s">
        <v>1397</v>
      </c>
      <c r="Q79" s="629"/>
      <c r="R79" s="626"/>
      <c r="S79" s="626">
        <v>40</v>
      </c>
      <c r="T79" s="626"/>
      <c r="U79" s="626"/>
      <c r="V79" s="626"/>
      <c r="W79" s="626"/>
      <c r="X79" s="630"/>
      <c r="Y79" s="418"/>
      <c r="Z79" s="418"/>
      <c r="AA79" s="196" t="str">
        <f>_xlfn.XLOOKUP(Backlog[[#This Row],[Estado]],CatEstados[Estado],CatEstados[Fase],"Otro")</f>
        <v>Por hacer</v>
      </c>
      <c r="AB7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79" s="275" t="e">
        <f ca="1">IF(OR(#REF!="",NOT(ISNUMBER(Backlog[[#This Row],[Dias_abiertos]]))),"",IF(Backlog[[#This Row],[Dias_abiertos]]&lt;=7,"En plazo",IFERROR(IF(Backlog[[#This Row],[Dias_abiertos]]=_xlfn.XLOOKUP(TRIM(#REF!),CatSLA[Prioridad],CatSLA[SLA_dias],""),"En plazo","Fuera de plazo"),"Sin SLA")))</f>
        <v>#REF!</v>
      </c>
      <c r="AD79" s="248"/>
      <c r="AE79" s="248"/>
      <c r="AF79" s="248"/>
      <c r="AG79" s="248"/>
      <c r="AH79" s="248"/>
      <c r="AI79" s="248"/>
    </row>
    <row r="80" spans="1:35" ht="60.75" hidden="1">
      <c r="A80" s="621" t="s">
        <v>1398</v>
      </c>
      <c r="B80" s="758" t="s">
        <v>1088</v>
      </c>
      <c r="C80" s="633" t="s">
        <v>1393</v>
      </c>
      <c r="D80" s="624">
        <v>46154</v>
      </c>
      <c r="E80" s="625" t="s">
        <v>1399</v>
      </c>
      <c r="F80" s="625" t="s">
        <v>1400</v>
      </c>
      <c r="G80" s="626" t="s">
        <v>659</v>
      </c>
      <c r="H80" s="631" t="s">
        <v>235</v>
      </c>
      <c r="I80" s="626" t="s">
        <v>1125</v>
      </c>
      <c r="J80" s="627"/>
      <c r="K80" s="626" t="s">
        <v>26</v>
      </c>
      <c r="L80" s="348"/>
      <c r="M80" s="348"/>
      <c r="N80" s="348"/>
      <c r="O80" s="628"/>
      <c r="P80" s="628"/>
      <c r="Q80" s="629"/>
      <c r="R80" s="626"/>
      <c r="S80" s="626">
        <v>24</v>
      </c>
      <c r="T80" s="626"/>
      <c r="U80" s="626"/>
      <c r="V80" s="626"/>
      <c r="W80" s="626"/>
      <c r="X80" s="630"/>
      <c r="Y80" s="418"/>
      <c r="Z80" s="418"/>
      <c r="AA80" s="196" t="str">
        <f>_xlfn.XLOOKUP(Backlog[[#This Row],[Estado]],CatEstados[Estado],CatEstados[Fase],"Otro")</f>
        <v>Por hacer</v>
      </c>
      <c r="AB8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0" s="275" t="e">
        <f ca="1">IF(OR(#REF!="",NOT(ISNUMBER(Backlog[[#This Row],[Dias_abiertos]]))),"",IF(Backlog[[#This Row],[Dias_abiertos]]&lt;=7,"En plazo",IFERROR(IF(Backlog[[#This Row],[Dias_abiertos]]=_xlfn.XLOOKUP(TRIM(#REF!),CatSLA[Prioridad],CatSLA[SLA_dias],""),"En plazo","Fuera de plazo"),"Sin SLA")))</f>
        <v>#REF!</v>
      </c>
      <c r="AD80" s="248"/>
      <c r="AE80" s="248"/>
      <c r="AF80" s="248"/>
      <c r="AG80" s="248"/>
      <c r="AH80" s="248"/>
      <c r="AI80" s="248"/>
    </row>
    <row r="81" spans="1:36" ht="60.75" hidden="1">
      <c r="A81" s="759" t="s">
        <v>1401</v>
      </c>
      <c r="B81" s="770" t="s">
        <v>1087</v>
      </c>
      <c r="C81" s="770"/>
      <c r="D81" s="558">
        <v>46020</v>
      </c>
      <c r="E81" s="559" t="s">
        <v>1402</v>
      </c>
      <c r="F81" s="559" t="s">
        <v>1403</v>
      </c>
      <c r="G81" s="561" t="s">
        <v>98</v>
      </c>
      <c r="H81" s="562" t="s">
        <v>235</v>
      </c>
      <c r="I81" s="561"/>
      <c r="J81" s="763"/>
      <c r="K81" s="561" t="s">
        <v>24</v>
      </c>
      <c r="L81" s="348"/>
      <c r="M81" s="348"/>
      <c r="N81" s="348"/>
      <c r="O81" s="567"/>
      <c r="P81" s="567"/>
      <c r="Q81" s="771"/>
      <c r="R81" s="561"/>
      <c r="S81" s="561">
        <v>0</v>
      </c>
      <c r="T81" s="561"/>
      <c r="U81" s="561"/>
      <c r="V81" s="561"/>
      <c r="W81" s="561"/>
      <c r="X81" s="568"/>
      <c r="Y81" s="418"/>
      <c r="Z81" s="418"/>
      <c r="AA81" s="196" t="str">
        <f>_xlfn.XLOOKUP(Backlog[[#This Row],[Estado]],CatEstados[Estado],CatEstados[Fase],"Otro")</f>
        <v>Implementación</v>
      </c>
      <c r="AB8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1" s="275" t="e">
        <f ca="1">IF(OR(#REF!="",NOT(ISNUMBER(Backlog[[#This Row],[Dias_abiertos]]))),"",IF(Backlog[[#This Row],[Dias_abiertos]]&lt;=7,"En plazo",IFERROR(IF(Backlog[[#This Row],[Dias_abiertos]]=_xlfn.XLOOKUP(TRIM(#REF!),CatSLA[Prioridad],CatSLA[SLA_dias],""),"En plazo","Fuera de plazo"),"Sin SLA")))</f>
        <v>#REF!</v>
      </c>
      <c r="AD81" s="248"/>
      <c r="AE81" s="248"/>
      <c r="AF81" s="248"/>
      <c r="AG81" s="248"/>
      <c r="AH81" s="248"/>
      <c r="AI81" s="248"/>
      <c r="AJ81" s="203" t="s">
        <v>1319</v>
      </c>
    </row>
    <row r="82" spans="1:36" ht="45.75" hidden="1">
      <c r="A82" s="556" t="s">
        <v>1404</v>
      </c>
      <c r="B82" s="557" t="s">
        <v>1087</v>
      </c>
      <c r="C82" s="557"/>
      <c r="D82" s="558">
        <v>46027</v>
      </c>
      <c r="E82" s="559" t="s">
        <v>1405</v>
      </c>
      <c r="F82" s="559" t="s">
        <v>1406</v>
      </c>
      <c r="G82" s="561" t="s">
        <v>66</v>
      </c>
      <c r="H82" s="562" t="s">
        <v>235</v>
      </c>
      <c r="I82" s="561"/>
      <c r="J82" s="763"/>
      <c r="K82" s="561" t="s">
        <v>24</v>
      </c>
      <c r="L82" s="348"/>
      <c r="M82" s="348" t="s">
        <v>1338</v>
      </c>
      <c r="N82" s="348"/>
      <c r="O82" s="567"/>
      <c r="P82" s="567"/>
      <c r="Q82" s="567"/>
      <c r="R82" s="561"/>
      <c r="S82" s="561">
        <v>0</v>
      </c>
      <c r="T82" s="561"/>
      <c r="U82" s="561"/>
      <c r="V82" s="561"/>
      <c r="W82" s="561"/>
      <c r="X82" s="568"/>
      <c r="Y82" s="418"/>
      <c r="Z82" s="418"/>
      <c r="AA82" s="196" t="str">
        <f>_xlfn.XLOOKUP(Backlog[[#This Row],[Estado]],CatEstados[Estado],CatEstados[Fase],"Otro")</f>
        <v>Implementación</v>
      </c>
      <c r="AB82"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82" s="275" t="e">
        <f ca="1">IF(OR(#REF!="",NOT(ISNUMBER(Backlog[[#This Row],[Dias_abiertos]]))),"",IF(Backlog[[#This Row],[Dias_abiertos]]&lt;=7,"En plazo",IFERROR(IF(Backlog[[#This Row],[Dias_abiertos]]=_xlfn.XLOOKUP(TRIM(#REF!),CatSLA[Prioridad],CatSLA[SLA_dias],""),"En plazo","Fuera de plazo"),"Sin SLA")))</f>
        <v>#REF!</v>
      </c>
      <c r="AD82" s="248"/>
      <c r="AE82" s="248"/>
      <c r="AF82" s="248"/>
      <c r="AG82" s="248"/>
      <c r="AH82" s="248"/>
      <c r="AI82" s="248"/>
      <c r="AJ82" s="203" t="s">
        <v>1319</v>
      </c>
    </row>
    <row r="83" spans="1:36" ht="60.75" hidden="1">
      <c r="A83" s="640" t="s">
        <v>1407</v>
      </c>
      <c r="B83" s="623" t="s">
        <v>1087</v>
      </c>
      <c r="C83" s="623"/>
      <c r="D83" s="624">
        <v>46036</v>
      </c>
      <c r="E83" s="625" t="s">
        <v>1408</v>
      </c>
      <c r="F83" s="625" t="s">
        <v>1409</v>
      </c>
      <c r="G83" s="626" t="s">
        <v>225</v>
      </c>
      <c r="H83" s="631" t="s">
        <v>235</v>
      </c>
      <c r="I83" s="626"/>
      <c r="J83" s="627"/>
      <c r="K83" s="626" t="s">
        <v>26</v>
      </c>
      <c r="L83" s="348" t="s">
        <v>1338</v>
      </c>
      <c r="M83" s="348"/>
      <c r="N83" s="348"/>
      <c r="O83" s="628"/>
      <c r="P83" s="628"/>
      <c r="Q83" s="628"/>
      <c r="R83" s="626"/>
      <c r="S83" s="626">
        <v>36</v>
      </c>
      <c r="T83" s="626"/>
      <c r="U83" s="626"/>
      <c r="V83" s="626"/>
      <c r="W83" s="626"/>
      <c r="X83" s="630"/>
      <c r="Y83" s="418"/>
      <c r="Z83" s="418"/>
      <c r="AA83" s="196" t="str">
        <f>_xlfn.XLOOKUP(Backlog[[#This Row],[Estado]],CatEstados[Estado],CatEstados[Fase],"Otro")</f>
        <v>Por hacer</v>
      </c>
      <c r="AB8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3" s="275" t="e">
        <f ca="1">IF(OR(#REF!="",NOT(ISNUMBER(Backlog[[#This Row],[Dias_abiertos]]))),"",IF(Backlog[[#This Row],[Dias_abiertos]]&lt;=7,"En plazo",IFERROR(IF(Backlog[[#This Row],[Dias_abiertos]]=_xlfn.XLOOKUP(TRIM(#REF!),CatSLA[Prioridad],CatSLA[SLA_dias],""),"En plazo","Fuera de plazo"),"Sin SLA")))</f>
        <v>#REF!</v>
      </c>
      <c r="AD83" s="248"/>
      <c r="AE83" s="248"/>
      <c r="AF83" s="248"/>
      <c r="AG83" s="248"/>
      <c r="AH83" s="248"/>
      <c r="AI83" s="248"/>
    </row>
    <row r="84" spans="1:36" ht="30.75" hidden="1">
      <c r="A84" s="630" t="s">
        <v>1410</v>
      </c>
      <c r="B84" s="623" t="s">
        <v>1088</v>
      </c>
      <c r="C84" s="623"/>
      <c r="D84" s="624">
        <v>46052</v>
      </c>
      <c r="E84" s="625" t="s">
        <v>1411</v>
      </c>
      <c r="F84" s="637" t="s">
        <v>1412</v>
      </c>
      <c r="G84" s="626" t="s">
        <v>1413</v>
      </c>
      <c r="H84" s="631" t="s">
        <v>235</v>
      </c>
      <c r="I84" s="626"/>
      <c r="J84" s="627"/>
      <c r="K84" s="626" t="s">
        <v>26</v>
      </c>
      <c r="L84" s="348"/>
      <c r="M84" s="348" t="s">
        <v>1338</v>
      </c>
      <c r="N84" s="348"/>
      <c r="O84" s="628"/>
      <c r="P84" s="628"/>
      <c r="Q84" s="628"/>
      <c r="R84" s="626"/>
      <c r="S84" s="626">
        <v>40</v>
      </c>
      <c r="T84" s="626"/>
      <c r="U84" s="626"/>
      <c r="V84" s="626"/>
      <c r="W84" s="626"/>
      <c r="X84" s="630"/>
      <c r="Y84" s="418"/>
      <c r="Z84" s="418"/>
      <c r="AA84" s="196" t="str">
        <f>_xlfn.XLOOKUP(Backlog[[#This Row],[Estado]],CatEstados[Estado],CatEstados[Fase],"Otro")</f>
        <v>Por hacer</v>
      </c>
      <c r="AB84"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84" s="275" t="e">
        <f ca="1">IF(OR(#REF!="",NOT(ISNUMBER(Backlog[[#This Row],[Dias_abiertos]]))),"",IF(Backlog[[#This Row],[Dias_abiertos]]&lt;=7,"En plazo",IFERROR(IF(Backlog[[#This Row],[Dias_abiertos]]=_xlfn.XLOOKUP(TRIM(#REF!),CatSLA[Prioridad],CatSLA[SLA_dias],""),"En plazo","Fuera de plazo"),"Sin SLA")))</f>
        <v>#REF!</v>
      </c>
      <c r="AD84" s="248"/>
      <c r="AE84" s="248"/>
      <c r="AF84" s="248"/>
      <c r="AG84" s="248"/>
      <c r="AH84" s="248"/>
      <c r="AI84" s="248"/>
      <c r="AJ84" s="203" t="s">
        <v>1319</v>
      </c>
    </row>
    <row r="85" spans="1:36" ht="60.75" hidden="1">
      <c r="A85" s="759" t="s">
        <v>1414</v>
      </c>
      <c r="B85" s="557" t="s">
        <v>1087</v>
      </c>
      <c r="C85" s="557"/>
      <c r="D85" s="558">
        <v>46052</v>
      </c>
      <c r="E85" s="559" t="s">
        <v>1415</v>
      </c>
      <c r="F85" s="772" t="s">
        <v>1416</v>
      </c>
      <c r="G85" s="561" t="s">
        <v>1270</v>
      </c>
      <c r="H85" s="562" t="s">
        <v>235</v>
      </c>
      <c r="I85" s="561"/>
      <c r="J85" s="763"/>
      <c r="K85" s="561" t="s">
        <v>24</v>
      </c>
      <c r="L85" s="348"/>
      <c r="M85" s="348"/>
      <c r="N85" s="348"/>
      <c r="O85" s="567"/>
      <c r="P85" s="771"/>
      <c r="Q85" s="567"/>
      <c r="R85" s="561"/>
      <c r="S85" s="561">
        <v>0</v>
      </c>
      <c r="T85" s="561"/>
      <c r="U85" s="561"/>
      <c r="V85" s="561"/>
      <c r="W85" s="561"/>
      <c r="X85" s="568"/>
      <c r="Y85" s="418"/>
      <c r="Z85" s="418"/>
      <c r="AA85" s="196" t="str">
        <f>_xlfn.XLOOKUP(Backlog[[#This Row],[Estado]],CatEstados[Estado],CatEstados[Fase],"Otro")</f>
        <v>Implementación</v>
      </c>
      <c r="AB8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5" s="275" t="e">
        <f ca="1">IF(OR(#REF!="",NOT(ISNUMBER(Backlog[[#This Row],[Dias_abiertos]]))),"",IF(Backlog[[#This Row],[Dias_abiertos]]&lt;=7,"En plazo",IFERROR(IF(Backlog[[#This Row],[Dias_abiertos]]=_xlfn.XLOOKUP(TRIM(#REF!),CatSLA[Prioridad],CatSLA[SLA_dias],""),"En plazo","Fuera de plazo"),"Sin SLA")))</f>
        <v>#REF!</v>
      </c>
      <c r="AD85" s="248"/>
      <c r="AE85" s="248"/>
      <c r="AF85" s="248"/>
      <c r="AG85" s="248"/>
      <c r="AH85" s="248"/>
      <c r="AI85" s="248"/>
      <c r="AJ85" s="203" t="s">
        <v>1417</v>
      </c>
    </row>
    <row r="86" spans="1:36" ht="45.75" hidden="1">
      <c r="A86" s="621" t="s">
        <v>1418</v>
      </c>
      <c r="B86" s="623" t="s">
        <v>1088</v>
      </c>
      <c r="C86" s="623"/>
      <c r="D86" s="624">
        <v>46007</v>
      </c>
      <c r="E86" s="625" t="s">
        <v>1419</v>
      </c>
      <c r="F86" s="630" t="s">
        <v>1420</v>
      </c>
      <c r="G86" s="626" t="s">
        <v>66</v>
      </c>
      <c r="H86" s="631" t="s">
        <v>235</v>
      </c>
      <c r="I86" s="626"/>
      <c r="J86" s="627"/>
      <c r="K86" s="626" t="s">
        <v>26</v>
      </c>
      <c r="L86" s="348"/>
      <c r="M86" s="348"/>
      <c r="N86" s="348"/>
      <c r="O86" s="628"/>
      <c r="P86" s="634"/>
      <c r="Q86" s="628"/>
      <c r="R86" s="626"/>
      <c r="S86" s="626">
        <v>36</v>
      </c>
      <c r="T86" s="626"/>
      <c r="U86" s="626"/>
      <c r="V86" s="626"/>
      <c r="W86" s="626"/>
      <c r="X86" s="630"/>
      <c r="Y86" s="418"/>
      <c r="Z86" s="418"/>
      <c r="AA86" s="196" t="str">
        <f>_xlfn.XLOOKUP(Backlog[[#This Row],[Estado]],CatEstados[Estado],CatEstados[Fase],"Otro")</f>
        <v>Por hacer</v>
      </c>
      <c r="AB8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86" s="275" t="e">
        <f ca="1">IF(OR(#REF!="",NOT(ISNUMBER(Backlog[[#This Row],[Dias_abiertos]]))),"",IF(Backlog[[#This Row],[Dias_abiertos]]&lt;=7,"En plazo",IFERROR(IF(Backlog[[#This Row],[Dias_abiertos]]=_xlfn.XLOOKUP(TRIM(#REF!),CatSLA[Prioridad],CatSLA[SLA_dias],""),"En plazo","Fuera de plazo"),"Sin SLA")))</f>
        <v>#REF!</v>
      </c>
      <c r="AD86" s="248"/>
      <c r="AE86" s="248"/>
      <c r="AF86" s="248"/>
      <c r="AG86" s="248"/>
      <c r="AH86" s="248"/>
      <c r="AI86" s="248"/>
      <c r="AJ86" s="203" t="s">
        <v>1421</v>
      </c>
    </row>
    <row r="87" spans="1:36" ht="226.5" hidden="1" customHeight="1">
      <c r="A87" s="388" t="s">
        <v>1422</v>
      </c>
      <c r="B87" s="340" t="s">
        <v>1087</v>
      </c>
      <c r="C87" s="344" t="s">
        <v>1127</v>
      </c>
      <c r="D87" s="341" t="s">
        <v>1293</v>
      </c>
      <c r="E87" s="342" t="s">
        <v>1423</v>
      </c>
      <c r="F87" s="343" t="s">
        <v>1424</v>
      </c>
      <c r="G87" s="344" t="s">
        <v>1270</v>
      </c>
      <c r="H87" s="344" t="s">
        <v>235</v>
      </c>
      <c r="I87" s="450" t="s">
        <v>1125</v>
      </c>
      <c r="J87" s="451">
        <v>7</v>
      </c>
      <c r="K87" s="705" t="s">
        <v>30</v>
      </c>
      <c r="L87" s="341">
        <v>46053</v>
      </c>
      <c r="M87" s="341" t="s">
        <v>1338</v>
      </c>
      <c r="N87" s="341"/>
      <c r="O87" s="447" t="s">
        <v>1425</v>
      </c>
      <c r="P87" s="447"/>
      <c r="Q87" s="552" t="s">
        <v>1426</v>
      </c>
      <c r="R87" s="344"/>
      <c r="S87" s="344">
        <v>13</v>
      </c>
      <c r="T87" s="344"/>
      <c r="U87" s="344"/>
      <c r="V87" s="344"/>
      <c r="W87" s="344"/>
      <c r="X87" s="420"/>
      <c r="Y87" s="418"/>
      <c r="Z87" s="418"/>
      <c r="AA87" s="196" t="str">
        <f>_xlfn.XLOOKUP(Backlog[[#This Row],[Estado]],CatEstados[Estado],CatEstados[Fase],"Otro")</f>
        <v>Por hacer</v>
      </c>
      <c r="AB87"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87" s="275" t="e">
        <f ca="1">IF(OR(#REF!="",NOT(ISNUMBER(Backlog[[#This Row],[Dias_abiertos]]))),"",IF(Backlog[[#This Row],[Dias_abiertos]]&lt;=7,"En plazo",IFERROR(IF(Backlog[[#This Row],[Dias_abiertos]]=_xlfn.XLOOKUP(TRIM(#REF!),CatSLA[Prioridad],CatSLA[SLA_dias],""),"En plazo","Fuera de plazo"),"Sin SLA")))</f>
        <v>#REF!</v>
      </c>
      <c r="AD87" s="248"/>
      <c r="AE87" s="248"/>
      <c r="AF87" s="248"/>
      <c r="AG87" s="248"/>
      <c r="AH87" s="248"/>
      <c r="AI87" s="248"/>
      <c r="AJ87" s="203" t="s">
        <v>1421</v>
      </c>
    </row>
    <row r="88" spans="1:36" ht="45.75" hidden="1">
      <c r="A88" s="388" t="s">
        <v>1427</v>
      </c>
      <c r="B88" s="340" t="s">
        <v>1087</v>
      </c>
      <c r="C88" s="344" t="s">
        <v>1127</v>
      </c>
      <c r="D88" s="341" t="s">
        <v>1293</v>
      </c>
      <c r="E88" s="342" t="s">
        <v>1428</v>
      </c>
      <c r="F88" s="343" t="s">
        <v>1429</v>
      </c>
      <c r="G88" s="344" t="s">
        <v>1270</v>
      </c>
      <c r="H88" s="344" t="s">
        <v>235</v>
      </c>
      <c r="I88" s="450" t="s">
        <v>1125</v>
      </c>
      <c r="J88" s="451">
        <v>8</v>
      </c>
      <c r="K88" s="705" t="s">
        <v>30</v>
      </c>
      <c r="L88" s="341">
        <v>46053</v>
      </c>
      <c r="M88" s="341" t="s">
        <v>1338</v>
      </c>
      <c r="N88" s="341"/>
      <c r="O88" s="447"/>
      <c r="P88" s="447"/>
      <c r="Q88" s="423" t="s">
        <v>1430</v>
      </c>
      <c r="R88" s="344"/>
      <c r="S88" s="344">
        <v>68</v>
      </c>
      <c r="T88" s="344"/>
      <c r="U88" s="344" t="s">
        <v>1431</v>
      </c>
      <c r="V88" s="344"/>
      <c r="W88" s="344"/>
      <c r="X88" s="420"/>
      <c r="Y88" s="418"/>
      <c r="Z88" s="418"/>
      <c r="AA88" s="196" t="str">
        <f>_xlfn.XLOOKUP(Backlog[[#This Row],[Estado]],CatEstados[Estado],CatEstados[Fase],"Otro")</f>
        <v>Por hacer</v>
      </c>
      <c r="AB88"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88" s="275" t="e">
        <f ca="1">IF(OR(#REF!="",NOT(ISNUMBER(Backlog[[#This Row],[Dias_abiertos]]))),"",IF(Backlog[[#This Row],[Dias_abiertos]]&lt;=7,"En plazo",IFERROR(IF(Backlog[[#This Row],[Dias_abiertos]]=_xlfn.XLOOKUP(TRIM(#REF!),CatSLA[Prioridad],CatSLA[SLA_dias],""),"En plazo","Fuera de plazo"),"Sin SLA")))</f>
        <v>#REF!</v>
      </c>
      <c r="AD88" s="248"/>
      <c r="AE88" s="248"/>
      <c r="AF88" s="248"/>
      <c r="AG88" s="248"/>
      <c r="AH88" s="248"/>
      <c r="AI88" s="248"/>
      <c r="AJ88" s="203" t="s">
        <v>1421</v>
      </c>
    </row>
    <row r="89" spans="1:36" ht="45.75" hidden="1">
      <c r="A89" s="388" t="s">
        <v>1432</v>
      </c>
      <c r="B89" s="340" t="s">
        <v>1088</v>
      </c>
      <c r="C89" s="344" t="s">
        <v>1127</v>
      </c>
      <c r="D89" s="341" t="s">
        <v>1293</v>
      </c>
      <c r="E89" s="342" t="s">
        <v>1433</v>
      </c>
      <c r="F89" s="343" t="s">
        <v>1434</v>
      </c>
      <c r="G89" s="344" t="s">
        <v>1270</v>
      </c>
      <c r="H89" s="344" t="s">
        <v>235</v>
      </c>
      <c r="I89" s="450" t="s">
        <v>1125</v>
      </c>
      <c r="J89" s="451">
        <v>10</v>
      </c>
      <c r="K89" s="705" t="s">
        <v>30</v>
      </c>
      <c r="L89" s="341">
        <v>46053</v>
      </c>
      <c r="M89" s="341" t="s">
        <v>1338</v>
      </c>
      <c r="N89" s="341"/>
      <c r="O89" s="448" t="s">
        <v>1435</v>
      </c>
      <c r="P89" s="447"/>
      <c r="Q89" s="423" t="s">
        <v>1436</v>
      </c>
      <c r="R89" s="344"/>
      <c r="S89" s="344">
        <v>51</v>
      </c>
      <c r="T89" s="344"/>
      <c r="U89" s="344" t="s">
        <v>1437</v>
      </c>
      <c r="V89" s="344"/>
      <c r="W89" s="344"/>
      <c r="X89" s="420"/>
      <c r="Y89" s="418"/>
      <c r="Z89" s="418"/>
      <c r="AA89" s="196" t="str">
        <f>_xlfn.XLOOKUP(Backlog[[#This Row],[Estado]],CatEstados[Estado],CatEstados[Fase],"Otro")</f>
        <v>Por hacer</v>
      </c>
      <c r="AB89"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89" s="275" t="e">
        <f ca="1">IF(OR(#REF!="",NOT(ISNUMBER(Backlog[[#This Row],[Dias_abiertos]]))),"",IF(Backlog[[#This Row],[Dias_abiertos]]&lt;=7,"En plazo",IFERROR(IF(Backlog[[#This Row],[Dias_abiertos]]=_xlfn.XLOOKUP(TRIM(#REF!),CatSLA[Prioridad],CatSLA[SLA_dias],""),"En plazo","Fuera de plazo"),"Sin SLA")))</f>
        <v>#REF!</v>
      </c>
      <c r="AD89" s="248"/>
      <c r="AE89" s="248"/>
      <c r="AF89" s="248"/>
      <c r="AG89" s="248"/>
      <c r="AH89" s="248"/>
      <c r="AI89" s="248"/>
      <c r="AJ89" s="203" t="s">
        <v>1421</v>
      </c>
    </row>
    <row r="90" spans="1:36" ht="137.25" hidden="1">
      <c r="A90" s="570" t="s">
        <v>1438</v>
      </c>
      <c r="B90" s="333" t="s">
        <v>1087</v>
      </c>
      <c r="C90" s="235" t="s">
        <v>1393</v>
      </c>
      <c r="D90" s="257">
        <v>45812</v>
      </c>
      <c r="E90" s="257">
        <v>45812</v>
      </c>
      <c r="F90" s="325" t="s">
        <v>1439</v>
      </c>
      <c r="G90" s="235" t="s">
        <v>225</v>
      </c>
      <c r="H90" s="235" t="s">
        <v>235</v>
      </c>
      <c r="I90" s="235" t="s">
        <v>1125</v>
      </c>
      <c r="J90" s="235">
        <v>11</v>
      </c>
      <c r="K90" s="706" t="s">
        <v>30</v>
      </c>
      <c r="L90" s="235"/>
      <c r="M90" s="257" t="s">
        <v>1338</v>
      </c>
      <c r="N90" s="235"/>
      <c r="O90" s="235" t="s">
        <v>1440</v>
      </c>
      <c r="P90" s="235"/>
      <c r="Q90" s="235"/>
      <c r="R90" s="236">
        <v>2</v>
      </c>
      <c r="S90" s="236">
        <v>41</v>
      </c>
      <c r="T90" s="236"/>
      <c r="U90" s="236" t="s">
        <v>1441</v>
      </c>
      <c r="V90" s="236"/>
      <c r="W90" s="236"/>
      <c r="X90" s="422"/>
      <c r="Y90" s="418"/>
      <c r="Z90" s="418"/>
      <c r="AA90" s="196" t="str">
        <f>_xlfn.XLOOKUP(Backlog[[#This Row],[Estado]],CatEstados[Estado],CatEstados[Fase],"Otro")</f>
        <v>Por hacer</v>
      </c>
      <c r="AB90"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90" s="275" t="e">
        <f ca="1">IF(OR(#REF!="",NOT(ISNUMBER(Backlog[[#This Row],[Dias_abiertos]]))),"",IF(Backlog[[#This Row],[Dias_abiertos]]&lt;=7,"En plazo",IFERROR(IF(Backlog[[#This Row],[Dias_abiertos]]=_xlfn.XLOOKUP(TRIM(#REF!),CatSLA[Prioridad],CatSLA[SLA_dias],""),"En plazo","Fuera de plazo"),"Sin SLA")))</f>
        <v>#REF!</v>
      </c>
      <c r="AD90" s="248"/>
      <c r="AE90" s="248"/>
      <c r="AF90" s="248"/>
      <c r="AG90" s="248"/>
      <c r="AH90" s="248"/>
      <c r="AI90" s="248"/>
    </row>
    <row r="91" spans="1:36" ht="409.6" hidden="1">
      <c r="A91" s="388" t="s">
        <v>1442</v>
      </c>
      <c r="B91" s="333" t="s">
        <v>1087</v>
      </c>
      <c r="C91" s="236" t="s">
        <v>1393</v>
      </c>
      <c r="D91" s="262">
        <v>45970</v>
      </c>
      <c r="E91" s="328" t="s">
        <v>1443</v>
      </c>
      <c r="F91" s="194" t="s">
        <v>1444</v>
      </c>
      <c r="G91" s="236" t="s">
        <v>66</v>
      </c>
      <c r="H91" s="236" t="s">
        <v>235</v>
      </c>
      <c r="I91" s="235" t="s">
        <v>1125</v>
      </c>
      <c r="J91" s="452">
        <v>12</v>
      </c>
      <c r="K91" s="705" t="s">
        <v>30</v>
      </c>
      <c r="L91" s="262"/>
      <c r="M91" s="262"/>
      <c r="N91" s="262"/>
      <c r="O91" s="200" t="s">
        <v>1445</v>
      </c>
      <c r="P91" s="200" t="s">
        <v>1446</v>
      </c>
      <c r="Q91" s="423" t="s">
        <v>1447</v>
      </c>
      <c r="R91" s="236"/>
      <c r="S91" s="346">
        <v>14</v>
      </c>
      <c r="T91" s="346"/>
      <c r="U91" s="236" t="s">
        <v>1431</v>
      </c>
      <c r="V91" s="236"/>
      <c r="W91" s="236"/>
      <c r="X91" s="422"/>
      <c r="Y91" s="418"/>
      <c r="Z91" s="418"/>
      <c r="AA91" s="424" t="str">
        <f>_xlfn.XLOOKUP(Backlog[[#This Row],[Estado]],CatEstados[Estado],CatEstados[Fase],"Otro")</f>
        <v>Por hacer</v>
      </c>
      <c r="AB91" s="320"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1" s="321" t="e">
        <f ca="1">IF(OR(#REF!="",NOT(ISNUMBER(Backlog[[#This Row],[Dias_abiertos]]))),"",IF(Backlog[[#This Row],[Dias_abiertos]]&lt;=7,"En plazo",IFERROR(IF(Backlog[[#This Row],[Dias_abiertos]]=_xlfn.XLOOKUP(TRIM(#REF!),CatSLA[Prioridad],CatSLA[SLA_dias],""),"En plazo","Fuera de plazo"),"Sin SLA")))</f>
        <v>#REF!</v>
      </c>
      <c r="AD91" s="248"/>
      <c r="AE91" s="248"/>
      <c r="AF91" s="248"/>
      <c r="AG91" s="248"/>
      <c r="AH91" s="248"/>
      <c r="AI91" s="248"/>
    </row>
    <row r="92" spans="1:36" ht="76.5" hidden="1">
      <c r="A92" s="387" t="s">
        <v>1448</v>
      </c>
      <c r="B92" s="333" t="s">
        <v>1087</v>
      </c>
      <c r="C92" s="236" t="s">
        <v>1127</v>
      </c>
      <c r="D92" s="262">
        <v>45964</v>
      </c>
      <c r="E92" s="381" t="s">
        <v>1449</v>
      </c>
      <c r="F92" s="198" t="s">
        <v>1450</v>
      </c>
      <c r="G92" s="236" t="s">
        <v>225</v>
      </c>
      <c r="H92" s="194" t="s">
        <v>235</v>
      </c>
      <c r="I92" s="236" t="s">
        <v>1125</v>
      </c>
      <c r="J92" s="452">
        <v>13</v>
      </c>
      <c r="K92" s="705" t="s">
        <v>30</v>
      </c>
      <c r="L92" s="262"/>
      <c r="M92" s="262"/>
      <c r="N92" s="262"/>
      <c r="O92" s="200" t="s">
        <v>1451</v>
      </c>
      <c r="P92" s="200"/>
      <c r="Q92" s="423" t="s">
        <v>1452</v>
      </c>
      <c r="R92" s="236"/>
      <c r="S92" s="236">
        <v>14</v>
      </c>
      <c r="T92" s="236"/>
      <c r="U92" s="236" t="s">
        <v>1453</v>
      </c>
      <c r="V92" s="236"/>
      <c r="W92" s="236"/>
      <c r="X92" s="196"/>
      <c r="Y92" s="418"/>
      <c r="Z92" s="418"/>
      <c r="AA92" s="196" t="str">
        <f>_xlfn.XLOOKUP(Backlog[[#This Row],[Estado]],CatEstados[Estado],CatEstados[Fase],"Otro")</f>
        <v>Por hacer</v>
      </c>
      <c r="AB9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2" s="275" t="e">
        <f ca="1">IF(OR(#REF!="",NOT(ISNUMBER(Backlog[[#This Row],[Dias_abiertos]]))),"",IF(Backlog[[#This Row],[Dias_abiertos]]&lt;=7,"En plazo",IFERROR(IF(Backlog[[#This Row],[Dias_abiertos]]=_xlfn.XLOOKUP(TRIM(#REF!),CatSLA[Prioridad],CatSLA[SLA_dias],""),"En plazo","Fuera de plazo"),"Sin SLA")))</f>
        <v>#REF!</v>
      </c>
      <c r="AD92" s="248"/>
      <c r="AE92" s="248"/>
      <c r="AF92" s="248"/>
      <c r="AG92" s="248"/>
      <c r="AH92" s="248"/>
      <c r="AI92" s="248"/>
    </row>
    <row r="93" spans="1:36" ht="106.5" hidden="1">
      <c r="A93" s="386" t="s">
        <v>1454</v>
      </c>
      <c r="B93" s="333" t="s">
        <v>1087</v>
      </c>
      <c r="C93" s="235" t="s">
        <v>1127</v>
      </c>
      <c r="D93" s="257">
        <v>45805</v>
      </c>
      <c r="E93" s="192" t="s">
        <v>1455</v>
      </c>
      <c r="F93" s="192" t="s">
        <v>1456</v>
      </c>
      <c r="G93" s="235" t="s">
        <v>225</v>
      </c>
      <c r="H93" s="235" t="s">
        <v>235</v>
      </c>
      <c r="I93" s="235" t="s">
        <v>1125</v>
      </c>
      <c r="J93" s="235">
        <v>14</v>
      </c>
      <c r="K93" s="706" t="s">
        <v>30</v>
      </c>
      <c r="L93" s="192"/>
      <c r="M93" s="192"/>
      <c r="N93" s="192"/>
      <c r="O93" s="192" t="s">
        <v>1457</v>
      </c>
      <c r="P93" s="192" t="s">
        <v>1458</v>
      </c>
      <c r="Q93" s="192"/>
      <c r="R93" s="236"/>
      <c r="S93" s="236">
        <v>34</v>
      </c>
      <c r="T93" s="236"/>
      <c r="U93" s="236" t="s">
        <v>1459</v>
      </c>
      <c r="V93" s="236"/>
      <c r="W93" s="236"/>
      <c r="X93" s="422"/>
      <c r="Y93" s="418"/>
      <c r="Z93" s="418"/>
      <c r="AA93" s="196" t="str">
        <f>_xlfn.XLOOKUP(Backlog[[#This Row],[Estado]],CatEstados[Estado],CatEstados[Fase],"Otro")</f>
        <v>Por hacer</v>
      </c>
      <c r="AB9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3" s="275" t="e">
        <f ca="1">IF(OR(#REF!="",NOT(ISNUMBER(Backlog[[#This Row],[Dias_abiertos]]))),"",IF(Backlog[[#This Row],[Dias_abiertos]]&lt;=7,"En plazo",IFERROR(IF(Backlog[[#This Row],[Dias_abiertos]]=_xlfn.XLOOKUP(TRIM(#REF!),CatSLA[Prioridad],CatSLA[SLA_dias],""),"En plazo","Fuera de plazo"),"Sin SLA")))</f>
        <v>#REF!</v>
      </c>
      <c r="AD93" s="248"/>
      <c r="AE93" s="248"/>
      <c r="AF93" s="248"/>
      <c r="AG93" s="248"/>
      <c r="AH93" s="248"/>
      <c r="AI93" s="248"/>
    </row>
    <row r="94" spans="1:36" ht="45.75" hidden="1">
      <c r="A94" s="385" t="s">
        <v>1460</v>
      </c>
      <c r="B94" s="347" t="s">
        <v>1087</v>
      </c>
      <c r="C94" s="201" t="s">
        <v>1127</v>
      </c>
      <c r="D94" s="348">
        <v>45953</v>
      </c>
      <c r="E94" s="216" t="s">
        <v>1461</v>
      </c>
      <c r="F94" s="216" t="s">
        <v>1462</v>
      </c>
      <c r="G94" s="201" t="s">
        <v>1270</v>
      </c>
      <c r="H94" s="201" t="s">
        <v>1163</v>
      </c>
      <c r="I94" s="453" t="s">
        <v>1125</v>
      </c>
      <c r="J94" s="454">
        <v>15</v>
      </c>
      <c r="K94" s="705" t="s">
        <v>30</v>
      </c>
      <c r="L94" s="348">
        <v>45992</v>
      </c>
      <c r="M94" s="348" t="s">
        <v>1338</v>
      </c>
      <c r="N94" s="348"/>
      <c r="O94" s="201" t="s">
        <v>1463</v>
      </c>
      <c r="P94" s="201" t="s">
        <v>1464</v>
      </c>
      <c r="Q94" s="201"/>
      <c r="R94" s="201">
        <v>1</v>
      </c>
      <c r="S94" s="201">
        <v>4</v>
      </c>
      <c r="U94" s="201">
        <v>1</v>
      </c>
      <c r="W94" s="201">
        <v>4</v>
      </c>
      <c r="X94" s="425"/>
      <c r="Y94" s="418"/>
      <c r="Z94" s="418"/>
      <c r="AA94" s="196" t="str">
        <f>_xlfn.XLOOKUP(Backlog[[#This Row],[Estado]],CatEstados[Estado],CatEstados[Fase],"Otro")</f>
        <v>Por hacer</v>
      </c>
      <c r="AB94"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94" s="275" t="e">
        <f ca="1">IF(OR(#REF!="",NOT(ISNUMBER(Backlog[[#This Row],[Dias_abiertos]]))),"",IF(Backlog[[#This Row],[Dias_abiertos]]&lt;=7,"En plazo",IFERROR(IF(Backlog[[#This Row],[Dias_abiertos]]=_xlfn.XLOOKUP(TRIM(#REF!),CatSLA[Prioridad],CatSLA[SLA_dias],""),"En plazo","Fuera de plazo"),"Sin SLA")))</f>
        <v>#REF!</v>
      </c>
      <c r="AD94" s="248"/>
      <c r="AE94" s="248"/>
      <c r="AF94" s="248"/>
      <c r="AG94" s="248"/>
      <c r="AH94" s="248"/>
      <c r="AI94" s="248"/>
    </row>
    <row r="95" spans="1:36" ht="45.75" hidden="1">
      <c r="A95" s="405" t="s">
        <v>1465</v>
      </c>
      <c r="B95" s="347" t="s">
        <v>1087</v>
      </c>
      <c r="C95" s="201" t="s">
        <v>1393</v>
      </c>
      <c r="D95" s="348">
        <v>45987</v>
      </c>
      <c r="E95" s="205" t="s">
        <v>1466</v>
      </c>
      <c r="F95" s="205" t="s">
        <v>1467</v>
      </c>
      <c r="G95" s="201" t="s">
        <v>66</v>
      </c>
      <c r="H95" s="216" t="s">
        <v>1163</v>
      </c>
      <c r="I95" s="201"/>
      <c r="J95" s="454">
        <v>16</v>
      </c>
      <c r="K95" s="705" t="s">
        <v>30</v>
      </c>
      <c r="L95" s="348"/>
      <c r="M95" s="348" t="s">
        <v>1338</v>
      </c>
      <c r="N95" s="348"/>
      <c r="O95" s="208"/>
      <c r="P95" s="208"/>
      <c r="Q95" s="423" t="s">
        <v>1468</v>
      </c>
      <c r="S95" s="201">
        <v>41</v>
      </c>
      <c r="U95" s="201" t="s">
        <v>1441</v>
      </c>
      <c r="W95" s="201"/>
      <c r="Y95" s="418"/>
      <c r="Z95" s="418"/>
      <c r="AA95" s="196" t="str">
        <f>_xlfn.XLOOKUP(Backlog[[#This Row],[Estado]],CatEstados[Estado],CatEstados[Fase],"Otro")</f>
        <v>Por hacer</v>
      </c>
      <c r="AB95"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95" s="275" t="e">
        <f ca="1">IF(OR(#REF!="",NOT(ISNUMBER(Backlog[[#This Row],[Dias_abiertos]]))),"",IF(Backlog[[#This Row],[Dias_abiertos]]&lt;=7,"En plazo",IFERROR(IF(Backlog[[#This Row],[Dias_abiertos]]=_xlfn.XLOOKUP(TRIM(#REF!),CatSLA[Prioridad],CatSLA[SLA_dias],""),"En plazo","Fuera de plazo"),"Sin SLA")))</f>
        <v>#REF!</v>
      </c>
      <c r="AD95" s="248"/>
      <c r="AE95" s="248"/>
      <c r="AF95" s="248"/>
      <c r="AG95" s="248"/>
      <c r="AH95" s="248"/>
      <c r="AI95" s="248"/>
    </row>
    <row r="96" spans="1:36" s="209" customFormat="1" ht="106.5" hidden="1">
      <c r="A96" s="387" t="s">
        <v>1469</v>
      </c>
      <c r="B96" s="333" t="s">
        <v>1087</v>
      </c>
      <c r="C96" s="236" t="s">
        <v>1127</v>
      </c>
      <c r="D96" s="262">
        <v>45964</v>
      </c>
      <c r="E96" s="198" t="s">
        <v>1470</v>
      </c>
      <c r="F96" s="198" t="s">
        <v>1471</v>
      </c>
      <c r="G96" s="236" t="s">
        <v>66</v>
      </c>
      <c r="H96" s="194" t="s">
        <v>235</v>
      </c>
      <c r="I96" s="236" t="s">
        <v>1125</v>
      </c>
      <c r="J96" s="452">
        <v>17</v>
      </c>
      <c r="K96" s="705" t="s">
        <v>30</v>
      </c>
      <c r="L96" s="262"/>
      <c r="M96" s="348" t="s">
        <v>1338</v>
      </c>
      <c r="N96" s="262"/>
      <c r="O96" s="200" t="s">
        <v>1472</v>
      </c>
      <c r="P96" s="200"/>
      <c r="Q96" s="200"/>
      <c r="R96" s="236"/>
      <c r="S96" s="346">
        <v>4</v>
      </c>
      <c r="T96" s="346"/>
      <c r="U96" s="236" t="s">
        <v>1431</v>
      </c>
      <c r="V96" s="236"/>
      <c r="W96" s="236"/>
      <c r="X96" s="196"/>
      <c r="Y96" s="418"/>
      <c r="Z96" s="418"/>
      <c r="AA96" s="196" t="str">
        <f>_xlfn.XLOOKUP(Backlog[[#This Row],[Estado]],CatEstados[Estado],CatEstados[Fase],"Otro")</f>
        <v>Por hacer</v>
      </c>
      <c r="AB96"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96" s="275" t="e">
        <f ca="1">IF(OR(#REF!="",NOT(ISNUMBER(Backlog[[#This Row],[Dias_abiertos]]))),"",IF(Backlog[[#This Row],[Dias_abiertos]]&lt;=7,"En plazo",IFERROR(IF(Backlog[[#This Row],[Dias_abiertos]]=_xlfn.XLOOKUP(TRIM(#REF!),CatSLA[Prioridad],CatSLA[SLA_dias],""),"En plazo","Fuera de plazo"),"Sin SLA")))</f>
        <v>#REF!</v>
      </c>
      <c r="AD96" s="248"/>
      <c r="AE96" s="248"/>
      <c r="AF96" s="248"/>
      <c r="AG96" s="248"/>
      <c r="AH96" s="248"/>
      <c r="AI96" s="248"/>
    </row>
    <row r="97" spans="1:36" ht="30.75" hidden="1">
      <c r="A97" s="335" t="s">
        <v>1473</v>
      </c>
      <c r="B97" s="336" t="s">
        <v>1089</v>
      </c>
      <c r="C97" s="254" t="s">
        <v>1127</v>
      </c>
      <c r="D97" s="337">
        <v>45800</v>
      </c>
      <c r="E97" s="338" t="s">
        <v>1474</v>
      </c>
      <c r="F97" s="338" t="s">
        <v>1475</v>
      </c>
      <c r="G97" s="254" t="s">
        <v>1270</v>
      </c>
      <c r="H97" s="254" t="s">
        <v>235</v>
      </c>
      <c r="I97" s="455" t="s">
        <v>1125</v>
      </c>
      <c r="J97" s="456">
        <v>18</v>
      </c>
      <c r="K97" s="705" t="s">
        <v>30</v>
      </c>
      <c r="L97" s="337"/>
      <c r="M97" s="337"/>
      <c r="N97" s="337"/>
      <c r="O97" s="339"/>
      <c r="P97" s="339"/>
      <c r="Q97" s="339"/>
      <c r="R97" s="254"/>
      <c r="S97" s="254">
        <v>8</v>
      </c>
      <c r="T97" s="254"/>
      <c r="U97" s="254" t="s">
        <v>1459</v>
      </c>
      <c r="V97" s="254"/>
      <c r="W97" s="254"/>
      <c r="X97" s="427"/>
      <c r="Y97" s="418"/>
      <c r="Z97" s="418"/>
      <c r="AA97" s="196" t="str">
        <f>_xlfn.XLOOKUP(Backlog[[#This Row],[Estado]],CatEstados[Estado],CatEstados[Fase],"Otro")</f>
        <v>Por hacer</v>
      </c>
      <c r="AB97"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7" s="275" t="e">
        <f ca="1">IF(OR(#REF!="",NOT(ISNUMBER(Backlog[[#This Row],[Dias_abiertos]]))),"",IF(Backlog[[#This Row],[Dias_abiertos]]&lt;=7,"En plazo",IFERROR(IF(Backlog[[#This Row],[Dias_abiertos]]=_xlfn.XLOOKUP(TRIM(#REF!),CatSLA[Prioridad],CatSLA[SLA_dias],""),"En plazo","Fuera de plazo"),"Sin SLA")))</f>
        <v>#REF!</v>
      </c>
      <c r="AD97" s="248"/>
      <c r="AE97" s="248"/>
      <c r="AF97" s="248"/>
      <c r="AG97" s="248"/>
      <c r="AH97" s="248"/>
      <c r="AI97" s="248"/>
    </row>
    <row r="98" spans="1:36" ht="30.75" hidden="1">
      <c r="A98" s="335" t="s">
        <v>1476</v>
      </c>
      <c r="B98" s="336" t="s">
        <v>1089</v>
      </c>
      <c r="C98" s="254" t="s">
        <v>1127</v>
      </c>
      <c r="D98" s="337">
        <v>45814</v>
      </c>
      <c r="E98" s="338" t="s">
        <v>1477</v>
      </c>
      <c r="F98" s="338" t="s">
        <v>1475</v>
      </c>
      <c r="G98" s="254" t="s">
        <v>1270</v>
      </c>
      <c r="H98" s="254" t="s">
        <v>235</v>
      </c>
      <c r="I98" s="455" t="s">
        <v>1125</v>
      </c>
      <c r="J98" s="456">
        <v>19</v>
      </c>
      <c r="K98" s="705" t="s">
        <v>30</v>
      </c>
      <c r="L98" s="337"/>
      <c r="M98" s="337"/>
      <c r="N98" s="337"/>
      <c r="O98" s="571"/>
      <c r="P98" s="339"/>
      <c r="Q98" s="339"/>
      <c r="R98" s="254"/>
      <c r="S98" s="254">
        <v>4</v>
      </c>
      <c r="T98" s="254"/>
      <c r="U98" s="254" t="s">
        <v>1459</v>
      </c>
      <c r="V98" s="254"/>
      <c r="W98" s="254"/>
      <c r="X98" s="427"/>
      <c r="Y98" s="418"/>
      <c r="Z98" s="418"/>
      <c r="AA98" s="196" t="str">
        <f>_xlfn.XLOOKUP(Backlog[[#This Row],[Estado]],CatEstados[Estado],CatEstados[Fase],"Otro")</f>
        <v>Por hacer</v>
      </c>
      <c r="AB9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98" s="275" t="e">
        <f ca="1">IF(OR(#REF!="",NOT(ISNUMBER(Backlog[[#This Row],[Dias_abiertos]]))),"",IF(Backlog[[#This Row],[Dias_abiertos]]&lt;=7,"En plazo",IFERROR(IF(Backlog[[#This Row],[Dias_abiertos]]=_xlfn.XLOOKUP(TRIM(#REF!),CatSLA[Prioridad],CatSLA[SLA_dias],""),"En plazo","Fuera de plazo"),"Sin SLA")))</f>
        <v>#REF!</v>
      </c>
      <c r="AD98" s="248"/>
      <c r="AE98" s="248"/>
      <c r="AF98" s="248"/>
      <c r="AG98" s="248"/>
      <c r="AH98" s="248"/>
      <c r="AI98" s="248"/>
    </row>
    <row r="99" spans="1:36" ht="76.5" hidden="1">
      <c r="A99" s="384" t="s">
        <v>270</v>
      </c>
      <c r="B99" s="333" t="s">
        <v>1087</v>
      </c>
      <c r="C99" s="235" t="s">
        <v>1393</v>
      </c>
      <c r="D99" s="257">
        <v>45660</v>
      </c>
      <c r="E99" s="325" t="s">
        <v>1478</v>
      </c>
      <c r="F99" s="325"/>
      <c r="G99" s="235" t="s">
        <v>75</v>
      </c>
      <c r="H99" s="235" t="s">
        <v>235</v>
      </c>
      <c r="I99" s="235" t="s">
        <v>1125</v>
      </c>
      <c r="J99" s="235">
        <v>1</v>
      </c>
      <c r="K99" s="706" t="s">
        <v>30</v>
      </c>
      <c r="L99" s="235"/>
      <c r="M99" s="457" t="s">
        <v>1338</v>
      </c>
      <c r="N99" s="257">
        <v>45967</v>
      </c>
      <c r="O99" s="235" t="s">
        <v>1479</v>
      </c>
      <c r="P99" s="235"/>
      <c r="Q99" s="235"/>
      <c r="R99" s="236">
        <v>1</v>
      </c>
      <c r="S99" s="236">
        <v>4</v>
      </c>
      <c r="T99" s="236"/>
      <c r="U99" s="236" t="s">
        <v>1459</v>
      </c>
      <c r="V99" s="236"/>
      <c r="W99" s="236"/>
      <c r="X99" s="422"/>
      <c r="Y99" s="418"/>
      <c r="Z99" s="418"/>
      <c r="AA99" s="419" t="str">
        <f>_xlfn.XLOOKUP(Backlog[[#This Row],[Estado]],CatEstados[Estado],CatEstados[Fase],"Otro")</f>
        <v>Por hacer</v>
      </c>
      <c r="AB99" s="264"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99" s="324" t="e">
        <f ca="1">IF(OR(#REF!="",NOT(ISNUMBER(Backlog[[#This Row],[Dias_abiertos]]))),"",IF(Backlog[[#This Row],[Dias_abiertos]]&lt;=7,"En plazo",IFERROR(IF(Backlog[[#This Row],[Dias_abiertos]]=_xlfn.XLOOKUP(TRIM(#REF!),CatSLA[Prioridad],CatSLA[SLA_dias],""),"En plazo","Fuera de plazo"),"Sin SLA")))</f>
        <v>#REF!</v>
      </c>
      <c r="AD99" s="248"/>
      <c r="AE99" s="248"/>
      <c r="AF99" s="248"/>
      <c r="AG99" s="248"/>
      <c r="AH99" s="248"/>
      <c r="AI99" s="248"/>
      <c r="AJ99" s="203" t="s">
        <v>1480</v>
      </c>
    </row>
    <row r="100" spans="1:36" ht="30.75" hidden="1">
      <c r="A100" s="385" t="s">
        <v>1481</v>
      </c>
      <c r="B100" s="333" t="s">
        <v>1087</v>
      </c>
      <c r="C100" s="236" t="s">
        <v>1127</v>
      </c>
      <c r="D100" s="262" t="s">
        <v>1482</v>
      </c>
      <c r="E100" s="329" t="s">
        <v>1483</v>
      </c>
      <c r="F100" s="198" t="s">
        <v>1484</v>
      </c>
      <c r="G100" s="236" t="s">
        <v>66</v>
      </c>
      <c r="H100" s="236" t="s">
        <v>235</v>
      </c>
      <c r="I100" s="235" t="s">
        <v>1125</v>
      </c>
      <c r="J100" s="452">
        <v>20</v>
      </c>
      <c r="K100" s="705" t="s">
        <v>30</v>
      </c>
      <c r="L100" s="262"/>
      <c r="M100" s="262"/>
      <c r="N100" s="262">
        <v>45967</v>
      </c>
      <c r="O100" s="200" t="s">
        <v>1485</v>
      </c>
      <c r="P100" s="200"/>
      <c r="Q100" s="200"/>
      <c r="R100" s="236"/>
      <c r="S100" s="346">
        <v>6</v>
      </c>
      <c r="T100" s="346"/>
      <c r="U100" s="236" t="s">
        <v>1453</v>
      </c>
      <c r="V100" s="236"/>
      <c r="W100" s="236"/>
      <c r="X100" s="422"/>
      <c r="Y100" s="418"/>
      <c r="Z100" s="418"/>
      <c r="AA100" s="424" t="str">
        <f>_xlfn.XLOOKUP(Backlog[[#This Row],[Estado]],CatEstados[Estado],CatEstados[Fase],"Otro")</f>
        <v>Por hacer</v>
      </c>
      <c r="AB100" s="320"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0" s="321" t="e">
        <f ca="1">IF(OR(#REF!="",NOT(ISNUMBER(Backlog[[#This Row],[Dias_abiertos]]))),"",IF(Backlog[[#This Row],[Dias_abiertos]]&lt;=7,"En plazo",IFERROR(IF(Backlog[[#This Row],[Dias_abiertos]]=_xlfn.XLOOKUP(TRIM(#REF!),CatSLA[Prioridad],CatSLA[SLA_dias],""),"En plazo","Fuera de plazo"),"Sin SLA")))</f>
        <v>#REF!</v>
      </c>
      <c r="AD100" s="248"/>
      <c r="AE100" s="248"/>
      <c r="AF100" s="248"/>
      <c r="AG100" s="248"/>
      <c r="AH100" s="248"/>
      <c r="AI100" s="248"/>
      <c r="AJ100" s="203" t="s">
        <v>1480</v>
      </c>
    </row>
    <row r="101" spans="1:36" ht="91.5" hidden="1">
      <c r="A101" s="405" t="s">
        <v>1486</v>
      </c>
      <c r="B101" s="333" t="s">
        <v>1087</v>
      </c>
      <c r="C101" s="236" t="s">
        <v>1393</v>
      </c>
      <c r="D101" s="262">
        <v>45979</v>
      </c>
      <c r="E101" s="198" t="s">
        <v>1487</v>
      </c>
      <c r="F101" s="196" t="s">
        <v>1488</v>
      </c>
      <c r="G101" s="236" t="s">
        <v>225</v>
      </c>
      <c r="H101" s="194" t="s">
        <v>235</v>
      </c>
      <c r="I101" s="236" t="s">
        <v>1125</v>
      </c>
      <c r="J101" s="452">
        <v>21</v>
      </c>
      <c r="K101" s="705" t="s">
        <v>30</v>
      </c>
      <c r="L101" s="262"/>
      <c r="M101" s="262"/>
      <c r="N101" s="262"/>
      <c r="O101" s="200" t="s">
        <v>1489</v>
      </c>
      <c r="P101" s="200"/>
      <c r="Q101" s="200"/>
      <c r="R101" s="236"/>
      <c r="S101" s="236">
        <v>4</v>
      </c>
      <c r="T101" s="236"/>
      <c r="U101" s="236" t="s">
        <v>1459</v>
      </c>
      <c r="V101" s="236"/>
      <c r="W101" s="236"/>
      <c r="X101" s="196"/>
      <c r="Y101" s="418"/>
      <c r="Z101" s="418"/>
      <c r="AA101" s="419" t="str">
        <f>_xlfn.XLOOKUP(Backlog[[#This Row],[Estado]],CatEstados[Estado],CatEstados[Fase],"Otro")</f>
        <v>Por hacer</v>
      </c>
      <c r="AB101" s="264"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1" s="324" t="e">
        <f ca="1">IF(OR(#REF!="",NOT(ISNUMBER(Backlog[[#This Row],[Dias_abiertos]]))),"",IF(Backlog[[#This Row],[Dias_abiertos]]&lt;=7,"En plazo",IFERROR(IF(Backlog[[#This Row],[Dias_abiertos]]=_xlfn.XLOOKUP(TRIM(#REF!),CatSLA[Prioridad],CatSLA[SLA_dias],""),"En plazo","Fuera de plazo"),"Sin SLA")))</f>
        <v>#REF!</v>
      </c>
      <c r="AD101" s="248"/>
      <c r="AE101" s="248"/>
      <c r="AF101" s="248"/>
      <c r="AG101" s="248"/>
      <c r="AH101" s="248"/>
      <c r="AI101" s="248"/>
    </row>
    <row r="102" spans="1:36" ht="91.5" hidden="1">
      <c r="A102" s="385" t="s">
        <v>1490</v>
      </c>
      <c r="B102" s="333" t="s">
        <v>1087</v>
      </c>
      <c r="C102" s="409" t="s">
        <v>1127</v>
      </c>
      <c r="D102" s="262">
        <v>45943</v>
      </c>
      <c r="E102" s="198" t="s">
        <v>1491</v>
      </c>
      <c r="F102" s="198" t="s">
        <v>1492</v>
      </c>
      <c r="G102" s="236" t="s">
        <v>225</v>
      </c>
      <c r="H102" s="236" t="s">
        <v>235</v>
      </c>
      <c r="I102" s="235" t="s">
        <v>1125</v>
      </c>
      <c r="J102" s="452">
        <v>22</v>
      </c>
      <c r="K102" s="705" t="s">
        <v>30</v>
      </c>
      <c r="L102" s="262"/>
      <c r="M102" s="262" t="s">
        <v>1338</v>
      </c>
      <c r="N102" s="262"/>
      <c r="O102" s="200" t="s">
        <v>1493</v>
      </c>
      <c r="P102" s="200" t="s">
        <v>1494</v>
      </c>
      <c r="Q102" s="423" t="s">
        <v>1495</v>
      </c>
      <c r="R102" s="236"/>
      <c r="S102" s="236">
        <v>8</v>
      </c>
      <c r="T102" s="236"/>
      <c r="U102" s="236" t="s">
        <v>1459</v>
      </c>
      <c r="V102" s="236"/>
      <c r="W102" s="236"/>
      <c r="X102" s="422"/>
      <c r="Y102" s="418"/>
      <c r="Z102" s="418"/>
      <c r="AA102" s="196" t="str">
        <f>_xlfn.XLOOKUP(Backlog[[#This Row],[Estado]],CatEstados[Estado],CatEstados[Fase],"Otro")</f>
        <v>Por hacer</v>
      </c>
      <c r="AB102"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02" s="275" t="e">
        <f ca="1">IF(OR(#REF!="",NOT(ISNUMBER(Backlog[[#This Row],[Dias_abiertos]]))),"",IF(Backlog[[#This Row],[Dias_abiertos]]&lt;=7,"En plazo",IFERROR(IF(Backlog[[#This Row],[Dias_abiertos]]=_xlfn.XLOOKUP(TRIM(#REF!),CatSLA[Prioridad],CatSLA[SLA_dias],""),"En plazo","Fuera de plazo"),"Sin SLA")))</f>
        <v>#REF!</v>
      </c>
      <c r="AD102" s="248"/>
      <c r="AE102" s="248"/>
      <c r="AF102" s="248"/>
      <c r="AG102" s="248"/>
      <c r="AH102" s="248"/>
      <c r="AI102" s="248"/>
    </row>
    <row r="103" spans="1:36" ht="137.25" hidden="1">
      <c r="A103" s="406" t="s">
        <v>1496</v>
      </c>
      <c r="B103" s="345" t="s">
        <v>1087</v>
      </c>
      <c r="C103" s="374" t="s">
        <v>1393</v>
      </c>
      <c r="D103" s="410">
        <v>45986</v>
      </c>
      <c r="E103" s="369" t="s">
        <v>1497</v>
      </c>
      <c r="F103" s="369" t="s">
        <v>1498</v>
      </c>
      <c r="G103" s="374" t="s">
        <v>66</v>
      </c>
      <c r="H103" s="411" t="s">
        <v>235</v>
      </c>
      <c r="I103" s="374"/>
      <c r="J103" s="458">
        <v>23</v>
      </c>
      <c r="K103" s="705" t="s">
        <v>30</v>
      </c>
      <c r="L103" s="410"/>
      <c r="M103" s="410" t="s">
        <v>1338</v>
      </c>
      <c r="N103" s="410"/>
      <c r="O103" s="459" t="s">
        <v>1499</v>
      </c>
      <c r="P103" s="459"/>
      <c r="Q103" s="533" t="s">
        <v>1500</v>
      </c>
      <c r="R103" s="374" t="s">
        <v>1501</v>
      </c>
      <c r="S103" s="346">
        <v>8</v>
      </c>
      <c r="T103" s="346"/>
      <c r="U103" s="374" t="s">
        <v>1441</v>
      </c>
      <c r="V103" s="374"/>
      <c r="W103" s="374"/>
      <c r="X103" s="428"/>
      <c r="Y103" s="418"/>
      <c r="Z103" s="418"/>
      <c r="AA103" s="196" t="str">
        <f>_xlfn.XLOOKUP(Backlog[[#This Row],[Estado]],CatEstados[Estado],CatEstados[Fase],"Otro")</f>
        <v>Por hacer</v>
      </c>
      <c r="AB103"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03" s="275" t="e">
        <f ca="1">IF(OR(#REF!="",NOT(ISNUMBER(Backlog[[#This Row],[Dias_abiertos]]))),"",IF(Backlog[[#This Row],[Dias_abiertos]]&lt;=7,"En plazo",IFERROR(IF(Backlog[[#This Row],[Dias_abiertos]]=_xlfn.XLOOKUP(TRIM(#REF!),CatSLA[Prioridad],CatSLA[SLA_dias],""),"En plazo","Fuera de plazo"),"Sin SLA")))</f>
        <v>#REF!</v>
      </c>
      <c r="AD103" s="248"/>
      <c r="AE103" s="248"/>
      <c r="AF103" s="248"/>
      <c r="AG103" s="248"/>
      <c r="AH103" s="248"/>
      <c r="AI103" s="248"/>
    </row>
    <row r="104" spans="1:36" ht="244.5" hidden="1">
      <c r="A104" s="405" t="s">
        <v>1502</v>
      </c>
      <c r="B104" s="333" t="s">
        <v>1087</v>
      </c>
      <c r="C104" s="236" t="s">
        <v>1503</v>
      </c>
      <c r="D104" s="262">
        <v>45980</v>
      </c>
      <c r="E104" s="198" t="s">
        <v>1504</v>
      </c>
      <c r="F104" s="198" t="s">
        <v>1505</v>
      </c>
      <c r="G104" s="236" t="s">
        <v>1270</v>
      </c>
      <c r="H104" s="194" t="s">
        <v>235</v>
      </c>
      <c r="I104" s="236"/>
      <c r="J104" s="452">
        <v>24</v>
      </c>
      <c r="K104" s="705" t="s">
        <v>30</v>
      </c>
      <c r="L104" s="262"/>
      <c r="M104" s="262"/>
      <c r="N104" s="262"/>
      <c r="O104" s="200" t="s">
        <v>1506</v>
      </c>
      <c r="P104" s="200"/>
      <c r="Q104" s="423" t="s">
        <v>1507</v>
      </c>
      <c r="R104" s="236" t="s">
        <v>1508</v>
      </c>
      <c r="S104" s="236">
        <v>8</v>
      </c>
      <c r="T104" s="236"/>
      <c r="U104" s="236" t="s">
        <v>1453</v>
      </c>
      <c r="V104" s="236"/>
      <c r="W104" s="236"/>
      <c r="X104" s="196"/>
      <c r="Y104" s="418"/>
      <c r="Z104" s="418"/>
      <c r="AA104" s="196" t="str">
        <f>_xlfn.XLOOKUP(Backlog[[#This Row],[Estado]],CatEstados[Estado],CatEstados[Fase],"Otro")</f>
        <v>Por hacer</v>
      </c>
      <c r="AB104"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4" s="275" t="e">
        <f ca="1">IF(OR(#REF!="",NOT(ISNUMBER(Backlog[[#This Row],[Dias_abiertos]]))),"",IF(Backlog[[#This Row],[Dias_abiertos]]&lt;=7,"En plazo",IFERROR(IF(Backlog[[#This Row],[Dias_abiertos]]=_xlfn.XLOOKUP(TRIM(#REF!),CatSLA[Prioridad],CatSLA[SLA_dias],""),"En plazo","Fuera de plazo"),"Sin SLA")))</f>
        <v>#REF!</v>
      </c>
      <c r="AD104" s="248"/>
      <c r="AE104" s="248"/>
      <c r="AF104" s="248"/>
      <c r="AG104" s="248"/>
      <c r="AH104" s="248"/>
      <c r="AI104" s="248"/>
    </row>
    <row r="105" spans="1:36" ht="93.75" hidden="1" customHeight="1">
      <c r="A105" s="385" t="s">
        <v>1509</v>
      </c>
      <c r="B105" s="333" t="s">
        <v>1087</v>
      </c>
      <c r="C105" s="236" t="s">
        <v>1503</v>
      </c>
      <c r="D105" s="262">
        <v>45981</v>
      </c>
      <c r="E105" s="198" t="s">
        <v>1510</v>
      </c>
      <c r="F105" s="198" t="s">
        <v>1511</v>
      </c>
      <c r="G105" s="236" t="s">
        <v>66</v>
      </c>
      <c r="H105" s="194" t="s">
        <v>235</v>
      </c>
      <c r="I105" s="236"/>
      <c r="J105" s="452">
        <v>25</v>
      </c>
      <c r="K105" s="705" t="s">
        <v>30</v>
      </c>
      <c r="L105" s="262"/>
      <c r="M105" s="262"/>
      <c r="N105" s="262"/>
      <c r="O105" s="200"/>
      <c r="P105" s="200"/>
      <c r="Q105" s="423" t="s">
        <v>1512</v>
      </c>
      <c r="R105" s="236" t="s">
        <v>1513</v>
      </c>
      <c r="S105" s="346">
        <v>16</v>
      </c>
      <c r="T105" s="346"/>
      <c r="U105" s="236" t="s">
        <v>1431</v>
      </c>
      <c r="V105" s="236"/>
      <c r="W105" s="236"/>
      <c r="X105" s="196"/>
      <c r="Y105" s="418"/>
      <c r="Z105" s="418"/>
      <c r="AA105" s="196" t="str">
        <f>_xlfn.XLOOKUP(Backlog[[#This Row],[Estado]],CatEstados[Estado],CatEstados[Fase],"Otro")</f>
        <v>Por hacer</v>
      </c>
      <c r="AB105"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5" s="275" t="e">
        <f ca="1">IF(OR(#REF!="",NOT(ISNUMBER(Backlog[[#This Row],[Dias_abiertos]]))),"",IF(Backlog[[#This Row],[Dias_abiertos]]&lt;=7,"En plazo",IFERROR(IF(Backlog[[#This Row],[Dias_abiertos]]=_xlfn.XLOOKUP(TRIM(#REF!),CatSLA[Prioridad],CatSLA[SLA_dias],""),"En plazo","Fuera de plazo"),"Sin SLA")))</f>
        <v>#REF!</v>
      </c>
      <c r="AD105" s="248"/>
      <c r="AE105" s="248"/>
      <c r="AF105" s="248"/>
      <c r="AG105" s="248"/>
      <c r="AH105" s="248"/>
      <c r="AI105" s="248"/>
    </row>
    <row r="106" spans="1:36" ht="60.75" hidden="1">
      <c r="A106" s="331" t="s">
        <v>1514</v>
      </c>
      <c r="B106" s="333" t="s">
        <v>1089</v>
      </c>
      <c r="C106" s="333"/>
      <c r="D106" s="262">
        <v>45689</v>
      </c>
      <c r="E106" s="198" t="s">
        <v>1515</v>
      </c>
      <c r="F106" s="198" t="s">
        <v>1516</v>
      </c>
      <c r="G106" s="236" t="s">
        <v>1270</v>
      </c>
      <c r="H106" s="236" t="s">
        <v>235</v>
      </c>
      <c r="I106" s="235" t="s">
        <v>1125</v>
      </c>
      <c r="J106" s="452"/>
      <c r="K106" s="705" t="s">
        <v>30</v>
      </c>
      <c r="L106" s="262"/>
      <c r="M106" s="262"/>
      <c r="N106" s="262"/>
      <c r="O106" s="200"/>
      <c r="P106" s="200" t="s">
        <v>1517</v>
      </c>
      <c r="Q106" s="200"/>
      <c r="R106" s="236"/>
      <c r="S106" s="236">
        <v>16</v>
      </c>
      <c r="T106" s="236"/>
      <c r="U106" s="236" t="s">
        <v>1459</v>
      </c>
      <c r="V106" s="236"/>
      <c r="W106" s="236"/>
      <c r="X106" s="422"/>
      <c r="Y106" s="418"/>
      <c r="Z106" s="418"/>
      <c r="AA106" s="196" t="str">
        <f>_xlfn.XLOOKUP(Backlog[[#This Row],[Estado]],CatEstados[Estado],CatEstados[Fase],"Otro")</f>
        <v>Por hacer</v>
      </c>
      <c r="AB106"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6" s="275" t="e">
        <f ca="1">IF(OR(#REF!="",NOT(ISNUMBER(Backlog[[#This Row],[Dias_abiertos]]))),"",IF(Backlog[[#This Row],[Dias_abiertos]]&lt;=7,"En plazo",IFERROR(IF(Backlog[[#This Row],[Dias_abiertos]]=_xlfn.XLOOKUP(TRIM(#REF!),CatSLA[Prioridad],CatSLA[SLA_dias],""),"En plazo","Fuera de plazo"),"Sin SLA")))</f>
        <v>#REF!</v>
      </c>
      <c r="AD106" s="248"/>
      <c r="AE106" s="248"/>
      <c r="AF106" s="248"/>
      <c r="AG106" s="248"/>
      <c r="AH106" s="248"/>
      <c r="AI106" s="248"/>
    </row>
    <row r="107" spans="1:36" ht="91.5" hidden="1">
      <c r="A107" s="396" t="s">
        <v>1518</v>
      </c>
      <c r="B107" s="397" t="s">
        <v>1087</v>
      </c>
      <c r="C107" s="397"/>
      <c r="D107" s="415">
        <v>46122</v>
      </c>
      <c r="E107" s="657" t="s">
        <v>1519</v>
      </c>
      <c r="F107" s="658" t="s">
        <v>1520</v>
      </c>
      <c r="G107" s="659" t="s">
        <v>98</v>
      </c>
      <c r="H107" s="401" t="s">
        <v>235</v>
      </c>
      <c r="I107" s="400" t="s">
        <v>55</v>
      </c>
      <c r="J107" s="465">
        <v>3</v>
      </c>
      <c r="K107" s="659" t="s">
        <v>26</v>
      </c>
      <c r="L107" s="348"/>
      <c r="M107" s="348"/>
      <c r="N107" s="348"/>
      <c r="O107" s="399"/>
      <c r="P107" s="399"/>
      <c r="Q107" s="734"/>
      <c r="R107" s="659"/>
      <c r="S107" s="400"/>
      <c r="T107" s="400"/>
      <c r="U107" s="400"/>
      <c r="V107" s="400"/>
      <c r="W107" s="400"/>
      <c r="X107" s="689"/>
      <c r="Y107" s="418"/>
      <c r="Z107" s="418"/>
      <c r="AC107" s="275"/>
      <c r="AD107" s="248"/>
      <c r="AE107" s="248"/>
      <c r="AF107" s="248"/>
      <c r="AG107" s="248"/>
      <c r="AH107" s="248"/>
      <c r="AI107" s="248"/>
    </row>
    <row r="108" spans="1:36" ht="91.5" hidden="1">
      <c r="A108" s="660" t="s">
        <v>1335</v>
      </c>
      <c r="B108" s="397" t="s">
        <v>1088</v>
      </c>
      <c r="C108" s="400" t="s">
        <v>1393</v>
      </c>
      <c r="D108" s="415">
        <v>45856</v>
      </c>
      <c r="E108" s="401" t="s">
        <v>1521</v>
      </c>
      <c r="F108" s="661" t="s">
        <v>1337</v>
      </c>
      <c r="G108" s="400" t="s">
        <v>75</v>
      </c>
      <c r="H108" s="400" t="s">
        <v>235</v>
      </c>
      <c r="I108" s="655" t="s">
        <v>55</v>
      </c>
      <c r="J108" s="400">
        <v>999</v>
      </c>
      <c r="K108" s="400" t="s">
        <v>26</v>
      </c>
      <c r="L108" s="262"/>
      <c r="M108" s="262"/>
      <c r="N108" s="262"/>
      <c r="O108" s="436" t="s">
        <v>1522</v>
      </c>
      <c r="P108" s="436"/>
      <c r="Q108" s="436"/>
      <c r="R108" s="400"/>
      <c r="S108" s="400">
        <v>40</v>
      </c>
      <c r="T108" s="400"/>
      <c r="U108" s="400"/>
      <c r="V108" s="400"/>
      <c r="W108" s="400"/>
      <c r="X108" s="730"/>
      <c r="Y108" s="418"/>
      <c r="Z108" s="418"/>
      <c r="AA108" s="196" t="str">
        <f>_xlfn.XLOOKUP(Backlog[[#This Row],[Estado]],CatEstados[Estado],CatEstados[Fase],"Otro")</f>
        <v>Por hacer</v>
      </c>
      <c r="AB10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8" s="275" t="e">
        <f ca="1">IF(OR(#REF!="",NOT(ISNUMBER(Backlog[[#This Row],[Dias_abiertos]]))),"",IF(Backlog[[#This Row],[Dias_abiertos]]&lt;=7,"En plazo",IFERROR(IF(Backlog[[#This Row],[Dias_abiertos]]=_xlfn.XLOOKUP(TRIM(#REF!),CatSLA[Prioridad],CatSLA[SLA_dias],""),"En plazo","Fuera de plazo"),"Sin SLA")))</f>
        <v>#REF!</v>
      </c>
      <c r="AD108" s="248"/>
      <c r="AE108" s="248"/>
      <c r="AF108" s="248"/>
      <c r="AG108" s="248"/>
      <c r="AH108" s="248"/>
      <c r="AI108" s="248"/>
    </row>
    <row r="109" spans="1:36" ht="45.75" hidden="1">
      <c r="A109" s="652" t="s">
        <v>1523</v>
      </c>
      <c r="B109" s="397" t="s">
        <v>1088</v>
      </c>
      <c r="C109" s="400" t="s">
        <v>1393</v>
      </c>
      <c r="D109" s="415" t="s">
        <v>1293</v>
      </c>
      <c r="E109" s="653" t="s">
        <v>1524</v>
      </c>
      <c r="F109" s="398" t="s">
        <v>1525</v>
      </c>
      <c r="G109" s="400" t="s">
        <v>1270</v>
      </c>
      <c r="H109" s="400" t="s">
        <v>235</v>
      </c>
      <c r="I109" s="655" t="s">
        <v>55</v>
      </c>
      <c r="J109" s="465">
        <v>999</v>
      </c>
      <c r="K109" s="400" t="s">
        <v>26</v>
      </c>
      <c r="L109" s="262"/>
      <c r="M109" s="262"/>
      <c r="N109" s="262"/>
      <c r="O109" s="399" t="s">
        <v>1526</v>
      </c>
      <c r="P109" s="399"/>
      <c r="Q109" s="399"/>
      <c r="R109" s="400" t="s">
        <v>1527</v>
      </c>
      <c r="S109" s="400">
        <v>40</v>
      </c>
      <c r="T109" s="400"/>
      <c r="U109" s="400" t="s">
        <v>1441</v>
      </c>
      <c r="V109" s="400"/>
      <c r="W109" s="400"/>
      <c r="X109" s="730"/>
      <c r="Y109" s="418"/>
      <c r="Z109" s="418"/>
      <c r="AA109" s="196" t="str">
        <f>_xlfn.XLOOKUP(Backlog[[#This Row],[Estado]],CatEstados[Estado],CatEstados[Fase],"Otro")</f>
        <v>Por hacer</v>
      </c>
      <c r="AB109"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09" s="275" t="e">
        <f ca="1">IF(OR(#REF!="",NOT(ISNUMBER(Backlog[[#This Row],[Dias_abiertos]]))),"",IF(Backlog[[#This Row],[Dias_abiertos]]&lt;=7,"En plazo",IFERROR(IF(Backlog[[#This Row],[Dias_abiertos]]=_xlfn.XLOOKUP(TRIM(#REF!),CatSLA[Prioridad],CatSLA[SLA_dias],""),"En plazo","Fuera de plazo"),"Sin SLA")))</f>
        <v>#REF!</v>
      </c>
      <c r="AD109" s="248"/>
      <c r="AE109" s="248"/>
      <c r="AF109" s="248"/>
      <c r="AG109" s="248"/>
      <c r="AH109" s="248"/>
      <c r="AI109" s="248"/>
    </row>
    <row r="110" spans="1:36" ht="76.5" hidden="1">
      <c r="A110" s="396" t="s">
        <v>1528</v>
      </c>
      <c r="B110" s="397" t="s">
        <v>1087</v>
      </c>
      <c r="C110" s="397"/>
      <c r="D110" s="415">
        <v>46120</v>
      </c>
      <c r="E110" s="398" t="s">
        <v>1529</v>
      </c>
      <c r="F110" s="398" t="s">
        <v>1530</v>
      </c>
      <c r="G110" s="400" t="s">
        <v>75</v>
      </c>
      <c r="H110" s="401" t="s">
        <v>235</v>
      </c>
      <c r="I110" s="400" t="s">
        <v>55</v>
      </c>
      <c r="J110" s="465">
        <v>5</v>
      </c>
      <c r="K110" s="400" t="s">
        <v>26</v>
      </c>
      <c r="L110" s="348"/>
      <c r="M110" s="348"/>
      <c r="N110" s="348"/>
      <c r="O110" s="399"/>
      <c r="P110" s="399"/>
      <c r="Q110" s="399"/>
      <c r="R110" s="400"/>
      <c r="S110" s="400"/>
      <c r="T110" s="400"/>
      <c r="U110" s="400"/>
      <c r="V110" s="400"/>
      <c r="W110" s="400"/>
      <c r="X110" s="436"/>
      <c r="Y110" s="418"/>
      <c r="Z110" s="418"/>
      <c r="AC110" s="275"/>
      <c r="AD110" s="248"/>
      <c r="AE110" s="248"/>
      <c r="AF110" s="248"/>
      <c r="AG110" s="248"/>
      <c r="AH110" s="248"/>
      <c r="AI110" s="248"/>
    </row>
    <row r="111" spans="1:36" ht="321" hidden="1">
      <c r="A111" s="662" t="s">
        <v>1531</v>
      </c>
      <c r="B111" s="649" t="s">
        <v>1087</v>
      </c>
      <c r="C111" s="400" t="s">
        <v>1393</v>
      </c>
      <c r="D111" s="415">
        <v>46010</v>
      </c>
      <c r="E111" s="398" t="s">
        <v>1532</v>
      </c>
      <c r="F111" s="398" t="s">
        <v>1533</v>
      </c>
      <c r="G111" s="400" t="s">
        <v>659</v>
      </c>
      <c r="H111" s="401" t="s">
        <v>1163</v>
      </c>
      <c r="I111" s="400" t="s">
        <v>55</v>
      </c>
      <c r="J111" s="465">
        <v>999</v>
      </c>
      <c r="K111" s="400" t="s">
        <v>26</v>
      </c>
      <c r="L111" s="348"/>
      <c r="M111" s="348"/>
      <c r="N111" s="348"/>
      <c r="O111" s="399"/>
      <c r="P111" s="399"/>
      <c r="Q111" s="399"/>
      <c r="R111" s="400"/>
      <c r="S111" s="400">
        <v>8</v>
      </c>
      <c r="T111" s="400"/>
      <c r="U111" s="400" t="s">
        <v>1437</v>
      </c>
      <c r="V111" s="400"/>
      <c r="W111" s="400"/>
      <c r="X111" s="436"/>
      <c r="Y111" s="418"/>
      <c r="Z111" s="418"/>
      <c r="AA111" s="196" t="str">
        <f>_xlfn.XLOOKUP(Backlog[[#This Row],[Estado]],CatEstados[Estado],CatEstados[Fase],"Otro")</f>
        <v>Por hacer</v>
      </c>
      <c r="AB111"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11" s="275" t="e">
        <f ca="1">IF(OR(#REF!="",NOT(ISNUMBER(Backlog[[#This Row],[Dias_abiertos]]))),"",IF(Backlog[[#This Row],[Dias_abiertos]]&lt;=7,"En plazo",IFERROR(IF(Backlog[[#This Row],[Dias_abiertos]]=_xlfn.XLOOKUP(TRIM(#REF!),CatSLA[Prioridad],CatSLA[SLA_dias],""),"En plazo","Fuera de plazo"),"Sin SLA")))</f>
        <v>#REF!</v>
      </c>
      <c r="AD111" s="248"/>
      <c r="AE111" s="248"/>
      <c r="AF111" s="248"/>
      <c r="AG111" s="248"/>
      <c r="AH111" s="248"/>
      <c r="AI111" s="248"/>
    </row>
    <row r="112" spans="1:36" ht="45.75" hidden="1">
      <c r="A112" s="396" t="s">
        <v>1534</v>
      </c>
      <c r="B112" s="397" t="s">
        <v>1088</v>
      </c>
      <c r="C112" s="397"/>
      <c r="D112" s="415">
        <v>46122</v>
      </c>
      <c r="E112" s="398" t="s">
        <v>1535</v>
      </c>
      <c r="F112" s="398" t="s">
        <v>1536</v>
      </c>
      <c r="G112" s="400" t="s">
        <v>75</v>
      </c>
      <c r="H112" s="401" t="s">
        <v>235</v>
      </c>
      <c r="I112" s="400" t="s">
        <v>55</v>
      </c>
      <c r="J112" s="465"/>
      <c r="K112" s="400" t="s">
        <v>26</v>
      </c>
      <c r="L112" s="415"/>
      <c r="M112" s="415"/>
      <c r="N112" s="415"/>
      <c r="O112" s="399"/>
      <c r="P112" s="399"/>
      <c r="Q112" s="399"/>
      <c r="R112" s="400"/>
      <c r="S112" s="400"/>
      <c r="T112" s="400"/>
      <c r="U112" s="400"/>
      <c r="V112" s="400"/>
      <c r="W112" s="400"/>
      <c r="X112" s="436"/>
      <c r="Y112" s="418"/>
      <c r="Z112" s="418"/>
      <c r="AC112" s="275"/>
      <c r="AD112" s="248"/>
      <c r="AE112" s="248"/>
      <c r="AF112" s="248"/>
      <c r="AG112" s="248"/>
      <c r="AH112" s="248"/>
      <c r="AI112" s="248"/>
    </row>
    <row r="113" spans="1:36" ht="91.5" hidden="1">
      <c r="A113" s="396" t="s">
        <v>1537</v>
      </c>
      <c r="B113" s="397" t="s">
        <v>1088</v>
      </c>
      <c r="C113" s="397"/>
      <c r="D113" s="415">
        <v>46122</v>
      </c>
      <c r="E113" s="398" t="s">
        <v>1538</v>
      </c>
      <c r="F113" s="398" t="s">
        <v>1539</v>
      </c>
      <c r="G113" s="400" t="s">
        <v>66</v>
      </c>
      <c r="H113" s="401" t="s">
        <v>235</v>
      </c>
      <c r="I113" s="400" t="s">
        <v>55</v>
      </c>
      <c r="J113" s="465"/>
      <c r="K113" s="400" t="s">
        <v>26</v>
      </c>
      <c r="L113" s="415"/>
      <c r="M113" s="415"/>
      <c r="N113" s="415"/>
      <c r="O113" s="399"/>
      <c r="P113" s="399"/>
      <c r="Q113" s="399"/>
      <c r="R113" s="400"/>
      <c r="S113" s="400"/>
      <c r="T113" s="400"/>
      <c r="U113" s="400"/>
      <c r="V113" s="400"/>
      <c r="W113" s="400"/>
      <c r="X113" s="436"/>
      <c r="Y113" s="418"/>
      <c r="Z113" s="418"/>
      <c r="AC113" s="275"/>
      <c r="AD113" s="248"/>
      <c r="AE113" s="248"/>
      <c r="AF113" s="248"/>
      <c r="AG113" s="248"/>
      <c r="AH113" s="248"/>
      <c r="AI113" s="248"/>
    </row>
    <row r="114" spans="1:36" ht="45.75" hidden="1">
      <c r="A114" s="655">
        <v>10453</v>
      </c>
      <c r="B114" s="397" t="s">
        <v>1087</v>
      </c>
      <c r="C114" s="655" t="s">
        <v>1127</v>
      </c>
      <c r="D114" s="663">
        <v>45632</v>
      </c>
      <c r="E114" s="664" t="s">
        <v>1540</v>
      </c>
      <c r="F114" s="664" t="s">
        <v>1541</v>
      </c>
      <c r="G114" s="655" t="s">
        <v>75</v>
      </c>
      <c r="H114" s="655" t="s">
        <v>415</v>
      </c>
      <c r="I114" s="655" t="s">
        <v>55</v>
      </c>
      <c r="J114" s="655"/>
      <c r="K114" s="655" t="s">
        <v>26</v>
      </c>
      <c r="L114" s="192"/>
      <c r="M114" s="192"/>
      <c r="N114" s="192"/>
      <c r="O114" s="678" t="s">
        <v>1542</v>
      </c>
      <c r="P114" s="678"/>
      <c r="Q114" s="735" t="s">
        <v>1543</v>
      </c>
      <c r="R114" s="400"/>
      <c r="S114" s="400">
        <v>4</v>
      </c>
      <c r="T114" s="400"/>
      <c r="U114" s="400" t="s">
        <v>1437</v>
      </c>
      <c r="V114" s="400"/>
      <c r="W114" s="400"/>
      <c r="X114" s="736"/>
      <c r="Y114" s="418"/>
      <c r="Z114" s="418"/>
      <c r="AA114" s="429" t="str">
        <f>_xlfn.XLOOKUP(Backlog[[#This Row],[Estado]],CatEstados[Estado],CatEstados[Fase],"Otro")</f>
        <v>Por hacer</v>
      </c>
      <c r="AB114" s="318"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14" s="319" t="e">
        <f ca="1">IF(OR(#REF!="",NOT(ISNUMBER(Backlog[[#This Row],[Dias_abiertos]]))),"",IF(Backlog[[#This Row],[Dias_abiertos]]&lt;=7,"En plazo",IFERROR(IF(Backlog[[#This Row],[Dias_abiertos]]=_xlfn.XLOOKUP(TRIM(#REF!),CatSLA[Prioridad],CatSLA[SLA_dias],""),"En plazo","Fuera de plazo"),"Sin SLA")))</f>
        <v>#REF!</v>
      </c>
      <c r="AD114" s="248"/>
      <c r="AE114" s="248"/>
      <c r="AF114" s="248"/>
      <c r="AG114" s="248"/>
      <c r="AH114" s="248"/>
      <c r="AI114" s="248"/>
    </row>
    <row r="115" spans="1:36" ht="45.75" hidden="1">
      <c r="A115" s="665" t="s">
        <v>409</v>
      </c>
      <c r="B115" s="397" t="s">
        <v>1087</v>
      </c>
      <c r="C115" s="655" t="s">
        <v>1393</v>
      </c>
      <c r="D115" s="663">
        <v>45671</v>
      </c>
      <c r="E115" s="664" t="s">
        <v>1544</v>
      </c>
      <c r="F115" s="664"/>
      <c r="G115" s="655" t="s">
        <v>75</v>
      </c>
      <c r="H115" s="655" t="s">
        <v>235</v>
      </c>
      <c r="I115" s="655" t="s">
        <v>55</v>
      </c>
      <c r="J115" s="655">
        <v>4</v>
      </c>
      <c r="K115" s="655" t="s">
        <v>26</v>
      </c>
      <c r="L115" s="257"/>
      <c r="M115" s="457" t="s">
        <v>1338</v>
      </c>
      <c r="N115" s="235"/>
      <c r="O115" s="655" t="s">
        <v>1545</v>
      </c>
      <c r="P115" s="655"/>
      <c r="Q115" s="655"/>
      <c r="R115" s="400">
        <v>1</v>
      </c>
      <c r="S115" s="400">
        <v>24</v>
      </c>
      <c r="T115" s="400"/>
      <c r="U115" s="400" t="s">
        <v>1431</v>
      </c>
      <c r="V115" s="400"/>
      <c r="W115" s="400"/>
      <c r="X115" s="730"/>
      <c r="Y115" s="418"/>
      <c r="Z115" s="418"/>
      <c r="AA115" s="419" t="str">
        <f>_xlfn.XLOOKUP(Backlog[[#This Row],[Estado]],CatEstados[Estado],CatEstados[Fase],"Otro")</f>
        <v>Por hacer</v>
      </c>
      <c r="AB115" s="264"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15" s="324" t="e">
        <f ca="1">IF(OR(#REF!="",NOT(ISNUMBER(Backlog[[#This Row],[Dias_abiertos]]))),"",IF(Backlog[[#This Row],[Dias_abiertos]]&lt;=7,"En plazo",IFERROR(IF(Backlog[[#This Row],[Dias_abiertos]]=_xlfn.XLOOKUP(TRIM(#REF!),CatSLA[Prioridad],CatSLA[SLA_dias],""),"En plazo","Fuera de plazo"),"Sin SLA")))</f>
        <v>#REF!</v>
      </c>
      <c r="AD115" s="248"/>
      <c r="AE115" s="248"/>
      <c r="AF115" s="248"/>
      <c r="AG115" s="248"/>
      <c r="AH115" s="248"/>
      <c r="AI115" s="248"/>
    </row>
    <row r="116" spans="1:36" ht="137.25" hidden="1">
      <c r="A116" s="655" t="s">
        <v>424</v>
      </c>
      <c r="B116" s="397" t="s">
        <v>1087</v>
      </c>
      <c r="C116" s="655" t="s">
        <v>1127</v>
      </c>
      <c r="D116" s="663">
        <v>45671</v>
      </c>
      <c r="E116" s="664" t="s">
        <v>1546</v>
      </c>
      <c r="F116" s="664"/>
      <c r="G116" s="655" t="s">
        <v>75</v>
      </c>
      <c r="H116" s="655" t="s">
        <v>235</v>
      </c>
      <c r="I116" s="655" t="s">
        <v>55</v>
      </c>
      <c r="J116" s="655">
        <v>6</v>
      </c>
      <c r="K116" s="655" t="s">
        <v>26</v>
      </c>
      <c r="L116" s="235"/>
      <c r="M116" s="457" t="s">
        <v>1338</v>
      </c>
      <c r="N116" s="235"/>
      <c r="O116" s="655" t="s">
        <v>1547</v>
      </c>
      <c r="P116" s="655" t="s">
        <v>1548</v>
      </c>
      <c r="Q116" s="655"/>
      <c r="R116" s="400">
        <v>3</v>
      </c>
      <c r="S116" s="400">
        <v>8</v>
      </c>
      <c r="T116" s="400"/>
      <c r="U116" s="400" t="s">
        <v>1459</v>
      </c>
      <c r="V116" s="400"/>
      <c r="W116" s="400"/>
      <c r="X116" s="730"/>
      <c r="Y116" s="418"/>
      <c r="Z116" s="418"/>
      <c r="AA116" s="424" t="str">
        <f>_xlfn.XLOOKUP(Backlog[[#This Row],[Estado]],CatEstados[Estado],CatEstados[Fase],"Otro")</f>
        <v>Por hacer</v>
      </c>
      <c r="AB116" s="320"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16" s="321" t="e">
        <f ca="1">IF(OR(#REF!="",NOT(ISNUMBER(Backlog[[#This Row],[Dias_abiertos]]))),"",IF(Backlog[[#This Row],[Dias_abiertos]]&lt;=7,"En plazo",IFERROR(IF(Backlog[[#This Row],[Dias_abiertos]]=_xlfn.XLOOKUP(TRIM(#REF!),CatSLA[Prioridad],CatSLA[SLA_dias],""),"En plazo","Fuera de plazo"),"Sin SLA")))</f>
        <v>#REF!</v>
      </c>
      <c r="AD116" s="248"/>
      <c r="AE116" s="248"/>
      <c r="AF116" s="248"/>
      <c r="AG116" s="248"/>
      <c r="AH116" s="248"/>
      <c r="AI116" s="248"/>
      <c r="AJ116" s="203" t="s">
        <v>1421</v>
      </c>
    </row>
    <row r="117" spans="1:36" ht="45.75" hidden="1">
      <c r="A117" s="666" t="s">
        <v>422</v>
      </c>
      <c r="B117" s="667" t="s">
        <v>1088</v>
      </c>
      <c r="C117" s="655" t="s">
        <v>1393</v>
      </c>
      <c r="D117" s="663">
        <v>45671</v>
      </c>
      <c r="E117" s="664" t="s">
        <v>1549</v>
      </c>
      <c r="F117" s="664"/>
      <c r="G117" s="655" t="s">
        <v>75</v>
      </c>
      <c r="H117" s="655" t="s">
        <v>235</v>
      </c>
      <c r="I117" s="655" t="s">
        <v>55</v>
      </c>
      <c r="J117" s="655"/>
      <c r="K117" s="655" t="s">
        <v>26</v>
      </c>
      <c r="L117" s="192"/>
      <c r="M117" s="461"/>
      <c r="N117" s="192"/>
      <c r="O117" s="678" t="s">
        <v>1550</v>
      </c>
      <c r="P117" s="735" t="s">
        <v>1551</v>
      </c>
      <c r="Q117" s="678"/>
      <c r="R117" s="400"/>
      <c r="S117" s="400">
        <v>80</v>
      </c>
      <c r="T117" s="400"/>
      <c r="U117" s="400" t="s">
        <v>1453</v>
      </c>
      <c r="V117" s="400"/>
      <c r="W117" s="400"/>
      <c r="X117" s="730"/>
      <c r="Y117" s="418"/>
      <c r="Z117" s="418"/>
      <c r="AA117" s="419" t="str">
        <f>_xlfn.XLOOKUP(Backlog[[#This Row],[Estado]],CatEstados[Estado],CatEstados[Fase],"Otro")</f>
        <v>Por hacer</v>
      </c>
      <c r="AB117" s="264"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17" s="324" t="e">
        <f ca="1">IF(OR(#REF!="",NOT(ISNUMBER(Backlog[[#This Row],[Dias_abiertos]]))),"",IF(Backlog[[#This Row],[Dias_abiertos]]&lt;=7,"En plazo",IFERROR(IF(Backlog[[#This Row],[Dias_abiertos]]=_xlfn.XLOOKUP(TRIM(#REF!),CatSLA[Prioridad],CatSLA[SLA_dias],""),"En plazo","Fuera de plazo"),"Sin SLA")))</f>
        <v>#REF!</v>
      </c>
      <c r="AD117" s="248"/>
      <c r="AE117" s="248"/>
      <c r="AF117" s="248"/>
      <c r="AG117" s="248"/>
      <c r="AH117" s="248"/>
      <c r="AI117" s="248"/>
    </row>
    <row r="118" spans="1:36" ht="76.5" hidden="1">
      <c r="A118" s="668" t="s">
        <v>429</v>
      </c>
      <c r="B118" s="397" t="s">
        <v>1088</v>
      </c>
      <c r="C118" s="655" t="s">
        <v>1503</v>
      </c>
      <c r="D118" s="663">
        <v>45671</v>
      </c>
      <c r="E118" s="664" t="s">
        <v>1552</v>
      </c>
      <c r="F118" s="669"/>
      <c r="G118" s="670" t="s">
        <v>75</v>
      </c>
      <c r="H118" s="671" t="s">
        <v>415</v>
      </c>
      <c r="I118" s="671" t="s">
        <v>55</v>
      </c>
      <c r="J118" s="655"/>
      <c r="K118" s="400" t="s">
        <v>26</v>
      </c>
      <c r="L118" s="192"/>
      <c r="M118" s="192"/>
      <c r="N118" s="530"/>
      <c r="O118" s="678" t="s">
        <v>1553</v>
      </c>
      <c r="P118" s="735" t="s">
        <v>1554</v>
      </c>
      <c r="Q118" s="678"/>
      <c r="R118" s="400"/>
      <c r="S118" s="400">
        <v>8</v>
      </c>
      <c r="T118" s="400"/>
      <c r="U118" s="400"/>
      <c r="V118" s="400"/>
      <c r="W118" s="400"/>
      <c r="X118" s="737"/>
      <c r="Y118" s="418"/>
      <c r="Z118" s="418"/>
      <c r="AA118" s="196" t="str">
        <f>_xlfn.XLOOKUP(Backlog[[#This Row],[Estado]],CatEstados[Estado],CatEstados[Fase],"Otro")</f>
        <v>Por hacer</v>
      </c>
      <c r="AB11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18" s="275" t="e">
        <f ca="1">IF(OR(#REF!="",NOT(ISNUMBER(Backlog[[#This Row],[Dias_abiertos]]))),"",IF(Backlog[[#This Row],[Dias_abiertos]]&lt;=7,"En plazo",IFERROR(IF(Backlog[[#This Row],[Dias_abiertos]]=_xlfn.XLOOKUP(TRIM(#REF!),CatSLA[Prioridad],CatSLA[SLA_dias],""),"En plazo","Fuera de plazo"),"Sin SLA")))</f>
        <v>#REF!</v>
      </c>
      <c r="AD118" s="248"/>
      <c r="AE118" s="248"/>
      <c r="AF118" s="248"/>
      <c r="AG118" s="248"/>
      <c r="AH118" s="248"/>
      <c r="AI118" s="248"/>
    </row>
    <row r="119" spans="1:36" ht="76.5" hidden="1">
      <c r="A119" s="672" t="s">
        <v>431</v>
      </c>
      <c r="B119" s="667" t="s">
        <v>1088</v>
      </c>
      <c r="C119" s="672" t="s">
        <v>1393</v>
      </c>
      <c r="D119" s="673">
        <v>45671</v>
      </c>
      <c r="E119" s="674" t="s">
        <v>1555</v>
      </c>
      <c r="F119" s="674"/>
      <c r="G119" s="672" t="s">
        <v>75</v>
      </c>
      <c r="H119" s="655" t="s">
        <v>415</v>
      </c>
      <c r="I119" s="672" t="s">
        <v>55</v>
      </c>
      <c r="J119" s="672"/>
      <c r="K119" s="655" t="s">
        <v>26</v>
      </c>
      <c r="L119" s="526"/>
      <c r="M119" s="549" t="s">
        <v>1338</v>
      </c>
      <c r="N119" s="526"/>
      <c r="O119" s="738" t="s">
        <v>1556</v>
      </c>
      <c r="P119" s="738"/>
      <c r="Q119" s="738"/>
      <c r="R119" s="656"/>
      <c r="S119" s="656">
        <v>8</v>
      </c>
      <c r="T119" s="656"/>
      <c r="U119" s="656" t="s">
        <v>1441</v>
      </c>
      <c r="V119" s="656"/>
      <c r="W119" s="656"/>
      <c r="X119" s="739"/>
      <c r="Y119" s="418"/>
      <c r="Z119" s="418"/>
      <c r="AA119" s="433" t="str">
        <f>_xlfn.XLOOKUP(Backlog[[#This Row],[Estado]],CatEstados[Estado],CatEstados[Fase],"Otro")</f>
        <v>Por hacer</v>
      </c>
      <c r="AB119" s="322"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19" s="323" t="e">
        <f ca="1">IF(OR(#REF!="",NOT(ISNUMBER(Backlog[[#This Row],[Dias_abiertos]]))),"",IF(Backlog[[#This Row],[Dias_abiertos]]&lt;=7,"En plazo",IFERROR(IF(Backlog[[#This Row],[Dias_abiertos]]=_xlfn.XLOOKUP(TRIM(#REF!),CatSLA[Prioridad],CatSLA[SLA_dias],""),"En plazo","Fuera de plazo"),"Sin SLA")))</f>
        <v>#REF!</v>
      </c>
      <c r="AD119" s="248"/>
      <c r="AE119" s="248"/>
      <c r="AF119" s="248"/>
      <c r="AG119" s="248"/>
      <c r="AH119" s="248"/>
      <c r="AI119" s="248"/>
    </row>
    <row r="120" spans="1:36" ht="45.75" hidden="1">
      <c r="A120" s="675" t="s">
        <v>433</v>
      </c>
      <c r="B120" s="667" t="s">
        <v>1088</v>
      </c>
      <c r="C120" s="672" t="s">
        <v>1393</v>
      </c>
      <c r="D120" s="673">
        <v>45671</v>
      </c>
      <c r="E120" s="674" t="s">
        <v>1557</v>
      </c>
      <c r="F120" s="674"/>
      <c r="G120" s="672" t="s">
        <v>75</v>
      </c>
      <c r="H120" s="672" t="s">
        <v>415</v>
      </c>
      <c r="I120" s="672" t="s">
        <v>55</v>
      </c>
      <c r="J120" s="672"/>
      <c r="K120" s="400" t="s">
        <v>26</v>
      </c>
      <c r="L120" s="526"/>
      <c r="M120" s="526"/>
      <c r="N120" s="526"/>
      <c r="O120" s="738" t="s">
        <v>1556</v>
      </c>
      <c r="P120" s="738"/>
      <c r="Q120" s="738"/>
      <c r="R120" s="656"/>
      <c r="S120" s="656">
        <v>8</v>
      </c>
      <c r="T120" s="656"/>
      <c r="U120" s="656"/>
      <c r="V120" s="656"/>
      <c r="W120" s="656"/>
      <c r="X120" s="739"/>
      <c r="Y120" s="418"/>
      <c r="Z120" s="418"/>
      <c r="AA120" s="433" t="str">
        <f>_xlfn.XLOOKUP(Backlog[[#This Row],[Estado]],CatEstados[Estado],CatEstados[Fase],"Otro")</f>
        <v>Por hacer</v>
      </c>
      <c r="AB120"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0" s="323" t="e">
        <f ca="1">IF(OR(#REF!="",NOT(ISNUMBER(Backlog[[#This Row],[Dias_abiertos]]))),"",IF(Backlog[[#This Row],[Dias_abiertos]]&lt;=7,"En plazo",IFERROR(IF(Backlog[[#This Row],[Dias_abiertos]]=_xlfn.XLOOKUP(TRIM(#REF!),CatSLA[Prioridad],CatSLA[SLA_dias],""),"En plazo","Fuera de plazo"),"Sin SLA")))</f>
        <v>#REF!</v>
      </c>
      <c r="AD120" s="248"/>
      <c r="AE120" s="248"/>
      <c r="AF120" s="248"/>
      <c r="AG120" s="248"/>
      <c r="AH120" s="248"/>
      <c r="AI120" s="248"/>
    </row>
    <row r="121" spans="1:36" ht="45.75" hidden="1">
      <c r="A121" s="672" t="s">
        <v>442</v>
      </c>
      <c r="B121" s="397" t="s">
        <v>1088</v>
      </c>
      <c r="C121" s="672" t="s">
        <v>1393</v>
      </c>
      <c r="D121" s="673">
        <v>45671</v>
      </c>
      <c r="E121" s="674" t="s">
        <v>1558</v>
      </c>
      <c r="F121" s="674" t="s">
        <v>444</v>
      </c>
      <c r="G121" s="655" t="s">
        <v>75</v>
      </c>
      <c r="H121" s="655" t="s">
        <v>415</v>
      </c>
      <c r="I121" s="655" t="s">
        <v>55</v>
      </c>
      <c r="J121" s="672"/>
      <c r="K121" s="400" t="s">
        <v>26</v>
      </c>
      <c r="L121" s="526"/>
      <c r="M121" s="526"/>
      <c r="N121" s="526"/>
      <c r="O121" s="738" t="s">
        <v>1553</v>
      </c>
      <c r="P121" s="738"/>
      <c r="Q121" s="738"/>
      <c r="R121" s="656"/>
      <c r="S121" s="656">
        <v>40</v>
      </c>
      <c r="T121" s="656"/>
      <c r="U121" s="656"/>
      <c r="V121" s="656"/>
      <c r="W121" s="656"/>
      <c r="X121" s="739"/>
      <c r="Y121" s="418"/>
      <c r="Z121" s="418"/>
      <c r="AA121" s="370" t="str">
        <f>_xlfn.XLOOKUP(Backlog[[#This Row],[Estado]],CatEstados[Estado],CatEstados[Fase],"Otro")</f>
        <v>Por hacer</v>
      </c>
      <c r="AB121"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1" s="288" t="e">
        <f ca="1">IF(OR(#REF!="",NOT(ISNUMBER(Backlog[[#This Row],[Dias_abiertos]]))),"",IF(Backlog[[#This Row],[Dias_abiertos]]&lt;=7,"En plazo",IFERROR(IF(Backlog[[#This Row],[Dias_abiertos]]=_xlfn.XLOOKUP(TRIM(#REF!),CatSLA[Prioridad],CatSLA[SLA_dias],""),"En plazo","Fuera de plazo"),"Sin SLA")))</f>
        <v>#REF!</v>
      </c>
      <c r="AD121" s="248"/>
      <c r="AE121" s="248"/>
      <c r="AF121" s="248"/>
      <c r="AG121" s="248"/>
      <c r="AH121" s="248"/>
      <c r="AI121" s="248"/>
    </row>
    <row r="122" spans="1:36" ht="106.5" hidden="1">
      <c r="A122" s="665" t="s">
        <v>1018</v>
      </c>
      <c r="B122" s="397" t="s">
        <v>1088</v>
      </c>
      <c r="C122" s="655" t="s">
        <v>1503</v>
      </c>
      <c r="D122" s="663">
        <v>45742</v>
      </c>
      <c r="E122" s="664" t="s">
        <v>1559</v>
      </c>
      <c r="F122" s="676" t="s">
        <v>1021</v>
      </c>
      <c r="G122" s="655" t="s">
        <v>75</v>
      </c>
      <c r="H122" s="655" t="s">
        <v>415</v>
      </c>
      <c r="I122" s="655" t="s">
        <v>55</v>
      </c>
      <c r="J122" s="655"/>
      <c r="K122" s="656" t="s">
        <v>26</v>
      </c>
      <c r="L122" s="192"/>
      <c r="M122" s="192"/>
      <c r="N122" s="192"/>
      <c r="O122" s="678" t="s">
        <v>1553</v>
      </c>
      <c r="P122" s="678"/>
      <c r="Q122" s="678"/>
      <c r="R122" s="400" t="s">
        <v>1560</v>
      </c>
      <c r="S122" s="400">
        <v>0</v>
      </c>
      <c r="T122" s="400"/>
      <c r="U122" s="400"/>
      <c r="V122" s="400"/>
      <c r="W122" s="400"/>
      <c r="X122" s="730"/>
      <c r="Y122" s="418"/>
      <c r="Z122" s="418"/>
      <c r="AA122" s="196" t="str">
        <f>_xlfn.XLOOKUP(Backlog[[#This Row],[Estado]],CatEstados[Estado],CatEstados[Fase],"Otro")</f>
        <v>Por hacer</v>
      </c>
      <c r="AB12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2" s="275" t="e">
        <f ca="1">IF(OR(#REF!="",NOT(ISNUMBER(Backlog[[#This Row],[Dias_abiertos]]))),"",IF(Backlog[[#This Row],[Dias_abiertos]]&lt;=7,"En plazo",IFERROR(IF(Backlog[[#This Row],[Dias_abiertos]]=_xlfn.XLOOKUP(TRIM(#REF!),CatSLA[Prioridad],CatSLA[SLA_dias],""),"En plazo","Fuera de plazo"),"Sin SLA")))</f>
        <v>#REF!</v>
      </c>
      <c r="AD122" s="248"/>
      <c r="AE122" s="248"/>
      <c r="AF122" s="248"/>
      <c r="AG122" s="248"/>
      <c r="AH122" s="248"/>
      <c r="AI122" s="248"/>
    </row>
    <row r="123" spans="1:36" ht="45.75" hidden="1">
      <c r="A123" s="677" t="s">
        <v>1561</v>
      </c>
      <c r="B123" s="397" t="s">
        <v>1088</v>
      </c>
      <c r="C123" s="655" t="s">
        <v>1393</v>
      </c>
      <c r="D123" s="663">
        <v>45783</v>
      </c>
      <c r="E123" s="678" t="s">
        <v>1562</v>
      </c>
      <c r="F123" s="678" t="s">
        <v>1563</v>
      </c>
      <c r="G123" s="655" t="s">
        <v>225</v>
      </c>
      <c r="H123" s="655" t="s">
        <v>235</v>
      </c>
      <c r="I123" s="655" t="s">
        <v>55</v>
      </c>
      <c r="J123" s="655"/>
      <c r="K123" s="656" t="s">
        <v>26</v>
      </c>
      <c r="L123" s="192"/>
      <c r="M123" s="192"/>
      <c r="N123" s="192"/>
      <c r="O123" s="678"/>
      <c r="P123" s="678"/>
      <c r="Q123" s="678"/>
      <c r="R123" s="400"/>
      <c r="S123" s="400">
        <v>8</v>
      </c>
      <c r="T123" s="400"/>
      <c r="U123" s="400"/>
      <c r="V123" s="400"/>
      <c r="W123" s="400"/>
      <c r="X123" s="730"/>
      <c r="Y123" s="418"/>
      <c r="Z123" s="418"/>
      <c r="AA123" s="196" t="str">
        <f>_xlfn.XLOOKUP(Backlog[[#This Row],[Estado]],CatEstados[Estado],CatEstados[Fase],"Otro")</f>
        <v>Por hacer</v>
      </c>
      <c r="AB12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3" s="275" t="e">
        <f ca="1">IF(OR(#REF!="",NOT(ISNUMBER(Backlog[[#This Row],[Dias_abiertos]]))),"",IF(Backlog[[#This Row],[Dias_abiertos]]&lt;=7,"En plazo",IFERROR(IF(Backlog[[#This Row],[Dias_abiertos]]=_xlfn.XLOOKUP(TRIM(#REF!),CatSLA[Prioridad],CatSLA[SLA_dias],""),"En plazo","Fuera de plazo"),"Sin SLA")))</f>
        <v>#REF!</v>
      </c>
      <c r="AD123" s="248"/>
      <c r="AE123" s="248"/>
      <c r="AF123" s="248"/>
      <c r="AG123" s="248"/>
      <c r="AH123" s="248"/>
      <c r="AI123" s="248"/>
    </row>
    <row r="124" spans="1:36" ht="91.5" hidden="1">
      <c r="A124" s="677" t="s">
        <v>1564</v>
      </c>
      <c r="B124" s="667" t="s">
        <v>1088</v>
      </c>
      <c r="C124" s="655" t="s">
        <v>1127</v>
      </c>
      <c r="D124" s="663">
        <v>45811</v>
      </c>
      <c r="E124" s="678" t="s">
        <v>1565</v>
      </c>
      <c r="F124" s="678" t="s">
        <v>1566</v>
      </c>
      <c r="G124" s="655" t="s">
        <v>225</v>
      </c>
      <c r="H124" s="655" t="s">
        <v>235</v>
      </c>
      <c r="I124" s="655" t="s">
        <v>55</v>
      </c>
      <c r="J124" s="655"/>
      <c r="K124" s="656" t="s">
        <v>26</v>
      </c>
      <c r="L124" s="192"/>
      <c r="M124" s="192" t="s">
        <v>1338</v>
      </c>
      <c r="N124" s="192"/>
      <c r="O124" s="678"/>
      <c r="P124" s="678"/>
      <c r="Q124" s="678"/>
      <c r="R124" s="400"/>
      <c r="S124" s="400">
        <v>24</v>
      </c>
      <c r="T124" s="400"/>
      <c r="U124" s="400"/>
      <c r="V124" s="400"/>
      <c r="W124" s="400"/>
      <c r="X124" s="730"/>
      <c r="Y124" s="418"/>
      <c r="Z124" s="418"/>
      <c r="AA124" s="196" t="str">
        <f>_xlfn.XLOOKUP(Backlog[[#This Row],[Estado]],CatEstados[Estado],CatEstados[Fase],"Otro")</f>
        <v>Por hacer</v>
      </c>
      <c r="AB124"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24" s="275" t="e">
        <f ca="1">IF(OR(#REF!="",NOT(ISNUMBER(Backlog[[#This Row],[Dias_abiertos]]))),"",IF(Backlog[[#This Row],[Dias_abiertos]]&lt;=7,"En plazo",IFERROR(IF(Backlog[[#This Row],[Dias_abiertos]]=_xlfn.XLOOKUP(TRIM(#REF!),CatSLA[Prioridad],CatSLA[SLA_dias],""),"En plazo","Fuera de plazo"),"Sin SLA")))</f>
        <v>#REF!</v>
      </c>
      <c r="AD124" s="248"/>
      <c r="AE124" s="248"/>
      <c r="AF124" s="248"/>
      <c r="AG124" s="248"/>
      <c r="AH124" s="248"/>
      <c r="AI124" s="248"/>
    </row>
    <row r="125" spans="1:36" ht="60.75" hidden="1">
      <c r="A125" s="679" t="s">
        <v>1567</v>
      </c>
      <c r="B125" s="667" t="s">
        <v>1088</v>
      </c>
      <c r="C125" s="656" t="s">
        <v>1393</v>
      </c>
      <c r="D125" s="680">
        <v>45820</v>
      </c>
      <c r="E125" s="681" t="s">
        <v>1568</v>
      </c>
      <c r="F125" s="682" t="s">
        <v>1569</v>
      </c>
      <c r="G125" s="656" t="s">
        <v>225</v>
      </c>
      <c r="H125" s="656" t="s">
        <v>235</v>
      </c>
      <c r="I125" s="672" t="s">
        <v>55</v>
      </c>
      <c r="J125" s="656"/>
      <c r="K125" s="656" t="s">
        <v>26</v>
      </c>
      <c r="L125" s="370"/>
      <c r="M125" s="370"/>
      <c r="N125" s="370"/>
      <c r="O125" s="688"/>
      <c r="P125" s="688"/>
      <c r="Q125" s="688"/>
      <c r="R125" s="656" t="s">
        <v>1560</v>
      </c>
      <c r="S125" s="656">
        <v>0</v>
      </c>
      <c r="T125" s="656"/>
      <c r="U125" s="656"/>
      <c r="V125" s="656"/>
      <c r="W125" s="656"/>
      <c r="X125" s="739"/>
      <c r="Y125" s="418"/>
      <c r="Z125" s="418"/>
      <c r="AA125" s="370" t="str">
        <f>_xlfn.XLOOKUP(Backlog[[#This Row],[Estado]],CatEstados[Estado],CatEstados[Fase],"Otro")</f>
        <v>Por hacer</v>
      </c>
      <c r="AB125"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5" s="288" t="e">
        <f ca="1">IF(OR(#REF!="",NOT(ISNUMBER(Backlog[[#This Row],[Dias_abiertos]]))),"",IF(Backlog[[#This Row],[Dias_abiertos]]&lt;=7,"En plazo",IFERROR(IF(Backlog[[#This Row],[Dias_abiertos]]=_xlfn.XLOOKUP(TRIM(#REF!),CatSLA[Prioridad],CatSLA[SLA_dias],""),"En plazo","Fuera de plazo"),"Sin SLA")))</f>
        <v>#REF!</v>
      </c>
      <c r="AD125" s="248"/>
      <c r="AE125" s="248"/>
      <c r="AF125" s="248"/>
      <c r="AG125" s="248"/>
      <c r="AH125" s="248"/>
      <c r="AI125" s="248"/>
    </row>
    <row r="126" spans="1:36" ht="60.75" hidden="1">
      <c r="A126" s="683" t="s">
        <v>1570</v>
      </c>
      <c r="B126" s="667" t="s">
        <v>1086</v>
      </c>
      <c r="C126" s="656" t="s">
        <v>1393</v>
      </c>
      <c r="D126" s="680">
        <v>45825</v>
      </c>
      <c r="E126" s="681" t="s">
        <v>1571</v>
      </c>
      <c r="F126" s="684" t="s">
        <v>1571</v>
      </c>
      <c r="G126" s="656" t="s">
        <v>225</v>
      </c>
      <c r="H126" s="656" t="s">
        <v>235</v>
      </c>
      <c r="I126" s="672" t="s">
        <v>55</v>
      </c>
      <c r="J126" s="656"/>
      <c r="K126" s="656" t="s">
        <v>26</v>
      </c>
      <c r="L126" s="370"/>
      <c r="M126" s="370"/>
      <c r="N126" s="370"/>
      <c r="O126" s="688"/>
      <c r="P126" s="688"/>
      <c r="Q126" s="688"/>
      <c r="R126" s="656" t="s">
        <v>1560</v>
      </c>
      <c r="S126" s="656">
        <v>0</v>
      </c>
      <c r="T126" s="656"/>
      <c r="U126" s="656"/>
      <c r="V126" s="656"/>
      <c r="W126" s="656"/>
      <c r="X126" s="730"/>
      <c r="Y126" s="418"/>
      <c r="Z126" s="418"/>
      <c r="AA126" s="370" t="str">
        <f>_xlfn.XLOOKUP(Backlog[[#This Row],[Estado]],CatEstados[Estado],CatEstados[Fase],"Otro")</f>
        <v>Por hacer</v>
      </c>
      <c r="AB126"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6" s="288" t="e">
        <f ca="1">IF(OR(#REF!="",NOT(ISNUMBER(Backlog[[#This Row],[Dias_abiertos]]))),"",IF(Backlog[[#This Row],[Dias_abiertos]]&lt;=7,"En plazo",IFERROR(IF(Backlog[[#This Row],[Dias_abiertos]]=_xlfn.XLOOKUP(TRIM(#REF!),CatSLA[Prioridad],CatSLA[SLA_dias],""),"En plazo","Fuera de plazo"),"Sin SLA")))</f>
        <v>#REF!</v>
      </c>
      <c r="AD126" s="248"/>
      <c r="AE126" s="248"/>
      <c r="AF126" s="248"/>
      <c r="AG126" s="248"/>
      <c r="AH126" s="248"/>
      <c r="AI126" s="248"/>
    </row>
    <row r="127" spans="1:36" ht="45.75" hidden="1">
      <c r="A127" s="685" t="s">
        <v>1572</v>
      </c>
      <c r="B127" s="667" t="s">
        <v>1088</v>
      </c>
      <c r="C127" s="656" t="s">
        <v>1127</v>
      </c>
      <c r="D127" s="680">
        <v>45835</v>
      </c>
      <c r="E127" s="686" t="s">
        <v>1573</v>
      </c>
      <c r="F127" s="681" t="s">
        <v>1574</v>
      </c>
      <c r="G127" s="656" t="s">
        <v>659</v>
      </c>
      <c r="H127" s="656" t="s">
        <v>986</v>
      </c>
      <c r="I127" s="672" t="s">
        <v>55</v>
      </c>
      <c r="J127" s="656"/>
      <c r="K127" s="656" t="s">
        <v>26</v>
      </c>
      <c r="L127" s="332"/>
      <c r="M127" s="349">
        <v>45975</v>
      </c>
      <c r="N127" s="332"/>
      <c r="O127" s="656" t="s">
        <v>1575</v>
      </c>
      <c r="P127" s="656"/>
      <c r="Q127" s="656"/>
      <c r="R127" s="656">
        <v>4</v>
      </c>
      <c r="S127" s="656">
        <v>8</v>
      </c>
      <c r="T127" s="656"/>
      <c r="U127" s="656" t="s">
        <v>1437</v>
      </c>
      <c r="V127" s="656"/>
      <c r="W127" s="656"/>
      <c r="X127" s="739"/>
      <c r="Y127" s="418"/>
      <c r="Z127" s="418"/>
      <c r="AA127" s="370" t="str">
        <f>_xlfn.XLOOKUP(Backlog[[#This Row],[Estado]],CatEstados[Estado],CatEstados[Fase],"Otro")</f>
        <v>Por hacer</v>
      </c>
      <c r="AB127" s="287">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193</v>
      </c>
      <c r="AC127" s="288" t="e">
        <f ca="1">IF(OR(#REF!="",NOT(ISNUMBER(Backlog[[#This Row],[Dias_abiertos]]))),"",IF(Backlog[[#This Row],[Dias_abiertos]]&lt;=7,"En plazo",IFERROR(IF(Backlog[[#This Row],[Dias_abiertos]]=_xlfn.XLOOKUP(TRIM(#REF!),CatSLA[Prioridad],CatSLA[SLA_dias],""),"En plazo","Fuera de plazo"),"Sin SLA")))</f>
        <v>#REF!</v>
      </c>
      <c r="AD127" s="248"/>
      <c r="AE127" s="248"/>
      <c r="AF127" s="248"/>
      <c r="AG127" s="248"/>
      <c r="AH127" s="248"/>
      <c r="AI127" s="248"/>
    </row>
    <row r="128" spans="1:36" ht="121.5" hidden="1">
      <c r="A128" s="656" t="s">
        <v>1576</v>
      </c>
      <c r="B128" s="667" t="s">
        <v>1088</v>
      </c>
      <c r="C128" s="656" t="s">
        <v>1127</v>
      </c>
      <c r="D128" s="687">
        <v>45839</v>
      </c>
      <c r="E128" s="681" t="s">
        <v>1577</v>
      </c>
      <c r="F128" s="681" t="s">
        <v>1578</v>
      </c>
      <c r="G128" s="656" t="s">
        <v>767</v>
      </c>
      <c r="H128" s="656" t="s">
        <v>235</v>
      </c>
      <c r="I128" s="672" t="s">
        <v>55</v>
      </c>
      <c r="J128" s="656">
        <v>2</v>
      </c>
      <c r="K128" s="656" t="s">
        <v>26</v>
      </c>
      <c r="L128" s="370"/>
      <c r="M128" s="527" t="s">
        <v>1338</v>
      </c>
      <c r="N128" s="370"/>
      <c r="O128" s="688" t="s">
        <v>1579</v>
      </c>
      <c r="P128" s="688"/>
      <c r="Q128" s="740" t="s">
        <v>1580</v>
      </c>
      <c r="R128" s="656"/>
      <c r="S128" s="656">
        <v>100</v>
      </c>
      <c r="T128" s="656"/>
      <c r="U128" s="656" t="s">
        <v>1459</v>
      </c>
      <c r="V128" s="656"/>
      <c r="W128" s="656"/>
      <c r="X128" s="739"/>
      <c r="Y128" s="418"/>
      <c r="Z128" s="418"/>
      <c r="AA128" s="430" t="str">
        <f>_xlfn.XLOOKUP(Backlog[[#This Row],[Estado]],CatEstados[Estado],CatEstados[Fase],"Otro")</f>
        <v>Por hacer</v>
      </c>
      <c r="AB128" s="375"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28" s="376" t="e">
        <f ca="1">IF(OR(#REF!="",NOT(ISNUMBER(Backlog[[#This Row],[Dias_abiertos]]))),"",IF(Backlog[[#This Row],[Dias_abiertos]]&lt;=7,"En plazo",IFERROR(IF(Backlog[[#This Row],[Dias_abiertos]]=_xlfn.XLOOKUP(TRIM(#REF!),CatSLA[Prioridad],CatSLA[SLA_dias],""),"En plazo","Fuera de plazo"),"Sin SLA")))</f>
        <v>#REF!</v>
      </c>
      <c r="AD128" s="248"/>
      <c r="AE128" s="248"/>
      <c r="AF128" s="248"/>
      <c r="AG128" s="248"/>
      <c r="AH128" s="248"/>
      <c r="AI128" s="248"/>
    </row>
    <row r="129" spans="1:36" ht="137.25" hidden="1">
      <c r="A129" s="656" t="s">
        <v>1581</v>
      </c>
      <c r="B129" s="667" t="s">
        <v>1088</v>
      </c>
      <c r="C129" s="656" t="s">
        <v>1393</v>
      </c>
      <c r="D129" s="687">
        <v>45840</v>
      </c>
      <c r="E129" s="688" t="s">
        <v>1582</v>
      </c>
      <c r="F129" s="689" t="s">
        <v>1583</v>
      </c>
      <c r="G129" s="656" t="s">
        <v>659</v>
      </c>
      <c r="H129" s="656" t="s">
        <v>1163</v>
      </c>
      <c r="I129" s="672" t="s">
        <v>55</v>
      </c>
      <c r="J129" s="656"/>
      <c r="K129" s="656" t="s">
        <v>26</v>
      </c>
      <c r="L129" s="370"/>
      <c r="M129" s="529"/>
      <c r="N129" s="370"/>
      <c r="O129" s="688"/>
      <c r="P129" s="688"/>
      <c r="Q129" s="688"/>
      <c r="R129" s="688" t="s">
        <v>1584</v>
      </c>
      <c r="S129" s="656">
        <v>0</v>
      </c>
      <c r="T129" s="656"/>
      <c r="U129" s="688"/>
      <c r="V129" s="688"/>
      <c r="W129" s="688"/>
      <c r="X129" s="739"/>
      <c r="Y129" s="418"/>
      <c r="Z129" s="418"/>
      <c r="AA129" s="370" t="str">
        <f>_xlfn.XLOOKUP(Backlog[[#This Row],[Estado]],CatEstados[Estado],CatEstados[Fase],"Otro")</f>
        <v>Por hacer</v>
      </c>
      <c r="AB129"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29" s="288" t="e">
        <f ca="1">IF(OR(#REF!="",NOT(ISNUMBER(Backlog[[#This Row],[Dias_abiertos]]))),"",IF(Backlog[[#This Row],[Dias_abiertos]]&lt;=7,"En plazo",IFERROR(IF(Backlog[[#This Row],[Dias_abiertos]]=_xlfn.XLOOKUP(TRIM(#REF!),CatSLA[Prioridad],CatSLA[SLA_dias],""),"En plazo","Fuera de plazo"),"Sin SLA")))</f>
        <v>#REF!</v>
      </c>
      <c r="AD129" s="248"/>
      <c r="AE129" s="248"/>
      <c r="AF129" s="248"/>
      <c r="AG129" s="248"/>
      <c r="AH129" s="248"/>
      <c r="AI129" s="248"/>
    </row>
    <row r="130" spans="1:36" ht="30.75" hidden="1">
      <c r="A130" s="400" t="s">
        <v>1585</v>
      </c>
      <c r="B130" s="667" t="s">
        <v>1088</v>
      </c>
      <c r="C130" s="400" t="s">
        <v>1393</v>
      </c>
      <c r="D130" s="415">
        <v>45840</v>
      </c>
      <c r="E130" s="436" t="s">
        <v>1586</v>
      </c>
      <c r="F130" s="436" t="s">
        <v>1587</v>
      </c>
      <c r="G130" s="400" t="s">
        <v>659</v>
      </c>
      <c r="H130" s="656" t="s">
        <v>1163</v>
      </c>
      <c r="I130" s="655" t="s">
        <v>55</v>
      </c>
      <c r="J130" s="400"/>
      <c r="K130" s="656" t="s">
        <v>26</v>
      </c>
      <c r="L130" s="196"/>
      <c r="M130" s="462"/>
      <c r="N130" s="196"/>
      <c r="O130" s="436" t="s">
        <v>1588</v>
      </c>
      <c r="P130" s="436"/>
      <c r="Q130" s="688"/>
      <c r="R130" s="688">
        <v>1</v>
      </c>
      <c r="S130" s="656">
        <v>4</v>
      </c>
      <c r="T130" s="688"/>
      <c r="U130" s="436">
        <v>1</v>
      </c>
      <c r="V130" s="436"/>
      <c r="W130" s="436"/>
      <c r="X130" s="730"/>
      <c r="Y130" s="418"/>
      <c r="Z130" s="418"/>
      <c r="AA130" s="196" t="str">
        <f>_xlfn.XLOOKUP(Backlog[[#This Row],[Estado]],CatEstados[Estado],CatEstados[Fase],"Otro")</f>
        <v>Por hacer</v>
      </c>
      <c r="AB130"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0" s="275" t="e">
        <f ca="1">IF(OR(#REF!="",NOT(ISNUMBER(Backlog[[#This Row],[Dias_abiertos]]))),"",IF(Backlog[[#This Row],[Dias_abiertos]]&lt;=7,"En plazo",IFERROR(IF(Backlog[[#This Row],[Dias_abiertos]]=_xlfn.XLOOKUP(TRIM(#REF!),CatSLA[Prioridad],CatSLA[SLA_dias],""),"En plazo","Fuera de plazo"),"Sin SLA")))</f>
        <v>#REF!</v>
      </c>
      <c r="AD130" s="248"/>
      <c r="AE130" s="248"/>
      <c r="AF130" s="248"/>
      <c r="AG130" s="248"/>
      <c r="AH130" s="248"/>
      <c r="AI130" s="248"/>
    </row>
    <row r="131" spans="1:36" ht="96.75" hidden="1" customHeight="1">
      <c r="A131" s="690" t="s">
        <v>1589</v>
      </c>
      <c r="B131" s="667" t="s">
        <v>1088</v>
      </c>
      <c r="C131" s="656" t="s">
        <v>1393</v>
      </c>
      <c r="D131" s="687">
        <v>45842</v>
      </c>
      <c r="E131" s="681" t="s">
        <v>1590</v>
      </c>
      <c r="F131" s="681" t="s">
        <v>1591</v>
      </c>
      <c r="G131" s="400" t="s">
        <v>75</v>
      </c>
      <c r="H131" s="656" t="s">
        <v>986</v>
      </c>
      <c r="I131" s="672" t="s">
        <v>55</v>
      </c>
      <c r="J131" s="656"/>
      <c r="K131" s="656" t="s">
        <v>26</v>
      </c>
      <c r="L131" s="332"/>
      <c r="M131" s="548"/>
      <c r="N131" s="349">
        <v>45957</v>
      </c>
      <c r="O131" s="681" t="s">
        <v>1592</v>
      </c>
      <c r="P131" s="681"/>
      <c r="Q131" s="681"/>
      <c r="R131" s="681"/>
      <c r="S131" s="656">
        <v>16</v>
      </c>
      <c r="T131" s="681"/>
      <c r="U131" s="681" t="s">
        <v>1431</v>
      </c>
      <c r="V131" s="681"/>
      <c r="W131" s="681"/>
      <c r="X131" s="739"/>
      <c r="Y131" s="432"/>
      <c r="Z131" s="432"/>
      <c r="AA131" s="433" t="str">
        <f>_xlfn.XLOOKUP(Backlog[[#This Row],[Estado]],CatEstados[Estado],CatEstados[Fase],"Otro")</f>
        <v>Por hacer</v>
      </c>
      <c r="AB131"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1" s="323" t="e">
        <f ca="1">IF(OR(#REF!="",NOT(ISNUMBER(Backlog[[#This Row],[Dias_abiertos]]))),"",IF(Backlog[[#This Row],[Dias_abiertos]]&lt;=7,"En plazo",IFERROR(IF(Backlog[[#This Row],[Dias_abiertos]]=_xlfn.XLOOKUP(TRIM(#REF!),CatSLA[Prioridad],CatSLA[SLA_dias],""),"En plazo","Fuera de plazo"),"Sin SLA")))</f>
        <v>#REF!</v>
      </c>
      <c r="AD131" s="248"/>
      <c r="AE131" s="248"/>
      <c r="AF131" s="248"/>
      <c r="AG131" s="248"/>
      <c r="AH131" s="248"/>
      <c r="AI131" s="248"/>
    </row>
    <row r="132" spans="1:36" ht="121.5" hidden="1">
      <c r="A132" s="691" t="s">
        <v>1593</v>
      </c>
      <c r="B132" s="692" t="s">
        <v>1088</v>
      </c>
      <c r="C132" s="656" t="s">
        <v>1393</v>
      </c>
      <c r="D132" s="687">
        <v>45846</v>
      </c>
      <c r="E132" s="681" t="s">
        <v>1594</v>
      </c>
      <c r="F132" s="693" t="s">
        <v>1595</v>
      </c>
      <c r="G132" s="656" t="s">
        <v>75</v>
      </c>
      <c r="H132" s="656" t="s">
        <v>986</v>
      </c>
      <c r="I132" s="672" t="s">
        <v>55</v>
      </c>
      <c r="J132" s="656"/>
      <c r="K132" s="656" t="s">
        <v>26</v>
      </c>
      <c r="L132" s="349"/>
      <c r="M132" s="349"/>
      <c r="N132" s="332"/>
      <c r="O132" s="656" t="s">
        <v>1596</v>
      </c>
      <c r="P132" s="656"/>
      <c r="Q132" s="656"/>
      <c r="R132" s="656">
        <v>1</v>
      </c>
      <c r="S132" s="656">
        <v>4</v>
      </c>
      <c r="T132" s="656"/>
      <c r="U132" s="656" t="s">
        <v>1437</v>
      </c>
      <c r="V132" s="656"/>
      <c r="W132" s="656"/>
      <c r="X132" s="739"/>
      <c r="Y132" s="432"/>
      <c r="Z132" s="432"/>
      <c r="AA132" s="433" t="str">
        <f>_xlfn.XLOOKUP(Backlog[[#This Row],[Estado]],CatEstados[Estado],CatEstados[Fase],"Otro")</f>
        <v>Por hacer</v>
      </c>
      <c r="AB132"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2" s="323" t="e">
        <f ca="1">IF(OR(#REF!="",NOT(ISNUMBER(Backlog[[#This Row],[Dias_abiertos]]))),"",IF(Backlog[[#This Row],[Dias_abiertos]]&lt;=7,"En plazo",IFERROR(IF(Backlog[[#This Row],[Dias_abiertos]]=_xlfn.XLOOKUP(TRIM(#REF!),CatSLA[Prioridad],CatSLA[SLA_dias],""),"En plazo","Fuera de plazo"),"Sin SLA")))</f>
        <v>#REF!</v>
      </c>
      <c r="AD132" s="248"/>
      <c r="AE132" s="248"/>
      <c r="AF132" s="248"/>
      <c r="AG132" s="248"/>
      <c r="AH132" s="248"/>
      <c r="AI132" s="248"/>
    </row>
    <row r="133" spans="1:36" ht="62.25" hidden="1" customHeight="1">
      <c r="A133" s="679" t="s">
        <v>1597</v>
      </c>
      <c r="B133" s="397" t="s">
        <v>1088</v>
      </c>
      <c r="C133" s="656" t="s">
        <v>1127</v>
      </c>
      <c r="D133" s="687" t="s">
        <v>1482</v>
      </c>
      <c r="E133" s="694" t="s">
        <v>1598</v>
      </c>
      <c r="F133" s="695" t="s">
        <v>1599</v>
      </c>
      <c r="G133" s="400" t="s">
        <v>66</v>
      </c>
      <c r="H133" s="656" t="s">
        <v>235</v>
      </c>
      <c r="I133" s="672" t="s">
        <v>55</v>
      </c>
      <c r="J133" s="696"/>
      <c r="K133" s="656" t="s">
        <v>26</v>
      </c>
      <c r="L133" s="349"/>
      <c r="M133" s="349"/>
      <c r="N133" s="349"/>
      <c r="O133" s="682"/>
      <c r="P133" s="682"/>
      <c r="Q133" s="682"/>
      <c r="R133" s="656"/>
      <c r="S133" s="656">
        <v>8</v>
      </c>
      <c r="T133" s="656"/>
      <c r="U133" s="656"/>
      <c r="V133" s="656"/>
      <c r="W133" s="656"/>
      <c r="X133" s="739"/>
      <c r="Y133" s="432"/>
      <c r="Z133" s="432"/>
      <c r="AA133" s="430" t="str">
        <f>_xlfn.XLOOKUP(Backlog[[#This Row],[Estado]],CatEstados[Estado],CatEstados[Fase],"Otro")</f>
        <v>Por hacer</v>
      </c>
      <c r="AB133" s="3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3" s="376" t="e">
        <f ca="1">IF(OR(#REF!="",NOT(ISNUMBER(Backlog[[#This Row],[Dias_abiertos]]))),"",IF(Backlog[[#This Row],[Dias_abiertos]]&lt;=7,"En plazo",IFERROR(IF(Backlog[[#This Row],[Dias_abiertos]]=_xlfn.XLOOKUP(TRIM(#REF!),CatSLA[Prioridad],CatSLA[SLA_dias],""),"En plazo","Fuera de plazo"),"Sin SLA")))</f>
        <v>#REF!</v>
      </c>
      <c r="AD133" s="248"/>
      <c r="AE133" s="248"/>
      <c r="AF133" s="248"/>
      <c r="AG133" s="248"/>
      <c r="AH133" s="248"/>
      <c r="AI133" s="248"/>
    </row>
    <row r="134" spans="1:36" ht="39.75" hidden="1" customHeight="1">
      <c r="A134" s="679" t="s">
        <v>1600</v>
      </c>
      <c r="B134" s="397" t="s">
        <v>1088</v>
      </c>
      <c r="C134" s="656" t="s">
        <v>1127</v>
      </c>
      <c r="D134" s="687" t="s">
        <v>1285</v>
      </c>
      <c r="E134" s="694" t="s">
        <v>1601</v>
      </c>
      <c r="F134" s="695" t="s">
        <v>1602</v>
      </c>
      <c r="G134" s="400" t="s">
        <v>66</v>
      </c>
      <c r="H134" s="656" t="s">
        <v>415</v>
      </c>
      <c r="I134" s="672" t="s">
        <v>55</v>
      </c>
      <c r="J134" s="696"/>
      <c r="K134" s="656" t="s">
        <v>26</v>
      </c>
      <c r="L134" s="349"/>
      <c r="M134" s="349"/>
      <c r="N134" s="349"/>
      <c r="O134" s="682"/>
      <c r="P134" s="682"/>
      <c r="Q134" s="682"/>
      <c r="R134" s="656"/>
      <c r="S134" s="656">
        <v>8</v>
      </c>
      <c r="T134" s="656"/>
      <c r="U134" s="656"/>
      <c r="V134" s="656"/>
      <c r="W134" s="656"/>
      <c r="X134" s="739"/>
      <c r="Y134" s="432"/>
      <c r="Z134" s="432"/>
      <c r="AA134" s="370" t="str">
        <f>_xlfn.XLOOKUP(Backlog[[#This Row],[Estado]],CatEstados[Estado],CatEstados[Fase],"Otro")</f>
        <v>Por hacer</v>
      </c>
      <c r="AB134"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4" s="288" t="e">
        <f ca="1">IF(OR(#REF!="",NOT(ISNUMBER(Backlog[[#This Row],[Dias_abiertos]]))),"",IF(Backlog[[#This Row],[Dias_abiertos]]&lt;=7,"En plazo",IFERROR(IF(Backlog[[#This Row],[Dias_abiertos]]=_xlfn.XLOOKUP(TRIM(#REF!),CatSLA[Prioridad],CatSLA[SLA_dias],""),"En plazo","Fuera de plazo"),"Sin SLA")))</f>
        <v>#REF!</v>
      </c>
      <c r="AD134" s="248"/>
      <c r="AE134" s="248"/>
      <c r="AF134" s="248"/>
      <c r="AG134" s="248"/>
      <c r="AH134" s="248"/>
      <c r="AI134" s="248"/>
    </row>
    <row r="135" spans="1:36" ht="60.75" hidden="1">
      <c r="A135" s="679" t="s">
        <v>1603</v>
      </c>
      <c r="B135" s="397" t="s">
        <v>1088</v>
      </c>
      <c r="C135" s="656" t="s">
        <v>1127</v>
      </c>
      <c r="D135" s="687" t="s">
        <v>1285</v>
      </c>
      <c r="E135" s="697" t="s">
        <v>1604</v>
      </c>
      <c r="F135" s="695" t="s">
        <v>1605</v>
      </c>
      <c r="G135" s="400" t="s">
        <v>66</v>
      </c>
      <c r="H135" s="656" t="s">
        <v>235</v>
      </c>
      <c r="I135" s="672" t="s">
        <v>55</v>
      </c>
      <c r="J135" s="696"/>
      <c r="K135" s="400" t="s">
        <v>26</v>
      </c>
      <c r="L135" s="518"/>
      <c r="M135" s="518"/>
      <c r="N135" s="518"/>
      <c r="O135" s="682"/>
      <c r="P135" s="682"/>
      <c r="Q135" s="682"/>
      <c r="R135" s="656"/>
      <c r="S135" s="656">
        <v>16</v>
      </c>
      <c r="T135" s="656"/>
      <c r="U135" s="656" t="s">
        <v>1437</v>
      </c>
      <c r="V135" s="656"/>
      <c r="W135" s="656"/>
      <c r="X135" s="739"/>
      <c r="Y135" s="432"/>
      <c r="Z135" s="432"/>
      <c r="AA135" s="430" t="str">
        <f>_xlfn.XLOOKUP(Backlog[[#This Row],[Estado]],CatEstados[Estado],CatEstados[Fase],"Otro")</f>
        <v>Por hacer</v>
      </c>
      <c r="AB135" s="3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5" s="376" t="e">
        <f ca="1">IF(OR(#REF!="",NOT(ISNUMBER(Backlog[[#This Row],[Dias_abiertos]]))),"",IF(Backlog[[#This Row],[Dias_abiertos]]&lt;=7,"En plazo",IFERROR(IF(Backlog[[#This Row],[Dias_abiertos]]=_xlfn.XLOOKUP(TRIM(#REF!),CatSLA[Prioridad],CatSLA[SLA_dias],""),"En plazo","Fuera de plazo"),"Sin SLA")))</f>
        <v>#REF!</v>
      </c>
      <c r="AD135" s="248"/>
      <c r="AE135" s="248"/>
      <c r="AF135" s="248"/>
      <c r="AG135" s="248"/>
      <c r="AH135" s="248"/>
      <c r="AI135" s="248"/>
    </row>
    <row r="136" spans="1:36" ht="30.75" hidden="1">
      <c r="A136" s="679" t="s">
        <v>1606</v>
      </c>
      <c r="B136" s="698" t="s">
        <v>1088</v>
      </c>
      <c r="C136" s="656" t="s">
        <v>1127</v>
      </c>
      <c r="D136" s="687" t="s">
        <v>1285</v>
      </c>
      <c r="E136" s="694" t="s">
        <v>1607</v>
      </c>
      <c r="F136" s="699" t="s">
        <v>1608</v>
      </c>
      <c r="G136" s="400" t="s">
        <v>66</v>
      </c>
      <c r="H136" s="656" t="s">
        <v>235</v>
      </c>
      <c r="I136" s="672" t="s">
        <v>55</v>
      </c>
      <c r="J136" s="696"/>
      <c r="K136" s="400" t="s">
        <v>26</v>
      </c>
      <c r="L136" s="349"/>
      <c r="M136" s="349"/>
      <c r="N136" s="349"/>
      <c r="O136" s="682"/>
      <c r="P136" s="682" t="s">
        <v>1609</v>
      </c>
      <c r="Q136" s="682"/>
      <c r="R136" s="656"/>
      <c r="S136" s="656">
        <v>4</v>
      </c>
      <c r="T136" s="656"/>
      <c r="U136" s="656" t="s">
        <v>1459</v>
      </c>
      <c r="V136" s="656"/>
      <c r="W136" s="656"/>
      <c r="X136" s="730"/>
      <c r="Y136" s="432"/>
      <c r="Z136" s="432"/>
      <c r="AA136" s="430" t="str">
        <f>_xlfn.XLOOKUP(Backlog[[#This Row],[Estado]],CatEstados[Estado],CatEstados[Fase],"Otro")</f>
        <v>Por hacer</v>
      </c>
      <c r="AB136" s="3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6" s="376" t="e">
        <f ca="1">IF(OR(#REF!="",NOT(ISNUMBER(Backlog[[#This Row],[Dias_abiertos]]))),"",IF(Backlog[[#This Row],[Dias_abiertos]]&lt;=7,"En plazo",IFERROR(IF(Backlog[[#This Row],[Dias_abiertos]]=_xlfn.XLOOKUP(TRIM(#REF!),CatSLA[Prioridad],CatSLA[SLA_dias],""),"En plazo","Fuera de plazo"),"Sin SLA")))</f>
        <v>#REF!</v>
      </c>
      <c r="AD136" s="248"/>
      <c r="AE136" s="248"/>
      <c r="AF136" s="248"/>
      <c r="AG136" s="248"/>
      <c r="AH136" s="248"/>
      <c r="AI136" s="248"/>
    </row>
    <row r="137" spans="1:36" ht="60.75" hidden="1">
      <c r="A137" s="679" t="s">
        <v>1610</v>
      </c>
      <c r="B137" s="397" t="s">
        <v>1087</v>
      </c>
      <c r="C137" s="698"/>
      <c r="D137" s="687" t="s">
        <v>1293</v>
      </c>
      <c r="E137" s="694" t="s">
        <v>1611</v>
      </c>
      <c r="F137" s="695" t="s">
        <v>1612</v>
      </c>
      <c r="G137" s="656" t="s">
        <v>1270</v>
      </c>
      <c r="H137" s="656" t="s">
        <v>235</v>
      </c>
      <c r="I137" s="672" t="s">
        <v>55</v>
      </c>
      <c r="J137" s="696"/>
      <c r="K137" s="400" t="s">
        <v>26</v>
      </c>
      <c r="L137" s="349"/>
      <c r="M137" s="349" t="s">
        <v>1338</v>
      </c>
      <c r="N137" s="349"/>
      <c r="O137" s="682"/>
      <c r="P137" s="682"/>
      <c r="Q137" s="682"/>
      <c r="R137" s="656" t="s">
        <v>1613</v>
      </c>
      <c r="S137" s="656">
        <v>0</v>
      </c>
      <c r="T137" s="656"/>
      <c r="U137" s="656"/>
      <c r="V137" s="656"/>
      <c r="W137" s="656"/>
      <c r="X137" s="739"/>
      <c r="Y137" s="432"/>
      <c r="Z137" s="432"/>
      <c r="AA137" s="370" t="str">
        <f>_xlfn.XLOOKUP(Backlog[[#This Row],[Estado]],CatEstados[Estado],CatEstados[Fase],"Otro")</f>
        <v>Por hacer</v>
      </c>
      <c r="AB137" s="28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37" s="288" t="e">
        <f ca="1">IF(OR(#REF!="",NOT(ISNUMBER(Backlog[[#This Row],[Dias_abiertos]]))),"",IF(Backlog[[#This Row],[Dias_abiertos]]&lt;=7,"En plazo",IFERROR(IF(Backlog[[#This Row],[Dias_abiertos]]=_xlfn.XLOOKUP(TRIM(#REF!),CatSLA[Prioridad],CatSLA[SLA_dias],""),"En plazo","Fuera de plazo"),"Sin SLA")))</f>
        <v>#REF!</v>
      </c>
      <c r="AD137" s="248"/>
      <c r="AE137" s="248"/>
      <c r="AF137" s="248"/>
      <c r="AG137" s="248"/>
      <c r="AH137" s="248"/>
      <c r="AI137" s="248"/>
    </row>
    <row r="138" spans="1:36" ht="76.5" hidden="1">
      <c r="A138" s="679" t="s">
        <v>1614</v>
      </c>
      <c r="B138" s="397" t="s">
        <v>1088</v>
      </c>
      <c r="C138" s="698"/>
      <c r="D138" s="687" t="s">
        <v>1615</v>
      </c>
      <c r="E138" s="694" t="s">
        <v>1616</v>
      </c>
      <c r="F138" s="695" t="s">
        <v>1617</v>
      </c>
      <c r="G138" s="656" t="s">
        <v>225</v>
      </c>
      <c r="H138" s="656" t="s">
        <v>235</v>
      </c>
      <c r="I138" s="672" t="s">
        <v>55</v>
      </c>
      <c r="J138" s="696"/>
      <c r="K138" s="400" t="s">
        <v>26</v>
      </c>
      <c r="L138" s="349"/>
      <c r="M138" s="349"/>
      <c r="N138" s="349"/>
      <c r="O138" s="682"/>
      <c r="P138" s="682"/>
      <c r="Q138" s="682"/>
      <c r="R138" s="656" t="s">
        <v>1618</v>
      </c>
      <c r="S138" s="656">
        <v>0</v>
      </c>
      <c r="T138" s="656"/>
      <c r="U138" s="656"/>
      <c r="V138" s="656"/>
      <c r="W138" s="656"/>
      <c r="X138" s="739"/>
      <c r="Y138" s="432"/>
      <c r="Z138" s="432"/>
      <c r="AA138" s="370" t="str">
        <f>_xlfn.XLOOKUP(Backlog[[#This Row],[Estado]],CatEstados[Estado],CatEstados[Fase],"Otro")</f>
        <v>Por hacer</v>
      </c>
      <c r="AB138"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8" s="288" t="e">
        <f ca="1">IF(OR(#REF!="",NOT(ISNUMBER(Backlog[[#This Row],[Dias_abiertos]]))),"",IF(Backlog[[#This Row],[Dias_abiertos]]&lt;=7,"En plazo",IFERROR(IF(Backlog[[#This Row],[Dias_abiertos]]=_xlfn.XLOOKUP(TRIM(#REF!),CatSLA[Prioridad],CatSLA[SLA_dias],""),"En plazo","Fuera de plazo"),"Sin SLA")))</f>
        <v>#REF!</v>
      </c>
      <c r="AD138" s="248"/>
      <c r="AE138" s="248"/>
      <c r="AF138" s="248"/>
      <c r="AG138" s="248"/>
      <c r="AH138" s="248"/>
      <c r="AI138" s="248"/>
    </row>
    <row r="139" spans="1:36" ht="41.25" hidden="1" customHeight="1">
      <c r="A139" s="679" t="s">
        <v>1619</v>
      </c>
      <c r="B139" s="698" t="s">
        <v>1087</v>
      </c>
      <c r="C139" s="698"/>
      <c r="D139" s="687" t="s">
        <v>1620</v>
      </c>
      <c r="E139" s="694" t="s">
        <v>1621</v>
      </c>
      <c r="F139" s="700" t="s">
        <v>1622</v>
      </c>
      <c r="G139" s="701" t="s">
        <v>66</v>
      </c>
      <c r="H139" s="656" t="s">
        <v>235</v>
      </c>
      <c r="I139" s="672" t="s">
        <v>55</v>
      </c>
      <c r="J139" s="696"/>
      <c r="K139" s="656" t="s">
        <v>26</v>
      </c>
      <c r="L139" s="349"/>
      <c r="M139" s="349"/>
      <c r="N139" s="349"/>
      <c r="O139" s="682"/>
      <c r="P139" s="682"/>
      <c r="Q139" s="682"/>
      <c r="R139" s="656"/>
      <c r="S139" s="656">
        <v>0</v>
      </c>
      <c r="T139" s="656"/>
      <c r="U139" s="656"/>
      <c r="V139" s="656"/>
      <c r="W139" s="656"/>
      <c r="X139" s="739"/>
      <c r="Y139" s="432"/>
      <c r="Z139" s="432"/>
      <c r="AA139" s="370" t="str">
        <f>_xlfn.XLOOKUP(Backlog[[#This Row],[Estado]],CatEstados[Estado],CatEstados[Fase],"Otro")</f>
        <v>Por hacer</v>
      </c>
      <c r="AB139"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39" s="288" t="e">
        <f ca="1">IF(OR(#REF!="",NOT(ISNUMBER(Backlog[[#This Row],[Dias_abiertos]]))),"",IF(Backlog[[#This Row],[Dias_abiertos]]&lt;=7,"En plazo",IFERROR(IF(Backlog[[#This Row],[Dias_abiertos]]=_xlfn.XLOOKUP(TRIM(#REF!),CatSLA[Prioridad],CatSLA[SLA_dias],""),"En plazo","Fuera de plazo"),"Sin SLA")))</f>
        <v>#REF!</v>
      </c>
      <c r="AD139" s="248"/>
      <c r="AE139" s="248"/>
      <c r="AF139" s="248"/>
      <c r="AG139" s="248"/>
      <c r="AH139" s="248"/>
      <c r="AI139" s="248"/>
    </row>
    <row r="140" spans="1:36" ht="41.25" hidden="1" customHeight="1">
      <c r="A140" s="679" t="s">
        <v>1623</v>
      </c>
      <c r="B140" s="397" t="s">
        <v>1088</v>
      </c>
      <c r="C140" s="698"/>
      <c r="D140" s="687" t="s">
        <v>1624</v>
      </c>
      <c r="E140" s="697" t="s">
        <v>1625</v>
      </c>
      <c r="F140" s="695" t="s">
        <v>1626</v>
      </c>
      <c r="G140" s="656" t="s">
        <v>75</v>
      </c>
      <c r="H140" s="656" t="s">
        <v>415</v>
      </c>
      <c r="I140" s="672" t="s">
        <v>55</v>
      </c>
      <c r="J140" s="696"/>
      <c r="K140" s="656" t="s">
        <v>26</v>
      </c>
      <c r="L140" s="349"/>
      <c r="M140" s="349"/>
      <c r="N140" s="349"/>
      <c r="O140" s="682"/>
      <c r="P140" s="682"/>
      <c r="Q140" s="682"/>
      <c r="R140" s="656" t="s">
        <v>1556</v>
      </c>
      <c r="S140" s="656">
        <v>8</v>
      </c>
      <c r="T140" s="656"/>
      <c r="U140" s="656"/>
      <c r="V140" s="656"/>
      <c r="W140" s="656"/>
      <c r="X140" s="739"/>
      <c r="Y140" s="432"/>
      <c r="Z140" s="432"/>
      <c r="AA140" s="370" t="str">
        <f>_xlfn.XLOOKUP(Backlog[[#This Row],[Estado]],CatEstados[Estado],CatEstados[Fase],"Otro")</f>
        <v>Por hacer</v>
      </c>
      <c r="AB140"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0" s="288" t="e">
        <f ca="1">IF(OR(#REF!="",NOT(ISNUMBER(Backlog[[#This Row],[Dias_abiertos]]))),"",IF(Backlog[[#This Row],[Dias_abiertos]]&lt;=7,"En plazo",IFERROR(IF(Backlog[[#This Row],[Dias_abiertos]]=_xlfn.XLOOKUP(TRIM(#REF!),CatSLA[Prioridad],CatSLA[SLA_dias],""),"En plazo","Fuera de plazo"),"Sin SLA")))</f>
        <v>#REF!</v>
      </c>
      <c r="AD140" s="248"/>
      <c r="AE140" s="248"/>
      <c r="AF140" s="248"/>
      <c r="AG140" s="248"/>
      <c r="AH140" s="248"/>
      <c r="AI140" s="248"/>
    </row>
    <row r="141" spans="1:36" ht="41.25" hidden="1" customHeight="1">
      <c r="A141" s="679" t="s">
        <v>1627</v>
      </c>
      <c r="B141" s="698" t="s">
        <v>1088</v>
      </c>
      <c r="C141" s="698"/>
      <c r="D141" s="687">
        <v>45953</v>
      </c>
      <c r="E141" s="695" t="s">
        <v>1628</v>
      </c>
      <c r="F141" s="695" t="s">
        <v>1629</v>
      </c>
      <c r="G141" s="656" t="s">
        <v>1270</v>
      </c>
      <c r="H141" s="656" t="s">
        <v>1163</v>
      </c>
      <c r="I141" s="672" t="s">
        <v>55</v>
      </c>
      <c r="J141" s="696"/>
      <c r="K141" s="656" t="s">
        <v>26</v>
      </c>
      <c r="L141" s="349"/>
      <c r="M141" s="349"/>
      <c r="N141" s="349"/>
      <c r="O141" s="682"/>
      <c r="P141" s="682"/>
      <c r="Q141" s="682"/>
      <c r="R141" s="656"/>
      <c r="S141" s="656">
        <v>16</v>
      </c>
      <c r="T141" s="656"/>
      <c r="U141" s="656"/>
      <c r="V141" s="656"/>
      <c r="W141" s="656"/>
      <c r="X141" s="739"/>
      <c r="Y141" s="432"/>
      <c r="Z141" s="432"/>
      <c r="AA141" s="370" t="str">
        <f>_xlfn.XLOOKUP(Backlog[[#This Row],[Estado]],CatEstados[Estado],CatEstados[Fase],"Otro")</f>
        <v>Por hacer</v>
      </c>
      <c r="AB141"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1" s="288" t="e">
        <f ca="1">IF(OR(#REF!="",NOT(ISNUMBER(Backlog[[#This Row],[Dias_abiertos]]))),"",IF(Backlog[[#This Row],[Dias_abiertos]]&lt;=7,"En plazo",IFERROR(IF(Backlog[[#This Row],[Dias_abiertos]]=_xlfn.XLOOKUP(TRIM(#REF!),CatSLA[Prioridad],CatSLA[SLA_dias],""),"En plazo","Fuera de plazo"),"Sin SLA")))</f>
        <v>#REF!</v>
      </c>
      <c r="AD141" s="250"/>
      <c r="AE141" s="250"/>
      <c r="AF141" s="250"/>
      <c r="AG141" s="250"/>
      <c r="AH141" s="250"/>
      <c r="AI141" s="250"/>
      <c r="AJ141" s="213"/>
    </row>
    <row r="142" spans="1:36" ht="41.25" hidden="1" customHeight="1">
      <c r="A142" s="652" t="s">
        <v>1630</v>
      </c>
      <c r="B142" s="698" t="s">
        <v>1088</v>
      </c>
      <c r="C142" s="698"/>
      <c r="D142" s="415">
        <v>45953</v>
      </c>
      <c r="E142" s="398" t="s">
        <v>1631</v>
      </c>
      <c r="F142" s="699" t="s">
        <v>1632</v>
      </c>
      <c r="G142" s="400" t="s">
        <v>1270</v>
      </c>
      <c r="H142" s="400" t="s">
        <v>1163</v>
      </c>
      <c r="I142" s="655" t="s">
        <v>55</v>
      </c>
      <c r="J142" s="465"/>
      <c r="K142" s="400" t="s">
        <v>26</v>
      </c>
      <c r="L142" s="262"/>
      <c r="M142" s="262"/>
      <c r="N142" s="262"/>
      <c r="O142" s="399"/>
      <c r="P142" s="399"/>
      <c r="Q142" s="399"/>
      <c r="R142" s="400"/>
      <c r="S142" s="400">
        <v>16</v>
      </c>
      <c r="T142" s="400"/>
      <c r="U142" s="400"/>
      <c r="V142" s="400"/>
      <c r="W142" s="400"/>
      <c r="X142" s="730"/>
      <c r="Y142" s="418"/>
      <c r="Z142" s="418"/>
      <c r="AA142" s="196" t="str">
        <f>_xlfn.XLOOKUP(Backlog[[#This Row],[Estado]],CatEstados[Estado],CatEstados[Fase],"Otro")</f>
        <v>Por hacer</v>
      </c>
      <c r="AB142"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2" s="197" t="e">
        <f ca="1">IF(OR(#REF!="",NOT(ISNUMBER(Backlog[[#This Row],[Dias_abiertos]]))),"",IF(Backlog[[#This Row],[Dias_abiertos]]&lt;=7,"En plazo",IFERROR(IF(Backlog[[#This Row],[Dias_abiertos]]=_xlfn.XLOOKUP(TRIM(#REF!),CatSLA[Prioridad],CatSLA[SLA_dias],""),"En plazo","Fuera de plazo"),"Sin SLA")))</f>
        <v>#REF!</v>
      </c>
      <c r="AD142" s="248"/>
      <c r="AE142" s="248"/>
      <c r="AF142" s="248"/>
      <c r="AG142" s="248"/>
      <c r="AH142" s="248"/>
      <c r="AI142" s="248"/>
    </row>
    <row r="143" spans="1:36" ht="41.25" hidden="1" customHeight="1">
      <c r="A143" s="652" t="s">
        <v>1633</v>
      </c>
      <c r="B143" s="397" t="s">
        <v>1089</v>
      </c>
      <c r="C143" s="397"/>
      <c r="D143" s="415">
        <v>45954</v>
      </c>
      <c r="E143" s="398"/>
      <c r="F143" s="398" t="s">
        <v>1634</v>
      </c>
      <c r="G143" s="400" t="s">
        <v>225</v>
      </c>
      <c r="H143" s="400" t="s">
        <v>235</v>
      </c>
      <c r="I143" s="655" t="s">
        <v>55</v>
      </c>
      <c r="J143" s="465"/>
      <c r="K143" s="400" t="s">
        <v>26</v>
      </c>
      <c r="L143" s="262"/>
      <c r="M143" s="262"/>
      <c r="N143" s="262"/>
      <c r="O143" s="399"/>
      <c r="P143" s="399"/>
      <c r="Q143" s="399"/>
      <c r="R143" s="400" t="s">
        <v>1635</v>
      </c>
      <c r="S143" s="400">
        <v>0</v>
      </c>
      <c r="T143" s="400"/>
      <c r="U143" s="400"/>
      <c r="V143" s="400"/>
      <c r="W143" s="400"/>
      <c r="X143" s="730"/>
      <c r="Y143" s="418"/>
      <c r="Z143" s="418"/>
      <c r="AA143" s="196" t="str">
        <f>_xlfn.XLOOKUP(Backlog[[#This Row],[Estado]],CatEstados[Estado],CatEstados[Fase],"Otro")</f>
        <v>Por hacer</v>
      </c>
      <c r="AB143"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3" s="197" t="e">
        <f ca="1">IF(OR(#REF!="",NOT(ISNUMBER(Backlog[[#This Row],[Dias_abiertos]]))),"",IF(Backlog[[#This Row],[Dias_abiertos]]&lt;=7,"En plazo",IFERROR(IF(Backlog[[#This Row],[Dias_abiertos]]=_xlfn.XLOOKUP(TRIM(#REF!),CatSLA[Prioridad],CatSLA[SLA_dias],""),"En plazo","Fuera de plazo"),"Sin SLA")))</f>
        <v>#REF!</v>
      </c>
      <c r="AD143" s="248"/>
      <c r="AE143" s="248"/>
      <c r="AF143" s="248"/>
      <c r="AG143" s="248"/>
      <c r="AH143" s="248"/>
      <c r="AI143" s="248"/>
    </row>
    <row r="144" spans="1:36" ht="45" hidden="1" customHeight="1">
      <c r="A144" s="702" t="s">
        <v>1636</v>
      </c>
      <c r="B144" s="397" t="s">
        <v>1088</v>
      </c>
      <c r="C144" s="397"/>
      <c r="D144" s="415">
        <v>45946</v>
      </c>
      <c r="E144" s="398" t="s">
        <v>1637</v>
      </c>
      <c r="F144" s="398" t="s">
        <v>1638</v>
      </c>
      <c r="G144" s="400" t="s">
        <v>98</v>
      </c>
      <c r="H144" s="400" t="s">
        <v>235</v>
      </c>
      <c r="I144" s="655" t="s">
        <v>55</v>
      </c>
      <c r="J144" s="465"/>
      <c r="K144" s="400" t="s">
        <v>26</v>
      </c>
      <c r="L144" s="517"/>
      <c r="M144" s="517" t="s">
        <v>1338</v>
      </c>
      <c r="N144" s="517"/>
      <c r="O144" s="399" t="s">
        <v>1639</v>
      </c>
      <c r="P144" s="399"/>
      <c r="Q144" s="399"/>
      <c r="R144" s="400"/>
      <c r="S144" s="400">
        <v>32</v>
      </c>
      <c r="T144" s="400"/>
      <c r="U144" s="400" t="s">
        <v>1431</v>
      </c>
      <c r="V144" s="400"/>
      <c r="W144" s="400"/>
      <c r="X144" s="730"/>
      <c r="Y144" s="418"/>
      <c r="Z144" s="418"/>
      <c r="AA144" s="196" t="str">
        <f>_xlfn.XLOOKUP(Backlog[[#This Row],[Estado]],CatEstados[Estado],CatEstados[Fase],"Otro")</f>
        <v>Por hacer</v>
      </c>
      <c r="AB144" s="19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44" s="197" t="e">
        <f ca="1">IF(OR(#REF!="",NOT(ISNUMBER(Backlog[[#This Row],[Dias_abiertos]]))),"",IF(Backlog[[#This Row],[Dias_abiertos]]&lt;=7,"En plazo",IFERROR(IF(Backlog[[#This Row],[Dias_abiertos]]=_xlfn.XLOOKUP(TRIM(#REF!),CatSLA[Prioridad],CatSLA[SLA_dias],""),"En plazo","Fuera de plazo"),"Sin SLA")))</f>
        <v>#REF!</v>
      </c>
      <c r="AD144" s="248"/>
      <c r="AE144" s="248"/>
      <c r="AF144" s="248"/>
      <c r="AG144" s="248"/>
      <c r="AH144" s="248"/>
      <c r="AI144" s="248"/>
    </row>
    <row r="145" spans="1:36" ht="152.25" hidden="1" customHeight="1">
      <c r="A145" s="703" t="s">
        <v>1640</v>
      </c>
      <c r="B145" s="397" t="s">
        <v>1087</v>
      </c>
      <c r="C145" s="698"/>
      <c r="D145" s="687">
        <v>45947</v>
      </c>
      <c r="E145" s="695" t="s">
        <v>1641</v>
      </c>
      <c r="F145" s="695" t="s">
        <v>1642</v>
      </c>
      <c r="G145" s="656" t="s">
        <v>98</v>
      </c>
      <c r="H145" s="656" t="s">
        <v>235</v>
      </c>
      <c r="I145" s="672" t="s">
        <v>55</v>
      </c>
      <c r="J145" s="696"/>
      <c r="K145" s="400" t="s">
        <v>26</v>
      </c>
      <c r="L145" s="349"/>
      <c r="M145" s="349">
        <v>45975</v>
      </c>
      <c r="N145" s="349"/>
      <c r="O145" s="682"/>
      <c r="P145" s="682"/>
      <c r="Q145" s="682"/>
      <c r="R145" s="656"/>
      <c r="S145" s="656">
        <v>16</v>
      </c>
      <c r="T145" s="656"/>
      <c r="U145" s="656" t="s">
        <v>1431</v>
      </c>
      <c r="V145" s="656"/>
      <c r="W145" s="656"/>
      <c r="X145" s="739"/>
      <c r="Y145" s="432"/>
      <c r="Z145" s="432"/>
      <c r="AA145" s="430" t="str">
        <f>_xlfn.XLOOKUP(Backlog[[#This Row],[Estado]],CatEstados[Estado],CatEstados[Fase],"Otro")</f>
        <v>Por hacer</v>
      </c>
      <c r="AB145" s="3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193</v>
      </c>
      <c r="AC145" s="376" t="e">
        <f ca="1">IF(OR(#REF!="",NOT(ISNUMBER(Backlog[[#This Row],[Dias_abiertos]]))),"",IF(Backlog[[#This Row],[Dias_abiertos]]&lt;=7,"En plazo",IFERROR(IF(Backlog[[#This Row],[Dias_abiertos]]=_xlfn.XLOOKUP(TRIM(#REF!),CatSLA[Prioridad],CatSLA[SLA_dias],""),"En plazo","Fuera de plazo"),"Sin SLA")))</f>
        <v>#REF!</v>
      </c>
      <c r="AD145" s="248"/>
      <c r="AE145" s="248"/>
      <c r="AF145" s="248"/>
      <c r="AG145" s="248"/>
      <c r="AH145" s="248"/>
      <c r="AI145" s="248"/>
    </row>
    <row r="146" spans="1:36" ht="60.75" hidden="1">
      <c r="A146" s="701" t="s">
        <v>1643</v>
      </c>
      <c r="B146" s="698" t="s">
        <v>1089</v>
      </c>
      <c r="C146" s="698"/>
      <c r="D146" s="687">
        <v>45897</v>
      </c>
      <c r="E146" s="695" t="s">
        <v>1644</v>
      </c>
      <c r="F146" s="695" t="s">
        <v>1645</v>
      </c>
      <c r="G146" s="656" t="s">
        <v>1270</v>
      </c>
      <c r="H146" s="656" t="s">
        <v>235</v>
      </c>
      <c r="I146" s="672" t="s">
        <v>55</v>
      </c>
      <c r="J146" s="696"/>
      <c r="K146" s="400" t="s">
        <v>26</v>
      </c>
      <c r="L146" s="349"/>
      <c r="M146" s="349"/>
      <c r="N146" s="349"/>
      <c r="O146" s="682"/>
      <c r="P146" s="682"/>
      <c r="Q146" s="682"/>
      <c r="R146" s="656" t="s">
        <v>1635</v>
      </c>
      <c r="S146" s="656">
        <v>0</v>
      </c>
      <c r="T146" s="656"/>
      <c r="U146" s="656"/>
      <c r="V146" s="656"/>
      <c r="W146" s="656"/>
      <c r="X146" s="739"/>
      <c r="Y146" s="432"/>
      <c r="Z146" s="432"/>
      <c r="AA146" s="370" t="str">
        <f>_xlfn.XLOOKUP(Backlog[[#This Row],[Estado]],CatEstados[Estado],CatEstados[Fase],"Otro")</f>
        <v>Por hacer</v>
      </c>
      <c r="AB146"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6" s="288" t="e">
        <f ca="1">IF(OR(#REF!="",NOT(ISNUMBER(Backlog[[#This Row],[Dias_abiertos]]))),"",IF(Backlog[[#This Row],[Dias_abiertos]]&lt;=7,"En plazo",IFERROR(IF(Backlog[[#This Row],[Dias_abiertos]]=_xlfn.XLOOKUP(TRIM(#REF!),CatSLA[Prioridad],CatSLA[SLA_dias],""),"En plazo","Fuera de plazo"),"Sin SLA")))</f>
        <v>#REF!</v>
      </c>
      <c r="AD146" s="248"/>
      <c r="AE146" s="248"/>
      <c r="AF146" s="248"/>
      <c r="AG146" s="248"/>
      <c r="AH146" s="248"/>
      <c r="AI146" s="248"/>
    </row>
    <row r="147" spans="1:36" ht="45.75" hidden="1">
      <c r="A147" s="679" t="s">
        <v>1646</v>
      </c>
      <c r="B147" s="698" t="s">
        <v>1087</v>
      </c>
      <c r="C147" s="698"/>
      <c r="D147" s="687">
        <v>45971</v>
      </c>
      <c r="E147" s="695" t="s">
        <v>1647</v>
      </c>
      <c r="F147" s="684" t="s">
        <v>1648</v>
      </c>
      <c r="G147" s="656" t="s">
        <v>66</v>
      </c>
      <c r="H147" s="656" t="s">
        <v>415</v>
      </c>
      <c r="I147" s="656" t="s">
        <v>55</v>
      </c>
      <c r="J147" s="696"/>
      <c r="K147" s="656" t="s">
        <v>26</v>
      </c>
      <c r="L147" s="349"/>
      <c r="M147" s="349"/>
      <c r="N147" s="349"/>
      <c r="O147" s="682"/>
      <c r="P147" s="682"/>
      <c r="Q147" s="682"/>
      <c r="R147" s="656" t="s">
        <v>1306</v>
      </c>
      <c r="S147" s="656">
        <v>0</v>
      </c>
      <c r="T147" s="656"/>
      <c r="U147" s="656"/>
      <c r="V147" s="656"/>
      <c r="W147" s="656"/>
      <c r="X147" s="688"/>
      <c r="Y147" s="432"/>
      <c r="Z147" s="432"/>
      <c r="AA147" s="370" t="str">
        <f>_xlfn.XLOOKUP(Backlog[[#This Row],[Estado]],CatEstados[Estado],CatEstados[Fase],"Otro")</f>
        <v>Por hacer</v>
      </c>
      <c r="AB147"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7" s="288" t="e">
        <f ca="1">IF(OR(#REF!="",NOT(ISNUMBER(Backlog[[#This Row],[Dias_abiertos]]))),"",IF(Backlog[[#This Row],[Dias_abiertos]]&lt;=7,"En plazo",IFERROR(IF(Backlog[[#This Row],[Dias_abiertos]]=_xlfn.XLOOKUP(TRIM(#REF!),CatSLA[Prioridad],CatSLA[SLA_dias],""),"En plazo","Fuera de plazo"),"Sin SLA")))</f>
        <v>#REF!</v>
      </c>
      <c r="AD147" s="248"/>
      <c r="AE147" s="248"/>
      <c r="AF147" s="248"/>
      <c r="AG147" s="248"/>
      <c r="AH147" s="248"/>
      <c r="AI147" s="248"/>
    </row>
    <row r="148" spans="1:36" ht="33" hidden="1" customHeight="1">
      <c r="A148" s="652" t="s">
        <v>1649</v>
      </c>
      <c r="B148" s="698" t="s">
        <v>1088</v>
      </c>
      <c r="C148" s="698"/>
      <c r="D148" s="687">
        <v>45971</v>
      </c>
      <c r="E148" s="398" t="s">
        <v>1650</v>
      </c>
      <c r="F148" s="398" t="s">
        <v>1651</v>
      </c>
      <c r="G148" s="400" t="s">
        <v>66</v>
      </c>
      <c r="H148" s="656" t="s">
        <v>415</v>
      </c>
      <c r="I148" s="400" t="s">
        <v>55</v>
      </c>
      <c r="J148" s="465"/>
      <c r="K148" s="400" t="s">
        <v>26</v>
      </c>
      <c r="L148" s="262"/>
      <c r="M148" s="262"/>
      <c r="N148" s="262"/>
      <c r="O148" s="399"/>
      <c r="P148" s="399"/>
      <c r="Q148" s="682"/>
      <c r="R148" s="400"/>
      <c r="S148" s="400">
        <v>8</v>
      </c>
      <c r="T148" s="400"/>
      <c r="U148" s="400"/>
      <c r="V148" s="400"/>
      <c r="W148" s="400"/>
      <c r="X148" s="436"/>
      <c r="Y148" s="418"/>
      <c r="Z148" s="418"/>
      <c r="AA148" s="196" t="str">
        <f>_xlfn.XLOOKUP(Backlog[[#This Row],[Estado]],CatEstados[Estado],CatEstados[Fase],"Otro")</f>
        <v>Por hacer</v>
      </c>
      <c r="AB148" s="19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8" s="275" t="e">
        <f ca="1">IF(OR(#REF!="",NOT(ISNUMBER(Backlog[[#This Row],[Dias_abiertos]]))),"",IF(Backlog[[#This Row],[Dias_abiertos]]&lt;=7,"En plazo",IFERROR(IF(Backlog[[#This Row],[Dias_abiertos]]=_xlfn.XLOOKUP(TRIM(#REF!),CatSLA[Prioridad],CatSLA[SLA_dias],""),"En plazo","Fuera de plazo"),"Sin SLA")))</f>
        <v>#REF!</v>
      </c>
      <c r="AD148" s="248"/>
      <c r="AE148" s="248"/>
      <c r="AF148" s="248"/>
      <c r="AG148" s="248"/>
      <c r="AH148" s="248"/>
      <c r="AI148" s="248"/>
    </row>
    <row r="149" spans="1:36" s="264" customFormat="1" ht="198" hidden="1">
      <c r="A149" s="679" t="s">
        <v>1652</v>
      </c>
      <c r="B149" s="698" t="s">
        <v>1088</v>
      </c>
      <c r="C149" s="698"/>
      <c r="D149" s="687">
        <v>45971</v>
      </c>
      <c r="E149" s="695" t="s">
        <v>1653</v>
      </c>
      <c r="F149" s="695" t="s">
        <v>1654</v>
      </c>
      <c r="G149" s="400" t="s">
        <v>98</v>
      </c>
      <c r="H149" s="681" t="s">
        <v>1163</v>
      </c>
      <c r="I149" s="656" t="s">
        <v>55</v>
      </c>
      <c r="J149" s="696"/>
      <c r="K149" s="656" t="s">
        <v>26</v>
      </c>
      <c r="L149" s="349"/>
      <c r="M149" s="349"/>
      <c r="N149" s="349"/>
      <c r="O149" s="682"/>
      <c r="P149" s="682"/>
      <c r="Q149" s="682"/>
      <c r="R149" s="656"/>
      <c r="S149" s="656">
        <v>40</v>
      </c>
      <c r="T149" s="656"/>
      <c r="U149" s="656"/>
      <c r="V149" s="656"/>
      <c r="W149" s="656"/>
      <c r="X149" s="688"/>
      <c r="Y149" s="432"/>
      <c r="Z149" s="432"/>
      <c r="AA149" s="370" t="str">
        <f>_xlfn.XLOOKUP(Backlog[[#This Row],[Estado]],CatEstados[Estado],CatEstados[Fase],"Otro")</f>
        <v>Por hacer</v>
      </c>
      <c r="AB149"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49" s="288" t="e">
        <f ca="1">IF(OR(#REF!="",NOT(ISNUMBER(Backlog[[#This Row],[Dias_abiertos]]))),"",IF(Backlog[[#This Row],[Dias_abiertos]]&lt;=7,"En plazo",IFERROR(IF(Backlog[[#This Row],[Dias_abiertos]]=_xlfn.XLOOKUP(TRIM(#REF!),CatSLA[Prioridad],CatSLA[SLA_dias],""),"En plazo","Fuera de plazo"),"Sin SLA")))</f>
        <v>#REF!</v>
      </c>
    </row>
    <row r="150" spans="1:36" ht="60.75" hidden="1">
      <c r="A150" s="701" t="s">
        <v>1655</v>
      </c>
      <c r="B150" s="698" t="s">
        <v>1088</v>
      </c>
      <c r="C150" s="698"/>
      <c r="D150" s="687">
        <v>45972</v>
      </c>
      <c r="E150" s="699" t="s">
        <v>1656</v>
      </c>
      <c r="F150" s="695" t="s">
        <v>1657</v>
      </c>
      <c r="G150" s="400" t="s">
        <v>66</v>
      </c>
      <c r="H150" s="681" t="s">
        <v>235</v>
      </c>
      <c r="I150" s="656" t="s">
        <v>55</v>
      </c>
      <c r="J150" s="696"/>
      <c r="K150" s="656" t="s">
        <v>26</v>
      </c>
      <c r="L150" s="349"/>
      <c r="M150" s="349"/>
      <c r="N150" s="349"/>
      <c r="O150" s="682"/>
      <c r="P150" s="682"/>
      <c r="Q150" s="682"/>
      <c r="R150" s="656" t="s">
        <v>1306</v>
      </c>
      <c r="S150" s="656">
        <v>0</v>
      </c>
      <c r="T150" s="656"/>
      <c r="U150" s="656"/>
      <c r="V150" s="656"/>
      <c r="W150" s="656"/>
      <c r="X150" s="688"/>
      <c r="Y150" s="432"/>
      <c r="Z150" s="432"/>
      <c r="AA150" s="370" t="str">
        <f>_xlfn.XLOOKUP(Backlog[[#This Row],[Estado]],CatEstados[Estado],CatEstados[Fase],"Otro")</f>
        <v>Por hacer</v>
      </c>
      <c r="AB150"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0" s="288" t="e">
        <f ca="1">IF(OR(#REF!="",NOT(ISNUMBER(Backlog[[#This Row],[Dias_abiertos]]))),"",IF(Backlog[[#This Row],[Dias_abiertos]]&lt;=7,"En plazo",IFERROR(IF(Backlog[[#This Row],[Dias_abiertos]]=_xlfn.XLOOKUP(TRIM(#REF!),CatSLA[Prioridad],CatSLA[SLA_dias],""),"En plazo","Fuera de plazo"),"Sin SLA")))</f>
        <v>#REF!</v>
      </c>
      <c r="AD150" s="248"/>
      <c r="AE150" s="248"/>
      <c r="AF150" s="248"/>
      <c r="AG150" s="248"/>
      <c r="AH150" s="248"/>
      <c r="AI150" s="248"/>
    </row>
    <row r="151" spans="1:36" ht="33" hidden="1" customHeight="1">
      <c r="A151" s="701" t="s">
        <v>1658</v>
      </c>
      <c r="B151" s="698" t="s">
        <v>1088</v>
      </c>
      <c r="C151" s="698"/>
      <c r="D151" s="687">
        <v>45978</v>
      </c>
      <c r="E151" s="695" t="s">
        <v>1659</v>
      </c>
      <c r="F151" s="695" t="s">
        <v>1660</v>
      </c>
      <c r="G151" s="656" t="s">
        <v>66</v>
      </c>
      <c r="H151" s="681" t="s">
        <v>235</v>
      </c>
      <c r="I151" s="656" t="s">
        <v>55</v>
      </c>
      <c r="J151" s="696"/>
      <c r="K151" s="400" t="s">
        <v>26</v>
      </c>
      <c r="L151" s="349"/>
      <c r="M151" s="349"/>
      <c r="N151" s="349"/>
      <c r="O151" s="682"/>
      <c r="P151" s="682"/>
      <c r="Q151" s="741" t="s">
        <v>1661</v>
      </c>
      <c r="R151" s="656"/>
      <c r="S151" s="656">
        <v>16</v>
      </c>
      <c r="T151" s="656"/>
      <c r="U151" s="656" t="s">
        <v>1662</v>
      </c>
      <c r="V151" s="656"/>
      <c r="W151" s="656"/>
      <c r="X151" s="688"/>
      <c r="Y151" s="432"/>
      <c r="Z151" s="432"/>
      <c r="AA151" s="370" t="str">
        <f>_xlfn.XLOOKUP(Backlog[[#This Row],[Estado]],CatEstados[Estado],CatEstados[Fase],"Otro")</f>
        <v>Por hacer</v>
      </c>
      <c r="AB151"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1" s="288" t="e">
        <f ca="1">IF(OR(#REF!="",NOT(ISNUMBER(Backlog[[#This Row],[Dias_abiertos]]))),"",IF(Backlog[[#This Row],[Dias_abiertos]]&lt;=7,"En plazo",IFERROR(IF(Backlog[[#This Row],[Dias_abiertos]]=_xlfn.XLOOKUP(TRIM(#REF!),CatSLA[Prioridad],CatSLA[SLA_dias],""),"En plazo","Fuera de plazo"),"Sin SLA")))</f>
        <v>#REF!</v>
      </c>
      <c r="AD151" s="248"/>
      <c r="AE151" s="248"/>
      <c r="AF151" s="248"/>
      <c r="AG151" s="248"/>
      <c r="AH151" s="248"/>
      <c r="AI151" s="248"/>
    </row>
    <row r="152" spans="1:36" ht="28.5" hidden="1" customHeight="1">
      <c r="A152" s="701" t="s">
        <v>1663</v>
      </c>
      <c r="B152" s="698" t="s">
        <v>1088</v>
      </c>
      <c r="C152" s="698"/>
      <c r="D152" s="687">
        <v>45978</v>
      </c>
      <c r="E152" s="695" t="s">
        <v>1664</v>
      </c>
      <c r="F152" s="695" t="s">
        <v>1665</v>
      </c>
      <c r="G152" s="656" t="s">
        <v>225</v>
      </c>
      <c r="H152" s="681" t="s">
        <v>235</v>
      </c>
      <c r="I152" s="656" t="s">
        <v>55</v>
      </c>
      <c r="J152" s="696"/>
      <c r="K152" s="400" t="s">
        <v>26</v>
      </c>
      <c r="L152" s="349"/>
      <c r="M152" s="349"/>
      <c r="N152" s="349"/>
      <c r="O152" s="682"/>
      <c r="P152" s="682"/>
      <c r="Q152" s="682"/>
      <c r="R152" s="656"/>
      <c r="S152" s="656">
        <v>8</v>
      </c>
      <c r="T152" s="656"/>
      <c r="U152" s="656" t="s">
        <v>1437</v>
      </c>
      <c r="V152" s="656"/>
      <c r="W152" s="656"/>
      <c r="X152" s="688"/>
      <c r="Y152" s="432"/>
      <c r="Z152" s="432"/>
      <c r="AA152" s="433" t="str">
        <f>_xlfn.XLOOKUP(Backlog[[#This Row],[Estado]],CatEstados[Estado],CatEstados[Fase],"Otro")</f>
        <v>Por hacer</v>
      </c>
      <c r="AB152"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2" s="323" t="e">
        <f ca="1">IF(OR(#REF!="",NOT(ISNUMBER(Backlog[[#This Row],[Dias_abiertos]]))),"",IF(Backlog[[#This Row],[Dias_abiertos]]&lt;=7,"En plazo",IFERROR(IF(Backlog[[#This Row],[Dias_abiertos]]=_xlfn.XLOOKUP(TRIM(#REF!),CatSLA[Prioridad],CatSLA[SLA_dias],""),"En plazo","Fuera de plazo"),"Sin SLA")))</f>
        <v>#REF!</v>
      </c>
      <c r="AD152" s="248"/>
      <c r="AE152" s="248"/>
      <c r="AF152" s="248"/>
      <c r="AG152" s="248"/>
      <c r="AH152" s="248"/>
      <c r="AI152" s="248"/>
    </row>
    <row r="153" spans="1:36" ht="15" hidden="1" customHeight="1">
      <c r="A153" s="701" t="s">
        <v>1666</v>
      </c>
      <c r="B153" s="698" t="s">
        <v>1088</v>
      </c>
      <c r="C153" s="698"/>
      <c r="D153" s="687">
        <v>45979</v>
      </c>
      <c r="E153" s="695" t="s">
        <v>1667</v>
      </c>
      <c r="F153" s="695" t="s">
        <v>1668</v>
      </c>
      <c r="G153" s="656" t="s">
        <v>225</v>
      </c>
      <c r="H153" s="681" t="s">
        <v>235</v>
      </c>
      <c r="I153" s="656" t="s">
        <v>55</v>
      </c>
      <c r="J153" s="696"/>
      <c r="K153" s="400" t="s">
        <v>26</v>
      </c>
      <c r="L153" s="349"/>
      <c r="M153" s="349"/>
      <c r="N153" s="349"/>
      <c r="O153" s="682"/>
      <c r="P153" s="682" t="s">
        <v>1669</v>
      </c>
      <c r="Q153" s="682"/>
      <c r="R153" s="656"/>
      <c r="S153" s="656">
        <v>600</v>
      </c>
      <c r="T153" s="656"/>
      <c r="U153" s="656"/>
      <c r="V153" s="656"/>
      <c r="W153" s="656"/>
      <c r="X153" s="688"/>
      <c r="Y153" s="432"/>
      <c r="Z153" s="432"/>
      <c r="AA153" s="433" t="str">
        <f>_xlfn.XLOOKUP(Backlog[[#This Row],[Estado]],CatEstados[Estado],CatEstados[Fase],"Otro")</f>
        <v>Por hacer</v>
      </c>
      <c r="AB153"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3" s="323" t="e">
        <f ca="1">IF(OR(#REF!="",NOT(ISNUMBER(Backlog[[#This Row],[Dias_abiertos]]))),"",IF(Backlog[[#This Row],[Dias_abiertos]]&lt;=7,"En plazo",IFERROR(IF(Backlog[[#This Row],[Dias_abiertos]]=_xlfn.XLOOKUP(TRIM(#REF!),CatSLA[Prioridad],CatSLA[SLA_dias],""),"En plazo","Fuera de plazo"),"Sin SLA")))</f>
        <v>#REF!</v>
      </c>
      <c r="AD153" s="248"/>
      <c r="AE153" s="248"/>
      <c r="AF153" s="248"/>
      <c r="AG153" s="248"/>
      <c r="AH153" s="248"/>
      <c r="AI153" s="248"/>
    </row>
    <row r="154" spans="1:36" ht="15" hidden="1" customHeight="1">
      <c r="A154" s="701" t="s">
        <v>1670</v>
      </c>
      <c r="B154" s="698" t="s">
        <v>1088</v>
      </c>
      <c r="C154" s="698"/>
      <c r="D154" s="687">
        <v>45979</v>
      </c>
      <c r="E154" s="695" t="s">
        <v>1671</v>
      </c>
      <c r="F154" s="695" t="s">
        <v>1672</v>
      </c>
      <c r="G154" s="656" t="s">
        <v>225</v>
      </c>
      <c r="H154" s="681" t="s">
        <v>235</v>
      </c>
      <c r="I154" s="656" t="s">
        <v>55</v>
      </c>
      <c r="J154" s="696"/>
      <c r="K154" s="656" t="s">
        <v>26</v>
      </c>
      <c r="L154" s="349"/>
      <c r="M154" s="349"/>
      <c r="N154" s="349"/>
      <c r="O154" s="682"/>
      <c r="P154" s="682"/>
      <c r="Q154" s="682"/>
      <c r="R154" s="656"/>
      <c r="S154" s="656">
        <v>24</v>
      </c>
      <c r="T154" s="656"/>
      <c r="U154" s="656" t="s">
        <v>1437</v>
      </c>
      <c r="V154" s="656"/>
      <c r="W154" s="656"/>
      <c r="X154" s="688"/>
      <c r="Y154" s="432"/>
      <c r="Z154" s="432"/>
      <c r="AA154" s="433" t="str">
        <f>_xlfn.XLOOKUP(Backlog[[#This Row],[Estado]],CatEstados[Estado],CatEstados[Fase],"Otro")</f>
        <v>Por hacer</v>
      </c>
      <c r="AB154" s="322"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4" s="323" t="e">
        <f ca="1">IF(OR(#REF!="",NOT(ISNUMBER(Backlog[[#This Row],[Dias_abiertos]]))),"",IF(Backlog[[#This Row],[Dias_abiertos]]&lt;=7,"En plazo",IFERROR(IF(Backlog[[#This Row],[Dias_abiertos]]=_xlfn.XLOOKUP(TRIM(#REF!),CatSLA[Prioridad],CatSLA[SLA_dias],""),"En plazo","Fuera de plazo"),"Sin SLA")))</f>
        <v>#REF!</v>
      </c>
      <c r="AD154" s="248"/>
      <c r="AE154" s="248"/>
      <c r="AF154" s="248"/>
      <c r="AG154" s="248"/>
      <c r="AH154" s="248"/>
      <c r="AI154" s="248"/>
    </row>
    <row r="155" spans="1:36" ht="45.75" hidden="1">
      <c r="A155" s="701" t="s">
        <v>1673</v>
      </c>
      <c r="B155" s="698" t="s">
        <v>1088</v>
      </c>
      <c r="C155" s="698"/>
      <c r="D155" s="687">
        <v>45979</v>
      </c>
      <c r="E155" s="695" t="s">
        <v>1674</v>
      </c>
      <c r="F155" s="688" t="s">
        <v>1675</v>
      </c>
      <c r="G155" s="400" t="s">
        <v>225</v>
      </c>
      <c r="H155" s="681" t="s">
        <v>235</v>
      </c>
      <c r="I155" s="656" t="s">
        <v>55</v>
      </c>
      <c r="J155" s="696"/>
      <c r="K155" s="656" t="s">
        <v>26</v>
      </c>
      <c r="L155" s="349"/>
      <c r="M155" s="349"/>
      <c r="N155" s="349"/>
      <c r="O155" s="682"/>
      <c r="P155" s="682"/>
      <c r="Q155" s="682"/>
      <c r="R155" s="656"/>
      <c r="S155" s="656">
        <v>60</v>
      </c>
      <c r="T155" s="656"/>
      <c r="U155" s="656" t="s">
        <v>1453</v>
      </c>
      <c r="V155" s="656"/>
      <c r="W155" s="656"/>
      <c r="X155" s="436"/>
      <c r="Y155" s="432"/>
      <c r="Z155" s="432"/>
      <c r="AA155" s="370" t="str">
        <f>_xlfn.XLOOKUP(Backlog[[#This Row],[Estado]],CatEstados[Estado],CatEstados[Fase],"Otro")</f>
        <v>Por hacer</v>
      </c>
      <c r="AB155"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5" s="288" t="e">
        <f ca="1">IF(OR(#REF!="",NOT(ISNUMBER(Backlog[[#This Row],[Dias_abiertos]]))),"",IF(Backlog[[#This Row],[Dias_abiertos]]&lt;=7,"En plazo",IFERROR(IF(Backlog[[#This Row],[Dias_abiertos]]=_xlfn.XLOOKUP(TRIM(#REF!),CatSLA[Prioridad],CatSLA[SLA_dias],""),"En plazo","Fuera de plazo"),"Sin SLA")))</f>
        <v>#REF!</v>
      </c>
      <c r="AD155" s="248"/>
      <c r="AE155" s="248"/>
      <c r="AF155" s="248"/>
      <c r="AG155" s="248"/>
      <c r="AH155" s="248"/>
      <c r="AI155" s="248"/>
    </row>
    <row r="156" spans="1:36" ht="45.75" hidden="1">
      <c r="A156" s="701" t="s">
        <v>1676</v>
      </c>
      <c r="B156" s="698" t="s">
        <v>1088</v>
      </c>
      <c r="C156" s="698"/>
      <c r="D156" s="687">
        <v>45979</v>
      </c>
      <c r="E156" s="695" t="s">
        <v>1677</v>
      </c>
      <c r="F156" s="688" t="s">
        <v>1678</v>
      </c>
      <c r="G156" s="400" t="s">
        <v>225</v>
      </c>
      <c r="H156" s="681" t="s">
        <v>235</v>
      </c>
      <c r="I156" s="656" t="s">
        <v>55</v>
      </c>
      <c r="J156" s="696"/>
      <c r="K156" s="656" t="s">
        <v>26</v>
      </c>
      <c r="L156" s="349"/>
      <c r="M156" s="349" t="s">
        <v>1338</v>
      </c>
      <c r="N156" s="349"/>
      <c r="O156" s="682"/>
      <c r="P156" s="682"/>
      <c r="Q156" s="682"/>
      <c r="R156" s="656"/>
      <c r="S156" s="656">
        <v>60</v>
      </c>
      <c r="T156" s="656"/>
      <c r="U156" s="656" t="s">
        <v>1453</v>
      </c>
      <c r="V156" s="656"/>
      <c r="W156" s="656"/>
      <c r="X156" s="436"/>
      <c r="Y156" s="432"/>
      <c r="Z156" s="432"/>
      <c r="AA156" s="370" t="str">
        <f>_xlfn.XLOOKUP(Backlog[[#This Row],[Estado]],CatEstados[Estado],CatEstados[Fase],"Otro")</f>
        <v>Por hacer</v>
      </c>
      <c r="AB156" s="28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56" s="288" t="e">
        <f ca="1">IF(OR(#REF!="",NOT(ISNUMBER(Backlog[[#This Row],[Dias_abiertos]]))),"",IF(Backlog[[#This Row],[Dias_abiertos]]&lt;=7,"En plazo",IFERROR(IF(Backlog[[#This Row],[Dias_abiertos]]=_xlfn.XLOOKUP(TRIM(#REF!),CatSLA[Prioridad],CatSLA[SLA_dias],""),"En plazo","Fuera de plazo"),"Sin SLA")))</f>
        <v>#REF!</v>
      </c>
      <c r="AD156" s="248"/>
      <c r="AE156" s="248"/>
      <c r="AF156" s="248"/>
      <c r="AG156" s="248"/>
      <c r="AH156" s="248"/>
      <c r="AI156" s="248"/>
    </row>
    <row r="157" spans="1:36" ht="60.75" hidden="1">
      <c r="A157" s="701" t="s">
        <v>1679</v>
      </c>
      <c r="B157" s="649" t="s">
        <v>1088</v>
      </c>
      <c r="C157" s="648"/>
      <c r="D157" s="687">
        <v>46008</v>
      </c>
      <c r="E157" s="695" t="s">
        <v>1680</v>
      </c>
      <c r="F157" s="695" t="s">
        <v>1681</v>
      </c>
      <c r="G157" s="400" t="s">
        <v>66</v>
      </c>
      <c r="H157" s="681" t="s">
        <v>1271</v>
      </c>
      <c r="I157" s="656" t="s">
        <v>55</v>
      </c>
      <c r="J157" s="696"/>
      <c r="K157" s="656" t="s">
        <v>26</v>
      </c>
      <c r="L157" s="349"/>
      <c r="M157" s="349"/>
      <c r="N157" s="349"/>
      <c r="O157" s="682"/>
      <c r="P157" s="682"/>
      <c r="Q157" s="682"/>
      <c r="R157" s="656"/>
      <c r="S157" s="656">
        <v>60</v>
      </c>
      <c r="T157" s="656"/>
      <c r="U157" s="656" t="s">
        <v>1453</v>
      </c>
      <c r="V157" s="656"/>
      <c r="W157" s="656"/>
      <c r="X157" s="688"/>
      <c r="Y157" s="432"/>
      <c r="Z157" s="432"/>
      <c r="AA157" s="370" t="str">
        <f>_xlfn.XLOOKUP(Backlog[[#This Row],[Estado]],CatEstados[Estado],CatEstados[Fase],"Otro")</f>
        <v>Por hacer</v>
      </c>
      <c r="AB157"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7" s="288" t="e">
        <f ca="1">IF(OR(#REF!="",NOT(ISNUMBER(Backlog[[#This Row],[Dias_abiertos]]))),"",IF(Backlog[[#This Row],[Dias_abiertos]]&lt;=7,"En plazo",IFERROR(IF(Backlog[[#This Row],[Dias_abiertos]]=_xlfn.XLOOKUP(TRIM(#REF!),CatSLA[Prioridad],CatSLA[SLA_dias],""),"En plazo","Fuera de plazo"),"Sin SLA")))</f>
        <v>#REF!</v>
      </c>
      <c r="AD157" s="248"/>
      <c r="AE157" s="248"/>
      <c r="AF157" s="248"/>
      <c r="AG157" s="248"/>
      <c r="AH157" s="248"/>
      <c r="AI157" s="248"/>
      <c r="AJ157" s="203" t="s">
        <v>1682</v>
      </c>
    </row>
    <row r="158" spans="1:36" ht="106.5" hidden="1">
      <c r="A158" s="513" t="s">
        <v>1683</v>
      </c>
      <c r="B158" s="414" t="s">
        <v>1088</v>
      </c>
      <c r="C158" s="371" t="s">
        <v>1127</v>
      </c>
      <c r="D158" s="367">
        <v>46028</v>
      </c>
      <c r="E158" s="368" t="s">
        <v>1684</v>
      </c>
      <c r="F158" s="368" t="s">
        <v>1685</v>
      </c>
      <c r="G158" s="244" t="s">
        <v>66</v>
      </c>
      <c r="H158" s="371" t="s">
        <v>235</v>
      </c>
      <c r="I158" s="371" t="s">
        <v>1686</v>
      </c>
      <c r="J158" s="463">
        <v>1</v>
      </c>
      <c r="K158" s="371" t="s">
        <v>16</v>
      </c>
      <c r="L158" s="367"/>
      <c r="M158" s="367">
        <v>46066</v>
      </c>
      <c r="N158" s="367"/>
      <c r="O158" s="373" t="s">
        <v>1687</v>
      </c>
      <c r="P158" s="373"/>
      <c r="Q158" s="534" t="s">
        <v>1688</v>
      </c>
      <c r="R158" s="371"/>
      <c r="S158" s="371">
        <v>68</v>
      </c>
      <c r="T158" s="371"/>
      <c r="U158" s="371"/>
      <c r="V158" s="371"/>
      <c r="W158" s="371"/>
      <c r="X158" s="371" t="s">
        <v>1689</v>
      </c>
      <c r="Y158" s="432"/>
      <c r="Z158" s="432"/>
      <c r="AA158" s="370" t="str">
        <f>_xlfn.XLOOKUP(Backlog[[#This Row],[Estado]],CatEstados[Estado],CatEstados[Fase],"Otro")</f>
        <v>Cerrado</v>
      </c>
      <c r="AB158" s="287">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158" s="288" t="e">
        <f ca="1">IF(OR(#REF!="",NOT(ISNUMBER(Backlog[[#This Row],[Dias_abiertos]]))),"",IF(Backlog[[#This Row],[Dias_abiertos]]&lt;=7,"En plazo",IFERROR(IF(Backlog[[#This Row],[Dias_abiertos]]=_xlfn.XLOOKUP(TRIM(#REF!),CatSLA[Prioridad],CatSLA[SLA_dias],""),"En plazo","Fuera de plazo"),"Sin SLA")))</f>
        <v>#REF!</v>
      </c>
      <c r="AD158" s="248"/>
      <c r="AE158" s="248"/>
      <c r="AF158" s="248"/>
      <c r="AG158" s="248"/>
      <c r="AH158" s="248"/>
      <c r="AI158" s="248"/>
    </row>
    <row r="159" spans="1:36" ht="15" hidden="1" customHeight="1">
      <c r="A159" s="407" t="s">
        <v>1690</v>
      </c>
      <c r="B159" s="377" t="s">
        <v>1087</v>
      </c>
      <c r="C159" s="377"/>
      <c r="D159" s="412">
        <v>45960</v>
      </c>
      <c r="E159" s="378" t="s">
        <v>1691</v>
      </c>
      <c r="F159" s="378" t="s">
        <v>1692</v>
      </c>
      <c r="G159" s="380" t="s">
        <v>66</v>
      </c>
      <c r="H159" s="413" t="s">
        <v>235</v>
      </c>
      <c r="I159" s="380"/>
      <c r="J159" s="464"/>
      <c r="K159" s="380" t="s">
        <v>16</v>
      </c>
      <c r="L159" s="412"/>
      <c r="M159" s="412"/>
      <c r="N159" s="412"/>
      <c r="O159" s="379"/>
      <c r="P159" s="379"/>
      <c r="Q159" s="379"/>
      <c r="R159" s="380" t="s">
        <v>1693</v>
      </c>
      <c r="S159" s="380"/>
      <c r="T159" s="380"/>
      <c r="U159" s="380"/>
      <c r="V159" s="380"/>
      <c r="W159" s="380"/>
      <c r="X159" s="434" t="s">
        <v>1689</v>
      </c>
      <c r="Y159" s="432"/>
      <c r="Z159" s="432"/>
      <c r="AA159" s="370" t="str">
        <f>_xlfn.XLOOKUP(Backlog[[#This Row],[Estado]],CatEstados[Estado],CatEstados[Fase],"Otro")</f>
        <v>Cerrado</v>
      </c>
      <c r="AB159"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59" s="288" t="e">
        <f ca="1">IF(OR(#REF!="",NOT(ISNUMBER(Backlog[[#This Row],[Dias_abiertos]]))),"",IF(Backlog[[#This Row],[Dias_abiertos]]&lt;=7,"En plazo",IFERROR(IF(Backlog[[#This Row],[Dias_abiertos]]=_xlfn.XLOOKUP(TRIM(#REF!),CatSLA[Prioridad],CatSLA[SLA_dias],""),"En plazo","Fuera de plazo"),"Sin SLA")))</f>
        <v>#REF!</v>
      </c>
      <c r="AD159" s="248"/>
      <c r="AE159" s="248"/>
      <c r="AF159" s="248"/>
      <c r="AG159" s="248"/>
      <c r="AH159" s="248"/>
      <c r="AI159" s="248"/>
    </row>
    <row r="160" spans="1:36" ht="76.5" hidden="1" customHeight="1">
      <c r="A160" s="366" t="s">
        <v>1694</v>
      </c>
      <c r="B160" s="414" t="s">
        <v>1087</v>
      </c>
      <c r="C160" s="414"/>
      <c r="D160" s="367">
        <v>46055</v>
      </c>
      <c r="E160" s="368" t="s">
        <v>1695</v>
      </c>
      <c r="F160" s="547" t="s">
        <v>1696</v>
      </c>
      <c r="G160" s="371" t="s">
        <v>66</v>
      </c>
      <c r="H160" s="372" t="s">
        <v>235</v>
      </c>
      <c r="I160" s="371"/>
      <c r="J160" s="463"/>
      <c r="K160" s="371" t="s">
        <v>16</v>
      </c>
      <c r="L160" s="367"/>
      <c r="M160" s="367"/>
      <c r="N160" s="367"/>
      <c r="O160" s="373"/>
      <c r="P160" s="373"/>
      <c r="Q160" s="373"/>
      <c r="R160" s="371"/>
      <c r="S160" s="371"/>
      <c r="T160" s="371"/>
      <c r="U160" s="371"/>
      <c r="V160" s="371"/>
      <c r="W160" s="371"/>
      <c r="X160" s="289"/>
      <c r="Y160" s="432"/>
      <c r="Z160" s="432"/>
      <c r="AA160" s="370" t="str">
        <f>_xlfn.XLOOKUP(Backlog[[#This Row],[Estado]],CatEstados[Estado],CatEstados[Fase],"Otro")</f>
        <v>Cerrado</v>
      </c>
      <c r="AB160"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60" s="288" t="e">
        <f ca="1">IF(OR(#REF!="",NOT(ISNUMBER(Backlog[[#This Row],[Dias_abiertos]]))),"",IF(Backlog[[#This Row],[Dias_abiertos]]&lt;=7,"En plazo",IFERROR(IF(Backlog[[#This Row],[Dias_abiertos]]=_xlfn.XLOOKUP(TRIM(#REF!),CatSLA[Prioridad],CatSLA[SLA_dias],""),"En plazo","Fuera de plazo"),"Sin SLA")))</f>
        <v>#REF!</v>
      </c>
      <c r="AD160" s="248"/>
      <c r="AE160" s="248"/>
      <c r="AF160" s="248"/>
      <c r="AG160" s="248"/>
      <c r="AH160" s="248"/>
      <c r="AI160" s="248"/>
    </row>
    <row r="161" spans="1:35" ht="41.25" hidden="1" customHeight="1">
      <c r="A161" s="543" t="s">
        <v>1697</v>
      </c>
      <c r="B161" s="377" t="s">
        <v>1087</v>
      </c>
      <c r="C161" s="377"/>
      <c r="D161" s="412">
        <v>46056</v>
      </c>
      <c r="E161" s="378" t="s">
        <v>1698</v>
      </c>
      <c r="F161" s="546" t="s">
        <v>1699</v>
      </c>
      <c r="G161" s="380" t="s">
        <v>1270</v>
      </c>
      <c r="H161" s="413" t="s">
        <v>235</v>
      </c>
      <c r="I161" s="380"/>
      <c r="J161" s="464"/>
      <c r="K161" s="380" t="s">
        <v>16</v>
      </c>
      <c r="L161" s="412"/>
      <c r="M161" s="412"/>
      <c r="N161" s="412"/>
      <c r="O161" s="379"/>
      <c r="P161" s="379"/>
      <c r="Q161" s="379"/>
      <c r="R161" s="380"/>
      <c r="S161" s="380"/>
      <c r="T161" s="380"/>
      <c r="U161" s="380"/>
      <c r="V161" s="380"/>
      <c r="W161" s="380"/>
      <c r="X161" s="435"/>
      <c r="Y161" s="432"/>
      <c r="Z161" s="432"/>
      <c r="AA161" s="370" t="str">
        <f>_xlfn.XLOOKUP(Backlog[[#This Row],[Estado]],CatEstados[Estado],CatEstados[Fase],"Otro")</f>
        <v>Cerrado</v>
      </c>
      <c r="AB161"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61" s="288" t="e">
        <f ca="1">IF(OR(#REF!="",NOT(ISNUMBER(Backlog[[#This Row],[Dias_abiertos]]))),"",IF(Backlog[[#This Row],[Dias_abiertos]]&lt;=7,"En plazo",IFERROR(IF(Backlog[[#This Row],[Dias_abiertos]]=_xlfn.XLOOKUP(TRIM(#REF!),CatSLA[Prioridad],CatSLA[SLA_dias],""),"En plazo","Fuera de plazo"),"Sin SLA")))</f>
        <v>#REF!</v>
      </c>
      <c r="AD161" s="248"/>
      <c r="AE161" s="248"/>
      <c r="AF161" s="248"/>
      <c r="AG161" s="248"/>
      <c r="AH161" s="248"/>
      <c r="AI161" s="248"/>
    </row>
    <row r="162" spans="1:35" ht="41.25" hidden="1" customHeight="1">
      <c r="A162" s="515" t="s">
        <v>1700</v>
      </c>
      <c r="B162" s="516" t="s">
        <v>1087</v>
      </c>
      <c r="C162" s="516"/>
      <c r="D162" s="367">
        <v>46119</v>
      </c>
      <c r="E162" s="368" t="s">
        <v>1701</v>
      </c>
      <c r="F162" s="525" t="s">
        <v>1702</v>
      </c>
      <c r="G162" s="371" t="s">
        <v>75</v>
      </c>
      <c r="H162" s="372" t="s">
        <v>235</v>
      </c>
      <c r="I162" s="371"/>
      <c r="J162" s="463"/>
      <c r="K162" s="371" t="s">
        <v>16</v>
      </c>
      <c r="L162" s="367"/>
      <c r="M162" s="367"/>
      <c r="N162" s="367">
        <v>46122</v>
      </c>
      <c r="O162" s="373"/>
      <c r="P162" s="373"/>
      <c r="Q162" s="373" t="s">
        <v>1703</v>
      </c>
      <c r="R162" s="371"/>
      <c r="S162" s="371"/>
      <c r="T162" s="371"/>
      <c r="U162" s="371"/>
      <c r="V162" s="371"/>
      <c r="W162" s="371"/>
      <c r="X162" s="431"/>
      <c r="Y162" s="432"/>
      <c r="Z162" s="432"/>
      <c r="AA162" s="370"/>
      <c r="AB162" s="287"/>
      <c r="AC162" s="288"/>
      <c r="AD162" s="248"/>
      <c r="AE162" s="248"/>
      <c r="AF162" s="248"/>
      <c r="AG162" s="248"/>
      <c r="AH162" s="248"/>
      <c r="AI162" s="248"/>
    </row>
    <row r="163" spans="1:35" s="213" customFormat="1" ht="41.25" hidden="1" customHeight="1">
      <c r="A163" s="513" t="s">
        <v>1704</v>
      </c>
      <c r="B163" s="516" t="s">
        <v>1087</v>
      </c>
      <c r="C163" s="516"/>
      <c r="D163" s="367">
        <v>46120</v>
      </c>
      <c r="E163" s="368" t="s">
        <v>1705</v>
      </c>
      <c r="F163" s="368" t="s">
        <v>1706</v>
      </c>
      <c r="G163" s="371" t="s">
        <v>75</v>
      </c>
      <c r="H163" s="372" t="s">
        <v>235</v>
      </c>
      <c r="I163" s="371"/>
      <c r="J163" s="463"/>
      <c r="K163" s="371" t="s">
        <v>16</v>
      </c>
      <c r="L163" s="367"/>
      <c r="M163" s="367"/>
      <c r="N163" s="367">
        <v>46122</v>
      </c>
      <c r="O163" s="373"/>
      <c r="P163" s="373"/>
      <c r="Q163" s="373"/>
      <c r="R163" s="371"/>
      <c r="S163" s="371"/>
      <c r="T163" s="371"/>
      <c r="U163" s="371"/>
      <c r="V163" s="371"/>
      <c r="W163" s="371"/>
      <c r="X163" s="431"/>
      <c r="Y163" s="432"/>
      <c r="Z163" s="432"/>
      <c r="AA163" s="370"/>
      <c r="AB163" s="287"/>
      <c r="AC163" s="288"/>
      <c r="AD163" s="250"/>
      <c r="AE163" s="250"/>
      <c r="AF163" s="250"/>
      <c r="AG163" s="250"/>
      <c r="AH163" s="250"/>
      <c r="AI163" s="250"/>
    </row>
    <row r="164" spans="1:35" ht="60.75" hidden="1">
      <c r="A164" s="298" t="s">
        <v>1707</v>
      </c>
      <c r="B164" s="334" t="s">
        <v>1087</v>
      </c>
      <c r="C164" s="334"/>
      <c r="D164" s="233">
        <v>46120</v>
      </c>
      <c r="E164" s="299" t="s">
        <v>1708</v>
      </c>
      <c r="F164" s="299" t="s">
        <v>1709</v>
      </c>
      <c r="G164" s="244" t="s">
        <v>75</v>
      </c>
      <c r="H164" s="231" t="s">
        <v>235</v>
      </c>
      <c r="I164" s="244"/>
      <c r="J164" s="449"/>
      <c r="K164" s="244" t="s">
        <v>16</v>
      </c>
      <c r="L164" s="233"/>
      <c r="M164" s="233"/>
      <c r="N164" s="233">
        <v>46122</v>
      </c>
      <c r="O164" s="300"/>
      <c r="P164" s="300"/>
      <c r="Q164" s="545"/>
      <c r="R164" s="244"/>
      <c r="S164" s="244"/>
      <c r="T164" s="244"/>
      <c r="U164" s="244"/>
      <c r="V164" s="244"/>
      <c r="W164" s="244"/>
      <c r="X164" s="289"/>
      <c r="Y164" s="418"/>
      <c r="Z164" s="418"/>
      <c r="AC164" s="275"/>
      <c r="AD164" s="248"/>
      <c r="AE164" s="248"/>
      <c r="AF164" s="248"/>
      <c r="AG164" s="248"/>
      <c r="AH164" s="248"/>
      <c r="AI164" s="248"/>
    </row>
    <row r="165" spans="1:35" ht="45.75" hidden="1">
      <c r="A165" s="542" t="s">
        <v>1710</v>
      </c>
      <c r="B165" s="516" t="s">
        <v>1087</v>
      </c>
      <c r="C165" s="371" t="s">
        <v>1127</v>
      </c>
      <c r="D165" s="367" t="s">
        <v>1293</v>
      </c>
      <c r="E165" s="544" t="s">
        <v>1711</v>
      </c>
      <c r="F165" s="368" t="s">
        <v>1712</v>
      </c>
      <c r="G165" s="371" t="s">
        <v>1270</v>
      </c>
      <c r="H165" s="371" t="s">
        <v>235</v>
      </c>
      <c r="I165" s="514" t="s">
        <v>1125</v>
      </c>
      <c r="J165" s="463"/>
      <c r="K165" s="371" t="s">
        <v>16</v>
      </c>
      <c r="L165" s="367">
        <v>46053</v>
      </c>
      <c r="M165" s="367" t="s">
        <v>1338</v>
      </c>
      <c r="N165" s="367"/>
      <c r="O165" s="373" t="s">
        <v>1713</v>
      </c>
      <c r="P165" s="373"/>
      <c r="Q165" s="534" t="s">
        <v>1714</v>
      </c>
      <c r="R165" s="371"/>
      <c r="S165" s="371">
        <v>55</v>
      </c>
      <c r="T165" s="371"/>
      <c r="U165" s="371" t="s">
        <v>1715</v>
      </c>
      <c r="V165" s="371"/>
      <c r="W165" s="371"/>
      <c r="X165" s="421"/>
      <c r="Y165" s="432"/>
      <c r="Z165" s="432"/>
      <c r="AA165" s="370" t="str">
        <f>_xlfn.XLOOKUP(Backlog[[#This Row],[Estado]],CatEstados[Estado],CatEstados[Fase],"Otro")</f>
        <v>Cerrado</v>
      </c>
      <c r="AB165" s="287"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65" s="288" t="e">
        <f ca="1">IF(OR(#REF!="",NOT(ISNUMBER(Backlog[[#This Row],[Dias_abiertos]]))),"",IF(Backlog[[#This Row],[Dias_abiertos]]&lt;=7,"En plazo",IFERROR(IF(Backlog[[#This Row],[Dias_abiertos]]=_xlfn.XLOOKUP(TRIM(#REF!),CatSLA[Prioridad],CatSLA[SLA_dias],""),"En plazo","Fuera de plazo"),"Sin SLA")))</f>
        <v>#REF!</v>
      </c>
      <c r="AD165" s="248"/>
      <c r="AE165" s="248"/>
      <c r="AF165" s="248"/>
      <c r="AG165" s="248"/>
      <c r="AH165" s="248"/>
      <c r="AI165" s="248"/>
    </row>
    <row r="166" spans="1:35" ht="41.25" hidden="1" customHeight="1">
      <c r="A166" s="512" t="s">
        <v>1716</v>
      </c>
      <c r="B166" s="516" t="s">
        <v>1087</v>
      </c>
      <c r="C166" s="371" t="s">
        <v>1127</v>
      </c>
      <c r="D166" s="367">
        <v>45848</v>
      </c>
      <c r="E166" s="373" t="s">
        <v>1717</v>
      </c>
      <c r="F166" s="545" t="s">
        <v>1718</v>
      </c>
      <c r="G166" s="371" t="s">
        <v>75</v>
      </c>
      <c r="H166" s="371" t="s">
        <v>415</v>
      </c>
      <c r="I166" s="514" t="s">
        <v>1125</v>
      </c>
      <c r="J166" s="371"/>
      <c r="K166" s="371" t="s">
        <v>16</v>
      </c>
      <c r="L166" s="431"/>
      <c r="M166" s="528" t="s">
        <v>1338</v>
      </c>
      <c r="N166" s="431"/>
      <c r="O166" s="531" t="s">
        <v>1719</v>
      </c>
      <c r="P166" s="431"/>
      <c r="Q166" s="534" t="s">
        <v>1543</v>
      </c>
      <c r="R166" s="371"/>
      <c r="S166" s="371">
        <v>41</v>
      </c>
      <c r="T166" s="371"/>
      <c r="U166" s="371" t="s">
        <v>1715</v>
      </c>
      <c r="V166" s="371"/>
      <c r="W166" s="371"/>
      <c r="X166" s="539"/>
      <c r="Y166" s="432"/>
      <c r="Z166" s="432"/>
      <c r="AA166" s="430" t="str">
        <f>_xlfn.XLOOKUP(Backlog[[#This Row],[Estado]],CatEstados[Estado],CatEstados[Fase],"Otro")</f>
        <v>Cerrado</v>
      </c>
      <c r="AB166" s="375"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166" s="376" t="e">
        <f ca="1">IF(OR(#REF!="",NOT(ISNUMBER(Backlog[[#This Row],[Dias_abiertos]]))),"",IF(Backlog[[#This Row],[Dias_abiertos]]&lt;=7,"En plazo",IFERROR(IF(Backlog[[#This Row],[Dias_abiertos]]=_xlfn.XLOOKUP(TRIM(#REF!),CatSLA[Prioridad],CatSLA[SLA_dias],""),"En plazo","Fuera de plazo"),"Sin SLA")))</f>
        <v>#REF!</v>
      </c>
      <c r="AD166" s="248"/>
      <c r="AE166" s="248"/>
      <c r="AF166" s="248"/>
      <c r="AG166" s="248"/>
      <c r="AH166" s="248"/>
      <c r="AI166" s="248"/>
    </row>
    <row r="167" spans="1:35" ht="106.5" hidden="1">
      <c r="A167" s="514" t="s">
        <v>263</v>
      </c>
      <c r="B167" s="514" t="s">
        <v>1087</v>
      </c>
      <c r="C167" s="514" t="s">
        <v>1393</v>
      </c>
      <c r="D167" s="519">
        <v>45660</v>
      </c>
      <c r="E167" s="520" t="s">
        <v>264</v>
      </c>
      <c r="F167" s="523" t="s">
        <v>1720</v>
      </c>
      <c r="G167" s="514" t="s">
        <v>75</v>
      </c>
      <c r="H167" s="514" t="s">
        <v>235</v>
      </c>
      <c r="I167" s="514" t="s">
        <v>55</v>
      </c>
      <c r="J167" s="514"/>
      <c r="K167" s="514" t="s">
        <v>16</v>
      </c>
      <c r="L167" s="514"/>
      <c r="M167" s="514"/>
      <c r="N167" s="519">
        <v>45975</v>
      </c>
      <c r="O167" s="514"/>
      <c r="P167" s="514"/>
      <c r="Q167" s="514"/>
      <c r="R167" s="371"/>
      <c r="S167" s="371"/>
      <c r="T167" s="371"/>
      <c r="U167" s="371"/>
      <c r="V167" s="371"/>
      <c r="W167" s="371"/>
      <c r="X167" s="539"/>
      <c r="Y167" s="432"/>
      <c r="Z167" s="432"/>
      <c r="AA167" s="431" t="str">
        <f>_xlfn.XLOOKUP(Backlog[[#This Row],[Estado]],CatEstados[Estado],CatEstados[Fase],"Otro")</f>
        <v>Cerrado</v>
      </c>
      <c r="AB167" s="540"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67" s="541" t="e">
        <f ca="1">IF(OR(#REF!="",NOT(ISNUMBER(Backlog[[#This Row],[Dias_abiertos]]))),"",IF(Backlog[[#This Row],[Dias_abiertos]]&lt;=7,"En plazo",IFERROR(IF(Backlog[[#This Row],[Dias_abiertos]]=_xlfn.XLOOKUP(TRIM(#REF!),CatSLA[Prioridad],CatSLA[SLA_dias],""),"En plazo","Fuera de plazo"),"Sin SLA")))</f>
        <v>#REF!</v>
      </c>
      <c r="AD167" s="248"/>
      <c r="AE167" s="248"/>
      <c r="AF167" s="248"/>
      <c r="AG167" s="248"/>
      <c r="AH167" s="248"/>
      <c r="AI167" s="248"/>
    </row>
    <row r="168" spans="1:35" s="213" customFormat="1" ht="76.5" hidden="1">
      <c r="A168" s="303" t="s">
        <v>440</v>
      </c>
      <c r="B168" s="301" t="s">
        <v>1087</v>
      </c>
      <c r="C168" s="303" t="s">
        <v>1503</v>
      </c>
      <c r="D168" s="302">
        <v>45671</v>
      </c>
      <c r="E168" s="230" t="s">
        <v>1721</v>
      </c>
      <c r="F168" s="230"/>
      <c r="G168" s="303" t="s">
        <v>75</v>
      </c>
      <c r="H168" s="303" t="s">
        <v>415</v>
      </c>
      <c r="I168" s="303" t="s">
        <v>55</v>
      </c>
      <c r="J168" s="303"/>
      <c r="K168" s="303" t="s">
        <v>16</v>
      </c>
      <c r="L168" s="247"/>
      <c r="M168" s="247"/>
      <c r="N168" s="460">
        <v>45975</v>
      </c>
      <c r="O168" s="247" t="s">
        <v>1722</v>
      </c>
      <c r="P168" s="247"/>
      <c r="Q168" s="247"/>
      <c r="R168" s="244"/>
      <c r="S168" s="244"/>
      <c r="T168" s="244"/>
      <c r="U168" s="244"/>
      <c r="V168" s="244"/>
      <c r="W168" s="244"/>
      <c r="X168" s="421"/>
      <c r="Y168" s="418"/>
      <c r="Z168" s="418"/>
      <c r="AA168" s="289" t="str">
        <f>_xlfn.XLOOKUP(Backlog[[#This Row],[Estado]],CatEstados[Estado],CatEstados[Fase],"Otro")</f>
        <v>Cerrado</v>
      </c>
      <c r="AB168" s="263"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68" s="263" t="e">
        <f ca="1">IF(OR(#REF!="",NOT(ISNUMBER(Backlog[[#This Row],[Dias_abiertos]]))),"",IF(Backlog[[#This Row],[Dias_abiertos]]&lt;=7,"En plazo",IFERROR(IF(Backlog[[#This Row],[Dias_abiertos]]=_xlfn.XLOOKUP(TRIM(#REF!),CatSLA[Prioridad],CatSLA[SLA_dias],""),"En plazo","Fuera de plazo"),"Sin SLA")))</f>
        <v>#REF!</v>
      </c>
      <c r="AD168" s="250"/>
      <c r="AE168" s="250"/>
      <c r="AF168" s="250"/>
      <c r="AG168" s="250"/>
      <c r="AH168" s="250"/>
      <c r="AI168" s="250"/>
    </row>
    <row r="169" spans="1:35" ht="259.5" hidden="1">
      <c r="A169" s="305" t="s">
        <v>1723</v>
      </c>
      <c r="B169" s="305" t="s">
        <v>1087</v>
      </c>
      <c r="C169" s="303" t="s">
        <v>1393</v>
      </c>
      <c r="D169" s="302">
        <v>45782</v>
      </c>
      <c r="E169" s="308" t="s">
        <v>1724</v>
      </c>
      <c r="F169" s="230" t="s">
        <v>1725</v>
      </c>
      <c r="G169" s="298" t="s">
        <v>225</v>
      </c>
      <c r="H169" s="244" t="s">
        <v>235</v>
      </c>
      <c r="I169" s="303" t="s">
        <v>55</v>
      </c>
      <c r="J169" s="303"/>
      <c r="K169" s="303" t="s">
        <v>16</v>
      </c>
      <c r="L169" s="303"/>
      <c r="M169" s="302">
        <v>45961</v>
      </c>
      <c r="N169" s="302">
        <v>45967</v>
      </c>
      <c r="O169" s="303" t="s">
        <v>1726</v>
      </c>
      <c r="P169" s="303" t="s">
        <v>1727</v>
      </c>
      <c r="Q169" s="303"/>
      <c r="R169" s="244">
        <v>1</v>
      </c>
      <c r="S169" s="244">
        <v>1</v>
      </c>
      <c r="T169" s="244"/>
      <c r="U169" s="244">
        <v>1</v>
      </c>
      <c r="V169" s="244"/>
      <c r="W169" s="244"/>
      <c r="X169" s="421"/>
      <c r="Y169" s="418"/>
      <c r="Z169" s="418"/>
      <c r="AA169" s="196" t="str">
        <f>_xlfn.XLOOKUP(Backlog[[#This Row],[Estado]],CatEstados[Estado],CatEstados[Fase],"Otro")</f>
        <v>Cerrado</v>
      </c>
      <c r="AB169" s="197">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6</v>
      </c>
      <c r="AC169" s="197" t="e">
        <f ca="1">IF(OR(#REF!="",NOT(ISNUMBER(Backlog[[#This Row],[Dias_abiertos]]))),"",IF(Backlog[[#This Row],[Dias_abiertos]]&lt;=7,"En plazo",IFERROR(IF(Backlog[[#This Row],[Dias_abiertos]]=_xlfn.XLOOKUP(TRIM(#REF!),CatSLA[Prioridad],CatSLA[SLA_dias],""),"En plazo","Fuera de plazo"),"Sin SLA")))</f>
        <v>#REF!</v>
      </c>
      <c r="AD169" s="248"/>
      <c r="AE169" s="248"/>
      <c r="AF169" s="248"/>
      <c r="AG169" s="248"/>
      <c r="AH169" s="248"/>
      <c r="AI169" s="248"/>
    </row>
    <row r="170" spans="1:35" ht="60.75" hidden="1">
      <c r="A170" s="466" t="s">
        <v>1728</v>
      </c>
      <c r="B170" s="466" t="s">
        <v>1087</v>
      </c>
      <c r="C170" s="434" t="s">
        <v>1127</v>
      </c>
      <c r="D170" s="467">
        <v>45958</v>
      </c>
      <c r="E170" s="468" t="s">
        <v>1729</v>
      </c>
      <c r="F170" s="469" t="s">
        <v>1730</v>
      </c>
      <c r="G170" s="434" t="s">
        <v>66</v>
      </c>
      <c r="H170" s="434" t="s">
        <v>415</v>
      </c>
      <c r="I170" s="470" t="s">
        <v>1125</v>
      </c>
      <c r="J170" s="471"/>
      <c r="K170" s="434" t="s">
        <v>16</v>
      </c>
      <c r="L170" s="467">
        <v>45968</v>
      </c>
      <c r="M170" s="467">
        <v>45981</v>
      </c>
      <c r="N170" s="467">
        <v>45981</v>
      </c>
      <c r="O170" s="472" t="s">
        <v>1731</v>
      </c>
      <c r="P170" s="472"/>
      <c r="Q170" s="472"/>
      <c r="R170" s="434"/>
      <c r="S170" s="434"/>
      <c r="T170" s="434"/>
      <c r="U170" s="434"/>
      <c r="V170" s="434"/>
      <c r="W170" s="434"/>
      <c r="X170" s="473"/>
      <c r="Y170" s="474"/>
      <c r="Z170" s="474"/>
      <c r="AA170" s="474" t="str">
        <f>_xlfn.XLOOKUP(Backlog[[#This Row],[Estado]],CatEstados[Estado],CatEstados[Fase],"Otro")</f>
        <v>Cerrado</v>
      </c>
      <c r="AB170"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0</v>
      </c>
      <c r="AC170" s="475" t="e">
        <f ca="1">IF(OR(#REF!="",NOT(ISNUMBER(Backlog[[#This Row],[Dias_abiertos]]))),"",IF(Backlog[[#This Row],[Dias_abiertos]]&lt;=7,"En plazo",IFERROR(IF(Backlog[[#This Row],[Dias_abiertos]]=_xlfn.XLOOKUP(TRIM(#REF!),CatSLA[Prioridad],CatSLA[SLA_dias],""),"En plazo","Fuera de plazo"),"Sin SLA")))</f>
        <v>#REF!</v>
      </c>
      <c r="AD170" s="248"/>
      <c r="AE170" s="248"/>
      <c r="AF170" s="248"/>
      <c r="AG170" s="248"/>
      <c r="AH170" s="248"/>
      <c r="AI170" s="248"/>
    </row>
    <row r="171" spans="1:35" ht="45.75" hidden="1">
      <c r="A171" s="477" t="s">
        <v>1732</v>
      </c>
      <c r="B171" s="478" t="s">
        <v>1088</v>
      </c>
      <c r="C171" s="434" t="s">
        <v>1127</v>
      </c>
      <c r="D171" s="467">
        <v>45972</v>
      </c>
      <c r="E171" s="468" t="s">
        <v>1733</v>
      </c>
      <c r="F171" s="468" t="s">
        <v>1734</v>
      </c>
      <c r="G171" s="434" t="s">
        <v>66</v>
      </c>
      <c r="H171" s="469" t="s">
        <v>415</v>
      </c>
      <c r="I171" s="434" t="s">
        <v>55</v>
      </c>
      <c r="J171" s="471"/>
      <c r="K171" s="434" t="s">
        <v>16</v>
      </c>
      <c r="L171" s="467"/>
      <c r="M171" s="467">
        <v>45975</v>
      </c>
      <c r="N171" s="467"/>
      <c r="O171" s="472" t="s">
        <v>1735</v>
      </c>
      <c r="P171" s="472"/>
      <c r="Q171" s="472"/>
      <c r="R171" s="434"/>
      <c r="S171" s="434">
        <v>4</v>
      </c>
      <c r="T171" s="434"/>
      <c r="U171" s="434" t="s">
        <v>1441</v>
      </c>
      <c r="V171" s="434"/>
      <c r="W171" s="434"/>
      <c r="X171" s="474"/>
      <c r="Y171" s="474"/>
      <c r="Z171" s="474"/>
      <c r="AA171" s="474" t="str">
        <f>_xlfn.XLOOKUP(Backlog[[#This Row],[Estado]],CatEstados[Estado],CatEstados[Fase],"Otro")</f>
        <v>Cerrado</v>
      </c>
      <c r="AB171"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193</v>
      </c>
      <c r="AC171" s="476" t="e">
        <f ca="1">IF(OR(#REF!="",NOT(ISNUMBER(Backlog[[#This Row],[Dias_abiertos]]))),"",IF(Backlog[[#This Row],[Dias_abiertos]]&lt;=7,"En plazo",IFERROR(IF(Backlog[[#This Row],[Dias_abiertos]]=_xlfn.XLOOKUP(TRIM(#REF!),CatSLA[Prioridad],CatSLA[SLA_dias],""),"En plazo","Fuera de plazo"),"Sin SLA")))</f>
        <v>#REF!</v>
      </c>
      <c r="AD171" s="248"/>
      <c r="AE171" s="248"/>
      <c r="AF171" s="248"/>
      <c r="AG171" s="248"/>
      <c r="AH171" s="248"/>
      <c r="AI171" s="248"/>
    </row>
    <row r="172" spans="1:35" ht="45.75" hidden="1">
      <c r="A172" s="470">
        <v>9544</v>
      </c>
      <c r="B172" s="470" t="s">
        <v>1087</v>
      </c>
      <c r="C172" s="470" t="s">
        <v>1393</v>
      </c>
      <c r="D172" s="479">
        <v>45489</v>
      </c>
      <c r="E172" s="480" t="s">
        <v>1736</v>
      </c>
      <c r="F172" s="480" t="s">
        <v>1737</v>
      </c>
      <c r="G172" s="470" t="s">
        <v>75</v>
      </c>
      <c r="H172" s="470" t="s">
        <v>235</v>
      </c>
      <c r="I172" s="470" t="s">
        <v>55</v>
      </c>
      <c r="J172" s="470"/>
      <c r="K172" s="470" t="s">
        <v>16</v>
      </c>
      <c r="L172" s="481"/>
      <c r="M172" s="481"/>
      <c r="N172" s="479">
        <v>45956</v>
      </c>
      <c r="O172" s="481" t="s">
        <v>1738</v>
      </c>
      <c r="P172" s="481"/>
      <c r="Q172" s="481"/>
      <c r="R172" s="434"/>
      <c r="S172" s="434"/>
      <c r="T172" s="434"/>
      <c r="U172" s="434"/>
      <c r="V172" s="434"/>
      <c r="W172" s="434"/>
      <c r="X172" s="482"/>
      <c r="Y172" s="474"/>
      <c r="Z172" s="474"/>
      <c r="AA172" s="474" t="str">
        <f>_xlfn.XLOOKUP(Backlog[[#This Row],[Estado]],CatEstados[Estado],CatEstados[Fase],"Otro")</f>
        <v>Cerrado</v>
      </c>
      <c r="AB172" s="474"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2" s="483" t="e">
        <f ca="1">IF(OR(#REF!="",NOT(ISNUMBER(Backlog[[#This Row],[Dias_abiertos]]))),"",IF(Backlog[[#This Row],[Dias_abiertos]]&lt;=7,"En plazo",IFERROR(IF(Backlog[[#This Row],[Dias_abiertos]]=_xlfn.XLOOKUP(TRIM(#REF!),CatSLA[Prioridad],CatSLA[SLA_dias],""),"En plazo","Fuera de plazo"),"Sin SLA")))</f>
        <v>#REF!</v>
      </c>
      <c r="AD172" s="248"/>
      <c r="AE172" s="248"/>
      <c r="AF172" s="248"/>
      <c r="AG172" s="248"/>
      <c r="AH172" s="248"/>
      <c r="AI172" s="248"/>
    </row>
    <row r="173" spans="1:35" ht="45.75" hidden="1">
      <c r="A173" s="470">
        <v>10212</v>
      </c>
      <c r="B173" s="470" t="s">
        <v>1087</v>
      </c>
      <c r="C173" s="470" t="s">
        <v>1393</v>
      </c>
      <c r="D173" s="479">
        <v>45632</v>
      </c>
      <c r="E173" s="480" t="s">
        <v>1739</v>
      </c>
      <c r="F173" s="480" t="s">
        <v>1740</v>
      </c>
      <c r="G173" s="470" t="s">
        <v>75</v>
      </c>
      <c r="H173" s="470" t="s">
        <v>235</v>
      </c>
      <c r="I173" s="470" t="s">
        <v>55</v>
      </c>
      <c r="J173" s="470"/>
      <c r="K173" s="470" t="s">
        <v>16</v>
      </c>
      <c r="L173" s="470"/>
      <c r="M173" s="470"/>
      <c r="N173" s="479">
        <v>45937</v>
      </c>
      <c r="O173" s="480"/>
      <c r="P173" s="480"/>
      <c r="Q173" s="480"/>
      <c r="R173" s="469"/>
      <c r="S173" s="469"/>
      <c r="T173" s="469"/>
      <c r="U173" s="469"/>
      <c r="V173" s="469"/>
      <c r="W173" s="469"/>
      <c r="X173" s="482"/>
      <c r="Y173" s="474"/>
      <c r="Z173" s="474"/>
      <c r="AA173" s="474" t="str">
        <f>_xlfn.XLOOKUP(Backlog[[#This Row],[Estado]],CatEstados[Estado],CatEstados[Fase],"Otro")</f>
        <v>Cerrado</v>
      </c>
      <c r="AB173"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3" s="483" t="e">
        <f ca="1">IF(OR(#REF!="",NOT(ISNUMBER(Backlog[[#This Row],[Dias_abiertos]]))),"",IF(Backlog[[#This Row],[Dias_abiertos]]&lt;=7,"En plazo",IFERROR(IF(Backlog[[#This Row],[Dias_abiertos]]=_xlfn.XLOOKUP(TRIM(#REF!),CatSLA[Prioridad],CatSLA[SLA_dias],""),"En plazo","Fuera de plazo"),"Sin SLA")))</f>
        <v>#REF!</v>
      </c>
      <c r="AD173" s="248"/>
      <c r="AE173" s="248"/>
      <c r="AF173" s="248"/>
      <c r="AG173" s="248"/>
      <c r="AH173" s="248"/>
      <c r="AI173" s="248"/>
    </row>
    <row r="174" spans="1:35" ht="45.75" hidden="1">
      <c r="A174" s="470" t="s">
        <v>438</v>
      </c>
      <c r="B174" s="470" t="s">
        <v>1087</v>
      </c>
      <c r="C174" s="470" t="s">
        <v>1503</v>
      </c>
      <c r="D174" s="479">
        <v>45671</v>
      </c>
      <c r="E174" s="480" t="s">
        <v>1741</v>
      </c>
      <c r="F174" s="480"/>
      <c r="G174" s="470" t="s">
        <v>75</v>
      </c>
      <c r="H174" s="470" t="s">
        <v>415</v>
      </c>
      <c r="I174" s="470" t="s">
        <v>55</v>
      </c>
      <c r="J174" s="470"/>
      <c r="K174" s="470" t="s">
        <v>16</v>
      </c>
      <c r="L174" s="481"/>
      <c r="M174" s="481"/>
      <c r="N174" s="484">
        <v>45975</v>
      </c>
      <c r="O174" s="481" t="s">
        <v>1722</v>
      </c>
      <c r="P174" s="481"/>
      <c r="Q174" s="481"/>
      <c r="R174" s="434"/>
      <c r="S174" s="434"/>
      <c r="T174" s="434"/>
      <c r="U174" s="434"/>
      <c r="V174" s="434"/>
      <c r="W174" s="434"/>
      <c r="X174" s="473"/>
      <c r="Y174" s="474"/>
      <c r="Z174" s="474"/>
      <c r="AA174" s="474" t="str">
        <f>_xlfn.XLOOKUP(Backlog[[#This Row],[Estado]],CatEstados[Estado],CatEstados[Fase],"Otro")</f>
        <v>Cerrado</v>
      </c>
      <c r="AB174"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4" s="476" t="e">
        <f ca="1">IF(OR(#REF!="",NOT(ISNUMBER(Backlog[[#This Row],[Dias_abiertos]]))),"",IF(Backlog[[#This Row],[Dias_abiertos]]&lt;=7,"En plazo",IFERROR(IF(Backlog[[#This Row],[Dias_abiertos]]=_xlfn.XLOOKUP(TRIM(#REF!),CatSLA[Prioridad],CatSLA[SLA_dias],""),"En plazo","Fuera de plazo"),"Sin SLA")))</f>
        <v>#REF!</v>
      </c>
      <c r="AD174" s="248"/>
      <c r="AE174" s="248"/>
      <c r="AF174" s="248"/>
      <c r="AG174" s="248"/>
      <c r="AH174" s="248"/>
      <c r="AI174" s="248"/>
    </row>
    <row r="175" spans="1:35" ht="121.5" hidden="1">
      <c r="A175" s="485" t="s">
        <v>1742</v>
      </c>
      <c r="B175" s="485" t="s">
        <v>1087</v>
      </c>
      <c r="C175" s="470" t="s">
        <v>1393</v>
      </c>
      <c r="D175" s="479">
        <v>45789</v>
      </c>
      <c r="E175" s="480" t="s">
        <v>1743</v>
      </c>
      <c r="F175" s="486" t="s">
        <v>1744</v>
      </c>
      <c r="G175" s="470" t="s">
        <v>75</v>
      </c>
      <c r="H175" s="470" t="s">
        <v>235</v>
      </c>
      <c r="I175" s="470" t="s">
        <v>55</v>
      </c>
      <c r="J175" s="470"/>
      <c r="K175" s="470" t="s">
        <v>16</v>
      </c>
      <c r="L175" s="479">
        <v>45968</v>
      </c>
      <c r="M175" s="470"/>
      <c r="N175" s="479">
        <v>45963</v>
      </c>
      <c r="O175" s="470" t="s">
        <v>1745</v>
      </c>
      <c r="P175" s="470"/>
      <c r="Q175" s="470"/>
      <c r="R175" s="434"/>
      <c r="S175" s="434"/>
      <c r="T175" s="434"/>
      <c r="U175" s="434"/>
      <c r="V175" s="434"/>
      <c r="W175" s="434"/>
      <c r="X175" s="473"/>
      <c r="Y175" s="474"/>
      <c r="Z175" s="474"/>
      <c r="AA175" s="474" t="str">
        <f>_xlfn.XLOOKUP(Backlog[[#This Row],[Estado]],CatEstados[Estado],CatEstados[Fase],"Otro")</f>
        <v>Cerrado</v>
      </c>
      <c r="AB175"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5" s="476" t="e">
        <f ca="1">IF(OR(#REF!="",NOT(ISNUMBER(Backlog[[#This Row],[Dias_abiertos]]))),"",IF(Backlog[[#This Row],[Dias_abiertos]]&lt;=7,"En plazo",IFERROR(IF(Backlog[[#This Row],[Dias_abiertos]]=_xlfn.XLOOKUP(TRIM(#REF!),CatSLA[Prioridad],CatSLA[SLA_dias],""),"En plazo","Fuera de plazo"),"Sin SLA")))</f>
        <v>#REF!</v>
      </c>
      <c r="AD175" s="248"/>
      <c r="AE175" s="248"/>
      <c r="AF175" s="248"/>
      <c r="AG175" s="248"/>
      <c r="AH175" s="248"/>
      <c r="AI175" s="248"/>
    </row>
    <row r="176" spans="1:35" ht="45.75" hidden="1">
      <c r="A176" s="487" t="s">
        <v>1746</v>
      </c>
      <c r="B176" s="487" t="s">
        <v>1087</v>
      </c>
      <c r="C176" s="470" t="s">
        <v>1127</v>
      </c>
      <c r="D176" s="479">
        <v>45790</v>
      </c>
      <c r="E176" s="481" t="s">
        <v>1747</v>
      </c>
      <c r="F176" s="481" t="s">
        <v>1748</v>
      </c>
      <c r="G176" s="470" t="s">
        <v>225</v>
      </c>
      <c r="H176" s="470" t="s">
        <v>415</v>
      </c>
      <c r="I176" s="470" t="s">
        <v>55</v>
      </c>
      <c r="J176" s="470"/>
      <c r="K176" s="470" t="s">
        <v>16</v>
      </c>
      <c r="L176" s="481"/>
      <c r="M176" s="481"/>
      <c r="N176" s="481"/>
      <c r="O176" s="481"/>
      <c r="P176" s="481"/>
      <c r="Q176" s="481"/>
      <c r="R176" s="434"/>
      <c r="S176" s="434"/>
      <c r="T176" s="434"/>
      <c r="U176" s="434"/>
      <c r="V176" s="434"/>
      <c r="W176" s="434"/>
      <c r="X176" s="473"/>
      <c r="Y176" s="474"/>
      <c r="Z176" s="474"/>
      <c r="AA176" s="474" t="str">
        <f>_xlfn.XLOOKUP(Backlog[[#This Row],[Estado]],CatEstados[Estado],CatEstados[Fase],"Otro")</f>
        <v>Cerrado</v>
      </c>
      <c r="AB176"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6" s="476" t="e">
        <f ca="1">IF(OR(#REF!="",NOT(ISNUMBER(Backlog[[#This Row],[Dias_abiertos]]))),"",IF(Backlog[[#This Row],[Dias_abiertos]]&lt;=7,"En plazo",IFERROR(IF(Backlog[[#This Row],[Dias_abiertos]]=_xlfn.XLOOKUP(TRIM(#REF!),CatSLA[Prioridad],CatSLA[SLA_dias],""),"En plazo","Fuera de plazo"),"Sin SLA")))</f>
        <v>#REF!</v>
      </c>
      <c r="AD176" s="248"/>
      <c r="AE176" s="248"/>
      <c r="AF176" s="248"/>
      <c r="AG176" s="248"/>
      <c r="AH176" s="248"/>
      <c r="AI176" s="248"/>
    </row>
    <row r="177" spans="1:36" s="382" customFormat="1" ht="60.75" hidden="1">
      <c r="A177" s="488" t="s">
        <v>1749</v>
      </c>
      <c r="B177" s="478" t="s">
        <v>1087</v>
      </c>
      <c r="C177" s="470" t="s">
        <v>1127</v>
      </c>
      <c r="D177" s="479">
        <v>45796</v>
      </c>
      <c r="E177" s="480" t="s">
        <v>1750</v>
      </c>
      <c r="F177" s="480" t="s">
        <v>1751</v>
      </c>
      <c r="G177" s="470" t="s">
        <v>225</v>
      </c>
      <c r="H177" s="470" t="s">
        <v>235</v>
      </c>
      <c r="I177" s="470" t="s">
        <v>1125</v>
      </c>
      <c r="J177" s="470"/>
      <c r="K177" s="470" t="s">
        <v>16</v>
      </c>
      <c r="L177" s="470"/>
      <c r="M177" s="470"/>
      <c r="N177" s="479">
        <v>46008</v>
      </c>
      <c r="O177" s="470" t="s">
        <v>1752</v>
      </c>
      <c r="P177" s="470" t="s">
        <v>1753</v>
      </c>
      <c r="Q177" s="470"/>
      <c r="R177" s="434"/>
      <c r="S177" s="434"/>
      <c r="T177" s="434"/>
      <c r="U177" s="434"/>
      <c r="V177" s="434"/>
      <c r="W177" s="434"/>
      <c r="X177" s="473"/>
      <c r="Y177" s="474"/>
      <c r="Z177" s="474"/>
      <c r="AA177" s="474" t="str">
        <f>_xlfn.XLOOKUP(Backlog[[#This Row],[Estado]],CatEstados[Estado],CatEstados[Fase],"Otro")</f>
        <v>Cerrado</v>
      </c>
      <c r="AB177"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7" s="476" t="e">
        <f ca="1">IF(OR(#REF!="",NOT(ISNUMBER(Backlog[[#This Row],[Dias_abiertos]]))),"",IF(Backlog[[#This Row],[Dias_abiertos]]&lt;=7,"En plazo",IFERROR(IF(Backlog[[#This Row],[Dias_abiertos]]=_xlfn.XLOOKUP(TRIM(#REF!),CatSLA[Prioridad],CatSLA[SLA_dias],""),"En plazo","Fuera de plazo"),"Sin SLA")))</f>
        <v>#REF!</v>
      </c>
    </row>
    <row r="178" spans="1:36" ht="106.5" hidden="1">
      <c r="A178" s="488" t="s">
        <v>1754</v>
      </c>
      <c r="B178" s="488" t="s">
        <v>1087</v>
      </c>
      <c r="C178" s="470" t="s">
        <v>1393</v>
      </c>
      <c r="D178" s="479">
        <v>45796</v>
      </c>
      <c r="E178" s="480" t="s">
        <v>1755</v>
      </c>
      <c r="F178" s="480" t="s">
        <v>1756</v>
      </c>
      <c r="G178" s="470" t="s">
        <v>225</v>
      </c>
      <c r="H178" s="470" t="s">
        <v>415</v>
      </c>
      <c r="I178" s="470" t="s">
        <v>55</v>
      </c>
      <c r="J178" s="470"/>
      <c r="K178" s="470" t="s">
        <v>16</v>
      </c>
      <c r="L178" s="470"/>
      <c r="M178" s="479"/>
      <c r="N178" s="479">
        <v>45957</v>
      </c>
      <c r="O178" s="480"/>
      <c r="P178" s="480"/>
      <c r="Q178" s="480"/>
      <c r="R178" s="469"/>
      <c r="S178" s="469"/>
      <c r="T178" s="469"/>
      <c r="U178" s="469"/>
      <c r="V178" s="469"/>
      <c r="W178" s="469"/>
      <c r="X178" s="473"/>
      <c r="Y178" s="474"/>
      <c r="Z178" s="474"/>
      <c r="AA178" s="474" t="str">
        <f>_xlfn.XLOOKUP(Backlog[[#This Row],[Estado]],CatEstados[Estado],CatEstados[Fase],"Otro")</f>
        <v>Cerrado</v>
      </c>
      <c r="AB178"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8" s="476" t="e">
        <f ca="1">IF(OR(#REF!="",NOT(ISNUMBER(Backlog[[#This Row],[Dias_abiertos]]))),"",IF(Backlog[[#This Row],[Dias_abiertos]]&lt;=7,"En plazo",IFERROR(IF(Backlog[[#This Row],[Dias_abiertos]]=_xlfn.XLOOKUP(TRIM(#REF!),CatSLA[Prioridad],CatSLA[SLA_dias],""),"En plazo","Fuera de plazo"),"Sin SLA")))</f>
        <v>#REF!</v>
      </c>
      <c r="AD178" s="248"/>
      <c r="AE178" s="248"/>
      <c r="AF178" s="248"/>
      <c r="AG178" s="248"/>
      <c r="AH178" s="248"/>
      <c r="AI178" s="248"/>
    </row>
    <row r="179" spans="1:36" ht="60.75" hidden="1">
      <c r="A179" s="487" t="s">
        <v>1757</v>
      </c>
      <c r="B179" s="487" t="s">
        <v>1087</v>
      </c>
      <c r="C179" s="470" t="s">
        <v>1393</v>
      </c>
      <c r="D179" s="479">
        <v>45797</v>
      </c>
      <c r="E179" s="480" t="s">
        <v>1758</v>
      </c>
      <c r="F179" s="480" t="s">
        <v>1759</v>
      </c>
      <c r="G179" s="470" t="s">
        <v>225</v>
      </c>
      <c r="H179" s="470" t="s">
        <v>415</v>
      </c>
      <c r="I179" s="470" t="s">
        <v>55</v>
      </c>
      <c r="J179" s="470"/>
      <c r="K179" s="470" t="s">
        <v>16</v>
      </c>
      <c r="L179" s="470"/>
      <c r="M179" s="470"/>
      <c r="N179" s="479">
        <v>45957</v>
      </c>
      <c r="O179" s="481"/>
      <c r="P179" s="481"/>
      <c r="Q179" s="481"/>
      <c r="R179" s="434"/>
      <c r="S179" s="434"/>
      <c r="T179" s="434"/>
      <c r="U179" s="434"/>
      <c r="V179" s="434"/>
      <c r="W179" s="434"/>
      <c r="X179" s="473"/>
      <c r="Y179" s="474"/>
      <c r="Z179" s="474"/>
      <c r="AA179" s="474" t="str">
        <f>_xlfn.XLOOKUP(Backlog[[#This Row],[Estado]],CatEstados[Estado],CatEstados[Fase],"Otro")</f>
        <v>Cerrado</v>
      </c>
      <c r="AB179"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79" s="476" t="e">
        <f ca="1">IF(OR(#REF!="",NOT(ISNUMBER(Backlog[[#This Row],[Dias_abiertos]]))),"",IF(Backlog[[#This Row],[Dias_abiertos]]&lt;=7,"En plazo",IFERROR(IF(Backlog[[#This Row],[Dias_abiertos]]=_xlfn.XLOOKUP(TRIM(#REF!),CatSLA[Prioridad],CatSLA[SLA_dias],""),"En plazo","Fuera de plazo"),"Sin SLA")))</f>
        <v>#REF!</v>
      </c>
      <c r="AD179" s="248"/>
      <c r="AE179" s="248"/>
      <c r="AF179" s="248"/>
      <c r="AG179" s="248"/>
      <c r="AH179" s="248"/>
      <c r="AI179" s="248"/>
    </row>
    <row r="180" spans="1:36" ht="60.75" hidden="1">
      <c r="A180" s="487" t="s">
        <v>1760</v>
      </c>
      <c r="B180" s="487" t="s">
        <v>1087</v>
      </c>
      <c r="C180" s="470" t="s">
        <v>1127</v>
      </c>
      <c r="D180" s="479">
        <v>45805</v>
      </c>
      <c r="E180" s="480" t="s">
        <v>1761</v>
      </c>
      <c r="F180" s="480" t="s">
        <v>1762</v>
      </c>
      <c r="G180" s="470" t="s">
        <v>225</v>
      </c>
      <c r="H180" s="470" t="s">
        <v>235</v>
      </c>
      <c r="I180" s="470" t="s">
        <v>55</v>
      </c>
      <c r="J180" s="470"/>
      <c r="K180" s="470" t="s">
        <v>16</v>
      </c>
      <c r="L180" s="479">
        <v>45967</v>
      </c>
      <c r="M180" s="479"/>
      <c r="N180" s="479">
        <v>45967</v>
      </c>
      <c r="O180" s="470" t="s">
        <v>1763</v>
      </c>
      <c r="P180" s="470"/>
      <c r="Q180" s="470"/>
      <c r="R180" s="434">
        <v>1</v>
      </c>
      <c r="S180" s="434">
        <v>1</v>
      </c>
      <c r="T180" s="434"/>
      <c r="U180" s="434">
        <v>1</v>
      </c>
      <c r="V180" s="434"/>
      <c r="W180" s="434"/>
      <c r="X180" s="473"/>
      <c r="Y180" s="474"/>
      <c r="Z180" s="474"/>
      <c r="AA180" s="474" t="str">
        <f>_xlfn.XLOOKUP(Backlog[[#This Row],[Estado]],CatEstados[Estado],CatEstados[Fase],"Otro")</f>
        <v>Cerrado</v>
      </c>
      <c r="AB180"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0" s="476" t="e">
        <f ca="1">IF(OR(#REF!="",NOT(ISNUMBER(Backlog[[#This Row],[Dias_abiertos]]))),"",IF(Backlog[[#This Row],[Dias_abiertos]]&lt;=7,"En plazo",IFERROR(IF(Backlog[[#This Row],[Dias_abiertos]]=_xlfn.XLOOKUP(TRIM(#REF!),CatSLA[Prioridad],CatSLA[SLA_dias],""),"En plazo","Fuera de plazo"),"Sin SLA")))</f>
        <v>#REF!</v>
      </c>
      <c r="AD180" s="248"/>
      <c r="AE180" s="248"/>
      <c r="AF180" s="248"/>
      <c r="AG180" s="248"/>
      <c r="AH180" s="248"/>
      <c r="AI180" s="248"/>
      <c r="AJ180" s="203" t="s">
        <v>1421</v>
      </c>
    </row>
    <row r="181" spans="1:36" ht="91.5" hidden="1">
      <c r="A181" s="488" t="s">
        <v>1764</v>
      </c>
      <c r="B181" s="488" t="s">
        <v>1087</v>
      </c>
      <c r="C181" s="470" t="s">
        <v>1127</v>
      </c>
      <c r="D181" s="479">
        <v>45806</v>
      </c>
      <c r="E181" s="489" t="s">
        <v>1765</v>
      </c>
      <c r="F181" s="481" t="s">
        <v>1766</v>
      </c>
      <c r="G181" s="470" t="s">
        <v>225</v>
      </c>
      <c r="H181" s="470" t="s">
        <v>235</v>
      </c>
      <c r="I181" s="470" t="s">
        <v>55</v>
      </c>
      <c r="J181" s="470"/>
      <c r="K181" s="470" t="s">
        <v>16</v>
      </c>
      <c r="L181" s="479">
        <v>45971</v>
      </c>
      <c r="M181" s="481"/>
      <c r="N181" s="484">
        <v>45972</v>
      </c>
      <c r="O181" s="470" t="s">
        <v>1767</v>
      </c>
      <c r="P181" s="481"/>
      <c r="Q181" s="481"/>
      <c r="R181" s="434"/>
      <c r="S181" s="434"/>
      <c r="T181" s="434"/>
      <c r="U181" s="434"/>
      <c r="V181" s="434"/>
      <c r="W181" s="434"/>
      <c r="X181" s="473"/>
      <c r="Y181" s="474"/>
      <c r="Z181" s="474"/>
      <c r="AA181" s="474" t="str">
        <f>_xlfn.XLOOKUP(Backlog[[#This Row],[Estado]],CatEstados[Estado],CatEstados[Fase],"Otro")</f>
        <v>Cerrado</v>
      </c>
      <c r="AB181"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1" s="476" t="e">
        <f ca="1">IF(OR(#REF!="",NOT(ISNUMBER(Backlog[[#This Row],[Dias_abiertos]]))),"",IF(Backlog[[#This Row],[Dias_abiertos]]&lt;=7,"En plazo",IFERROR(IF(Backlog[[#This Row],[Dias_abiertos]]=_xlfn.XLOOKUP(TRIM(#REF!),CatSLA[Prioridad],CatSLA[SLA_dias],""),"En plazo","Fuera de plazo"),"Sin SLA")))</f>
        <v>#REF!</v>
      </c>
      <c r="AD181" s="248"/>
      <c r="AE181" s="248"/>
      <c r="AF181" s="248"/>
      <c r="AG181" s="248"/>
      <c r="AH181" s="248"/>
      <c r="AI181" s="248"/>
    </row>
    <row r="182" spans="1:36" ht="60.75" hidden="1">
      <c r="A182" s="490" t="s">
        <v>1768</v>
      </c>
      <c r="B182" s="490" t="s">
        <v>1087</v>
      </c>
      <c r="C182" s="434" t="s">
        <v>1127</v>
      </c>
      <c r="D182" s="491">
        <v>45817</v>
      </c>
      <c r="E182" s="469" t="s">
        <v>1769</v>
      </c>
      <c r="F182" s="469" t="s">
        <v>1770</v>
      </c>
      <c r="G182" s="434" t="s">
        <v>225</v>
      </c>
      <c r="H182" s="434" t="s">
        <v>1163</v>
      </c>
      <c r="I182" s="470" t="s">
        <v>55</v>
      </c>
      <c r="J182" s="434"/>
      <c r="K182" s="434" t="s">
        <v>16</v>
      </c>
      <c r="L182" s="434"/>
      <c r="M182" s="434"/>
      <c r="N182" s="467">
        <v>45945</v>
      </c>
      <c r="O182" s="469"/>
      <c r="P182" s="469"/>
      <c r="Q182" s="469"/>
      <c r="R182" s="469"/>
      <c r="S182" s="469"/>
      <c r="T182" s="469"/>
      <c r="U182" s="469"/>
      <c r="V182" s="469"/>
      <c r="W182" s="469"/>
      <c r="X182" s="473"/>
      <c r="Y182" s="474"/>
      <c r="Z182" s="474"/>
      <c r="AA182" s="474" t="str">
        <f>_xlfn.XLOOKUP(Backlog[[#This Row],[Estado]],CatEstados[Estado],CatEstados[Fase],"Otro")</f>
        <v>Cerrado</v>
      </c>
      <c r="AB182"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2" s="476" t="e">
        <f ca="1">IF(OR(#REF!="",NOT(ISNUMBER(Backlog[[#This Row],[Dias_abiertos]]))),"",IF(Backlog[[#This Row],[Dias_abiertos]]&lt;=7,"En plazo",IFERROR(IF(Backlog[[#This Row],[Dias_abiertos]]=_xlfn.XLOOKUP(TRIM(#REF!),CatSLA[Prioridad],CatSLA[SLA_dias],""),"En plazo","Fuera de plazo"),"Sin SLA")))</f>
        <v>#REF!</v>
      </c>
      <c r="AD182" s="248"/>
      <c r="AE182" s="248"/>
      <c r="AF182" s="248"/>
      <c r="AG182" s="248"/>
      <c r="AH182" s="248"/>
      <c r="AI182" s="248"/>
    </row>
    <row r="183" spans="1:36" ht="45.75" hidden="1">
      <c r="A183" s="492" t="s">
        <v>1771</v>
      </c>
      <c r="B183" s="493" t="s">
        <v>1088</v>
      </c>
      <c r="C183" s="434" t="s">
        <v>1393</v>
      </c>
      <c r="D183" s="491">
        <v>45821</v>
      </c>
      <c r="E183" s="469" t="s">
        <v>1772</v>
      </c>
      <c r="F183" s="472" t="s">
        <v>1773</v>
      </c>
      <c r="G183" s="434" t="s">
        <v>225</v>
      </c>
      <c r="H183" s="434" t="s">
        <v>235</v>
      </c>
      <c r="I183" s="470" t="s">
        <v>55</v>
      </c>
      <c r="J183" s="434"/>
      <c r="K183" s="434" t="s">
        <v>16</v>
      </c>
      <c r="L183" s="474"/>
      <c r="M183" s="474"/>
      <c r="N183" s="474"/>
      <c r="O183" s="474"/>
      <c r="P183" s="474"/>
      <c r="Q183" s="474"/>
      <c r="R183" s="434"/>
      <c r="S183" s="434"/>
      <c r="T183" s="434"/>
      <c r="U183" s="434"/>
      <c r="V183" s="434"/>
      <c r="W183" s="434"/>
      <c r="X183" s="473"/>
      <c r="Y183" s="474"/>
      <c r="Z183" s="474"/>
      <c r="AA183" s="474" t="str">
        <f>_xlfn.XLOOKUP(Backlog[[#This Row],[Estado]],CatEstados[Estado],CatEstados[Fase],"Otro")</f>
        <v>Cerrado</v>
      </c>
      <c r="AB183"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3" s="476" t="e">
        <f ca="1">IF(OR(#REF!="",NOT(ISNUMBER(Backlog[[#This Row],[Dias_abiertos]]))),"",IF(Backlog[[#This Row],[Dias_abiertos]]&lt;=7,"En plazo",IFERROR(IF(Backlog[[#This Row],[Dias_abiertos]]=_xlfn.XLOOKUP(TRIM(#REF!),CatSLA[Prioridad],CatSLA[SLA_dias],""),"En plazo","Fuera de plazo"),"Sin SLA")))</f>
        <v>#REF!</v>
      </c>
      <c r="AD183" s="248"/>
      <c r="AE183" s="248"/>
      <c r="AF183" s="248"/>
      <c r="AG183" s="248"/>
      <c r="AH183" s="248"/>
      <c r="AI183" s="248"/>
    </row>
    <row r="184" spans="1:36" ht="60.75" hidden="1">
      <c r="A184" s="487" t="s">
        <v>1774</v>
      </c>
      <c r="B184" s="487" t="s">
        <v>1087</v>
      </c>
      <c r="C184" s="434" t="s">
        <v>1393</v>
      </c>
      <c r="D184" s="467">
        <v>45832</v>
      </c>
      <c r="E184" s="469" t="s">
        <v>1775</v>
      </c>
      <c r="F184" s="469" t="s">
        <v>1776</v>
      </c>
      <c r="G184" s="434" t="s">
        <v>767</v>
      </c>
      <c r="H184" s="434" t="s">
        <v>1777</v>
      </c>
      <c r="I184" s="470" t="s">
        <v>55</v>
      </c>
      <c r="J184" s="434"/>
      <c r="K184" s="434" t="s">
        <v>16</v>
      </c>
      <c r="L184" s="474"/>
      <c r="M184" s="474"/>
      <c r="N184" s="494">
        <v>45975</v>
      </c>
      <c r="O184" s="474" t="s">
        <v>1722</v>
      </c>
      <c r="P184" s="474"/>
      <c r="Q184" s="474"/>
      <c r="R184" s="434"/>
      <c r="S184" s="434"/>
      <c r="T184" s="434"/>
      <c r="U184" s="434"/>
      <c r="V184" s="434"/>
      <c r="W184" s="434"/>
      <c r="X184" s="473"/>
      <c r="Y184" s="474"/>
      <c r="Z184" s="474"/>
      <c r="AA184" s="474" t="str">
        <f>_xlfn.XLOOKUP(Backlog[[#This Row],[Estado]],CatEstados[Estado],CatEstados[Fase],"Otro")</f>
        <v>Cerrado</v>
      </c>
      <c r="AB184"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4" s="476" t="e">
        <f ca="1">IF(OR(#REF!="",NOT(ISNUMBER(Backlog[[#This Row],[Dias_abiertos]]))),"",IF(Backlog[[#This Row],[Dias_abiertos]]&lt;=7,"En plazo",IFERROR(IF(Backlog[[#This Row],[Dias_abiertos]]=_xlfn.XLOOKUP(TRIM(#REF!),CatSLA[Prioridad],CatSLA[SLA_dias],""),"En plazo","Fuera de plazo"),"Sin SLA")))</f>
        <v>#REF!</v>
      </c>
      <c r="AD184" s="248"/>
      <c r="AE184" s="248"/>
      <c r="AF184" s="248"/>
      <c r="AG184" s="248"/>
      <c r="AH184" s="248"/>
      <c r="AI184" s="248"/>
    </row>
    <row r="185" spans="1:36" ht="45.75" hidden="1">
      <c r="A185" s="495" t="s">
        <v>1778</v>
      </c>
      <c r="B185" s="493" t="s">
        <v>1088</v>
      </c>
      <c r="C185" s="434" t="s">
        <v>1393</v>
      </c>
      <c r="D185" s="467">
        <v>45840</v>
      </c>
      <c r="E185" s="474" t="s">
        <v>1779</v>
      </c>
      <c r="F185" s="474" t="s">
        <v>1780</v>
      </c>
      <c r="G185" s="434" t="s">
        <v>225</v>
      </c>
      <c r="H185" s="434" t="s">
        <v>235</v>
      </c>
      <c r="I185" s="470" t="s">
        <v>55</v>
      </c>
      <c r="J185" s="434"/>
      <c r="K185" s="434" t="s">
        <v>16</v>
      </c>
      <c r="L185" s="474"/>
      <c r="M185" s="496"/>
      <c r="N185" s="474"/>
      <c r="O185" s="474"/>
      <c r="P185" s="474"/>
      <c r="Q185" s="474"/>
      <c r="R185" s="434"/>
      <c r="S185" s="434"/>
      <c r="T185" s="434"/>
      <c r="U185" s="434"/>
      <c r="V185" s="434"/>
      <c r="W185" s="434"/>
      <c r="X185" s="473"/>
      <c r="Y185" s="474"/>
      <c r="Z185" s="474"/>
      <c r="AA185" s="474" t="str">
        <f>_xlfn.XLOOKUP(Backlog[[#This Row],[Estado]],CatEstados[Estado],CatEstados[Fase],"Otro")</f>
        <v>Cerrado</v>
      </c>
      <c r="AB185"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5" s="476" t="e">
        <f ca="1">IF(OR(#REF!="",NOT(ISNUMBER(Backlog[[#This Row],[Dias_abiertos]]))),"",IF(Backlog[[#This Row],[Dias_abiertos]]&lt;=7,"En plazo",IFERROR(IF(Backlog[[#This Row],[Dias_abiertos]]=_xlfn.XLOOKUP(TRIM(#REF!),CatSLA[Prioridad],CatSLA[SLA_dias],""),"En plazo","Fuera de plazo"),"Sin SLA")))</f>
        <v>#REF!</v>
      </c>
      <c r="AD185" s="248"/>
      <c r="AE185" s="248"/>
      <c r="AF185" s="248"/>
      <c r="AG185" s="248"/>
      <c r="AH185" s="248"/>
      <c r="AI185" s="248"/>
    </row>
    <row r="186" spans="1:36" ht="45.75" hidden="1">
      <c r="A186" s="487" t="s">
        <v>1781</v>
      </c>
      <c r="B186" s="487" t="s">
        <v>1087</v>
      </c>
      <c r="C186" s="434" t="s">
        <v>1393</v>
      </c>
      <c r="D186" s="467">
        <v>45848</v>
      </c>
      <c r="E186" s="472" t="s">
        <v>1782</v>
      </c>
      <c r="F186" s="472" t="s">
        <v>1783</v>
      </c>
      <c r="G186" s="434" t="s">
        <v>75</v>
      </c>
      <c r="H186" s="434" t="s">
        <v>415</v>
      </c>
      <c r="I186" s="470" t="s">
        <v>55</v>
      </c>
      <c r="J186" s="434"/>
      <c r="K186" s="434" t="s">
        <v>16</v>
      </c>
      <c r="L186" s="474"/>
      <c r="M186" s="496"/>
      <c r="N186" s="494">
        <v>45975</v>
      </c>
      <c r="O186" s="497" t="s">
        <v>1722</v>
      </c>
      <c r="P186" s="474"/>
      <c r="Q186" s="474"/>
      <c r="R186" s="434"/>
      <c r="S186" s="434"/>
      <c r="T186" s="434"/>
      <c r="U186" s="434"/>
      <c r="V186" s="434"/>
      <c r="W186" s="434"/>
      <c r="X186" s="473"/>
      <c r="Y186" s="474"/>
      <c r="Z186" s="474"/>
      <c r="AA186" s="474" t="str">
        <f>_xlfn.XLOOKUP(Backlog[[#This Row],[Estado]],CatEstados[Estado],CatEstados[Fase],"Otro")</f>
        <v>Cerrado</v>
      </c>
      <c r="AB186"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6" s="476" t="e">
        <f ca="1">IF(OR(#REF!="",NOT(ISNUMBER(Backlog[[#This Row],[Dias_abiertos]]))),"",IF(Backlog[[#This Row],[Dias_abiertos]]&lt;=7,"En plazo",IFERROR(IF(Backlog[[#This Row],[Dias_abiertos]]=_xlfn.XLOOKUP(TRIM(#REF!),CatSLA[Prioridad],CatSLA[SLA_dias],""),"En plazo","Fuera de plazo"),"Sin SLA")))</f>
        <v>#REF!</v>
      </c>
      <c r="AD186" s="248"/>
      <c r="AE186" s="248"/>
      <c r="AF186" s="248"/>
      <c r="AG186" s="248"/>
      <c r="AH186" s="248"/>
      <c r="AI186" s="248"/>
    </row>
    <row r="187" spans="1:36" ht="45.75" hidden="1">
      <c r="A187" s="487" t="s">
        <v>1784</v>
      </c>
      <c r="B187" s="487" t="s">
        <v>1087</v>
      </c>
      <c r="C187" s="434" t="s">
        <v>1393</v>
      </c>
      <c r="D187" s="467">
        <v>45848</v>
      </c>
      <c r="E187" s="472" t="s">
        <v>1785</v>
      </c>
      <c r="F187" s="472" t="s">
        <v>1786</v>
      </c>
      <c r="G187" s="434" t="s">
        <v>75</v>
      </c>
      <c r="H187" s="434" t="s">
        <v>415</v>
      </c>
      <c r="I187" s="470" t="s">
        <v>55</v>
      </c>
      <c r="J187" s="434"/>
      <c r="K187" s="434" t="s">
        <v>16</v>
      </c>
      <c r="L187" s="474"/>
      <c r="M187" s="496"/>
      <c r="N187" s="494">
        <v>45975</v>
      </c>
      <c r="O187" s="497"/>
      <c r="P187" s="474"/>
      <c r="Q187" s="524"/>
      <c r="R187" s="434"/>
      <c r="S187" s="434"/>
      <c r="T187" s="434"/>
      <c r="U187" s="434"/>
      <c r="V187" s="434"/>
      <c r="W187" s="434"/>
      <c r="X187" s="473"/>
      <c r="Y187" s="474"/>
      <c r="Z187" s="474"/>
      <c r="AA187" s="474" t="str">
        <f>_xlfn.XLOOKUP(Backlog[[#This Row],[Estado]],CatEstados[Estado],CatEstados[Fase],"Otro")</f>
        <v>Cerrado</v>
      </c>
      <c r="AB187"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7" s="476" t="e">
        <f ca="1">IF(OR(#REF!="",NOT(ISNUMBER(Backlog[[#This Row],[Dias_abiertos]]))),"",IF(Backlog[[#This Row],[Dias_abiertos]]&lt;=7,"En plazo",IFERROR(IF(Backlog[[#This Row],[Dias_abiertos]]=_xlfn.XLOOKUP(TRIM(#REF!),CatSLA[Prioridad],CatSLA[SLA_dias],""),"En plazo","Fuera de plazo"),"Sin SLA")))</f>
        <v>#REF!</v>
      </c>
      <c r="AD187" s="248"/>
      <c r="AE187" s="248"/>
      <c r="AF187" s="248"/>
      <c r="AG187" s="248"/>
      <c r="AH187" s="248"/>
      <c r="AI187" s="248"/>
    </row>
    <row r="188" spans="1:36" ht="213.75" hidden="1" customHeight="1">
      <c r="A188" s="487" t="s">
        <v>1787</v>
      </c>
      <c r="B188" s="487" t="s">
        <v>1087</v>
      </c>
      <c r="C188" s="434" t="s">
        <v>1503</v>
      </c>
      <c r="D188" s="467">
        <v>45849</v>
      </c>
      <c r="E188" s="472" t="s">
        <v>1788</v>
      </c>
      <c r="F188" s="472" t="s">
        <v>1789</v>
      </c>
      <c r="G188" s="434" t="s">
        <v>75</v>
      </c>
      <c r="H188" s="434" t="s">
        <v>415</v>
      </c>
      <c r="I188" s="470" t="s">
        <v>55</v>
      </c>
      <c r="J188" s="434"/>
      <c r="K188" s="434" t="s">
        <v>16</v>
      </c>
      <c r="L188" s="474"/>
      <c r="M188" s="496"/>
      <c r="N188" s="494">
        <v>45975</v>
      </c>
      <c r="O188" s="497" t="s">
        <v>1722</v>
      </c>
      <c r="P188" s="474"/>
      <c r="Q188" s="474"/>
      <c r="R188" s="434"/>
      <c r="S188" s="434"/>
      <c r="T188" s="434"/>
      <c r="U188" s="434"/>
      <c r="V188" s="434"/>
      <c r="W188" s="434"/>
      <c r="X188" s="473"/>
      <c r="Y188" s="474"/>
      <c r="Z188" s="474"/>
      <c r="AA188" s="474" t="str">
        <f>_xlfn.XLOOKUP(Backlog[[#This Row],[Estado]],CatEstados[Estado],CatEstados[Fase],"Otro")</f>
        <v>Cerrado</v>
      </c>
      <c r="AB188"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8" s="476" t="e">
        <f ca="1">IF(OR(#REF!="",NOT(ISNUMBER(Backlog[[#This Row],[Dias_abiertos]]))),"",IF(Backlog[[#This Row],[Dias_abiertos]]&lt;=7,"En plazo",IFERROR(IF(Backlog[[#This Row],[Dias_abiertos]]=_xlfn.XLOOKUP(TRIM(#REF!),CatSLA[Prioridad],CatSLA[SLA_dias],""),"En plazo","Fuera de plazo"),"Sin SLA")))</f>
        <v>#REF!</v>
      </c>
      <c r="AD188" s="248"/>
      <c r="AE188" s="248"/>
      <c r="AF188" s="248"/>
      <c r="AG188" s="248"/>
      <c r="AH188" s="248"/>
      <c r="AI188" s="248"/>
    </row>
    <row r="189" spans="1:36" ht="68.25" hidden="1" customHeight="1">
      <c r="A189" s="490" t="s">
        <v>1790</v>
      </c>
      <c r="B189" s="493" t="s">
        <v>1088</v>
      </c>
      <c r="C189" s="434" t="s">
        <v>1393</v>
      </c>
      <c r="D189" s="467">
        <v>45880</v>
      </c>
      <c r="E189" s="468" t="s">
        <v>1791</v>
      </c>
      <c r="F189" s="468" t="s">
        <v>1792</v>
      </c>
      <c r="G189" s="434" t="s">
        <v>225</v>
      </c>
      <c r="H189" s="434" t="s">
        <v>986</v>
      </c>
      <c r="I189" s="470" t="s">
        <v>55</v>
      </c>
      <c r="J189" s="434"/>
      <c r="K189" s="434" t="s">
        <v>16</v>
      </c>
      <c r="L189" s="434"/>
      <c r="M189" s="498"/>
      <c r="N189" s="467"/>
      <c r="O189" s="469"/>
      <c r="P189" s="469"/>
      <c r="Q189" s="469"/>
      <c r="R189" s="434"/>
      <c r="S189" s="434"/>
      <c r="T189" s="434"/>
      <c r="U189" s="434"/>
      <c r="V189" s="434"/>
      <c r="W189" s="434"/>
      <c r="X189" s="473"/>
      <c r="Y189" s="474"/>
      <c r="Z189" s="474"/>
      <c r="AA189" s="474" t="str">
        <f>_xlfn.XLOOKUP(Backlog[[#This Row],[Estado]],CatEstados[Estado],CatEstados[Fase],"Otro")</f>
        <v>Cerrado</v>
      </c>
      <c r="AB189"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89" s="476" t="e">
        <f ca="1">IF(OR(#REF!="",NOT(ISNUMBER(Backlog[[#This Row],[Dias_abiertos]]))),"",IF(Backlog[[#This Row],[Dias_abiertos]]&lt;=7,"En plazo",IFERROR(IF(Backlog[[#This Row],[Dias_abiertos]]=_xlfn.XLOOKUP(TRIM(#REF!),CatSLA[Prioridad],CatSLA[SLA_dias],""),"En plazo","Fuera de plazo"),"Sin SLA")))</f>
        <v>#REF!</v>
      </c>
      <c r="AD189" s="248"/>
      <c r="AE189" s="248"/>
      <c r="AF189" s="248"/>
      <c r="AG189" s="248"/>
      <c r="AH189" s="248"/>
      <c r="AI189" s="248"/>
    </row>
    <row r="190" spans="1:36" ht="60.75" hidden="1">
      <c r="A190" s="487" t="s">
        <v>1793</v>
      </c>
      <c r="B190" s="487" t="s">
        <v>1087</v>
      </c>
      <c r="C190" s="434" t="s">
        <v>1393</v>
      </c>
      <c r="D190" s="467">
        <v>45894</v>
      </c>
      <c r="E190" s="472" t="s">
        <v>1794</v>
      </c>
      <c r="F190" s="472" t="s">
        <v>1795</v>
      </c>
      <c r="G190" s="434" t="s">
        <v>767</v>
      </c>
      <c r="H190" s="434" t="s">
        <v>235</v>
      </c>
      <c r="I190" s="470" t="s">
        <v>55</v>
      </c>
      <c r="J190" s="434"/>
      <c r="K190" s="434" t="s">
        <v>16</v>
      </c>
      <c r="L190" s="474"/>
      <c r="M190" s="496"/>
      <c r="N190" s="494">
        <v>45903</v>
      </c>
      <c r="O190" s="497" t="s">
        <v>1796</v>
      </c>
      <c r="P190" s="474"/>
      <c r="Q190" s="474"/>
      <c r="R190" s="434"/>
      <c r="S190" s="434"/>
      <c r="T190" s="434"/>
      <c r="U190" s="434"/>
      <c r="V190" s="434"/>
      <c r="W190" s="434"/>
      <c r="X190" s="473"/>
      <c r="Y190" s="474"/>
      <c r="Z190" s="474"/>
      <c r="AA190" s="474" t="str">
        <f>_xlfn.XLOOKUP(Backlog[[#This Row],[Estado]],CatEstados[Estado],CatEstados[Fase],"Otro")</f>
        <v>Cerrado</v>
      </c>
      <c r="AB190"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0" s="476" t="e">
        <f ca="1">IF(OR(#REF!="",NOT(ISNUMBER(Backlog[[#This Row],[Dias_abiertos]]))),"",IF(Backlog[[#This Row],[Dias_abiertos]]&lt;=7,"En plazo",IFERROR(IF(Backlog[[#This Row],[Dias_abiertos]]=_xlfn.XLOOKUP(TRIM(#REF!),CatSLA[Prioridad],CatSLA[SLA_dias],""),"En plazo","Fuera de plazo"),"Sin SLA")))</f>
        <v>#REF!</v>
      </c>
      <c r="AD190" s="248"/>
      <c r="AE190" s="248"/>
      <c r="AF190" s="248"/>
      <c r="AG190" s="248"/>
      <c r="AH190" s="248"/>
      <c r="AI190" s="248"/>
    </row>
    <row r="191" spans="1:36" s="210" customFormat="1" ht="30.75" hidden="1">
      <c r="A191" s="487" t="s">
        <v>1797</v>
      </c>
      <c r="B191" s="487" t="s">
        <v>1087</v>
      </c>
      <c r="C191" s="434" t="s">
        <v>1393</v>
      </c>
      <c r="D191" s="467">
        <v>45895</v>
      </c>
      <c r="E191" s="472" t="s">
        <v>1798</v>
      </c>
      <c r="F191" s="472" t="s">
        <v>1799</v>
      </c>
      <c r="G191" s="434" t="s">
        <v>767</v>
      </c>
      <c r="H191" s="434" t="s">
        <v>415</v>
      </c>
      <c r="I191" s="470" t="s">
        <v>55</v>
      </c>
      <c r="J191" s="434"/>
      <c r="K191" s="434" t="s">
        <v>16</v>
      </c>
      <c r="L191" s="474"/>
      <c r="M191" s="496"/>
      <c r="N191" s="474"/>
      <c r="O191" s="497" t="s">
        <v>1800</v>
      </c>
      <c r="P191" s="474"/>
      <c r="Q191" s="474"/>
      <c r="R191" s="434"/>
      <c r="S191" s="434"/>
      <c r="T191" s="434"/>
      <c r="U191" s="434"/>
      <c r="V191" s="434"/>
      <c r="W191" s="434"/>
      <c r="X191" s="473"/>
      <c r="Y191" s="474"/>
      <c r="Z191" s="474"/>
      <c r="AA191" s="474" t="str">
        <f>_xlfn.XLOOKUP(Backlog[[#This Row],[Estado]],CatEstados[Estado],CatEstados[Fase],"Otro")</f>
        <v>Cerrado</v>
      </c>
      <c r="AB191"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1" s="476" t="e">
        <f ca="1">IF(OR(#REF!="",NOT(ISNUMBER(Backlog[[#This Row],[Dias_abiertos]]))),"",IF(Backlog[[#This Row],[Dias_abiertos]]&lt;=7,"En plazo",IFERROR(IF(Backlog[[#This Row],[Dias_abiertos]]=_xlfn.XLOOKUP(TRIM(#REF!),CatSLA[Prioridad],CatSLA[SLA_dias],""),"En plazo","Fuera de plazo"),"Sin SLA")))</f>
        <v>#REF!</v>
      </c>
      <c r="AD191" s="248"/>
      <c r="AE191" s="248"/>
      <c r="AF191" s="248"/>
      <c r="AG191" s="248"/>
      <c r="AH191" s="248"/>
      <c r="AI191" s="248"/>
    </row>
    <row r="192" spans="1:36" ht="60.75" hidden="1">
      <c r="A192" s="492" t="s">
        <v>1801</v>
      </c>
      <c r="B192" s="492" t="s">
        <v>1087</v>
      </c>
      <c r="C192" s="434" t="s">
        <v>1127</v>
      </c>
      <c r="D192" s="467">
        <v>46000</v>
      </c>
      <c r="E192" s="499" t="s">
        <v>1802</v>
      </c>
      <c r="F192" s="469" t="s">
        <v>1803</v>
      </c>
      <c r="G192" s="434" t="s">
        <v>225</v>
      </c>
      <c r="H192" s="434" t="s">
        <v>235</v>
      </c>
      <c r="I192" s="470" t="s">
        <v>55</v>
      </c>
      <c r="J192" s="471"/>
      <c r="K192" s="434" t="s">
        <v>16</v>
      </c>
      <c r="L192" s="467"/>
      <c r="M192" s="467"/>
      <c r="N192" s="467">
        <v>45912</v>
      </c>
      <c r="O192" s="469"/>
      <c r="P192" s="469"/>
      <c r="Q192" s="469"/>
      <c r="R192" s="469"/>
      <c r="S192" s="469"/>
      <c r="T192" s="469"/>
      <c r="U192" s="469"/>
      <c r="V192" s="469"/>
      <c r="W192" s="469"/>
      <c r="X192" s="473"/>
      <c r="Y192" s="474"/>
      <c r="Z192" s="474"/>
      <c r="AA192" s="474" t="str">
        <f>_xlfn.XLOOKUP(Backlog[[#This Row],[Estado]],CatEstados[Estado],CatEstados[Fase],"Otro")</f>
        <v>Cerrado</v>
      </c>
      <c r="AB192"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2" s="476" t="e">
        <f ca="1">IF(OR(#REF!="",NOT(ISNUMBER(Backlog[[#This Row],[Dias_abiertos]]))),"",IF(Backlog[[#This Row],[Dias_abiertos]]&lt;=7,"En plazo",IFERROR(IF(Backlog[[#This Row],[Dias_abiertos]]=_xlfn.XLOOKUP(TRIM(#REF!),CatSLA[Prioridad],CatSLA[SLA_dias],""),"En plazo","Fuera de plazo"),"Sin SLA")))</f>
        <v>#REF!</v>
      </c>
      <c r="AD192" s="248"/>
      <c r="AE192" s="248"/>
      <c r="AF192" s="248"/>
      <c r="AG192" s="248"/>
      <c r="AH192" s="248"/>
      <c r="AI192" s="248"/>
    </row>
    <row r="193" spans="1:35" ht="60.75" hidden="1">
      <c r="A193" s="492" t="s">
        <v>1804</v>
      </c>
      <c r="B193" s="492" t="s">
        <v>1087</v>
      </c>
      <c r="C193" s="434" t="s">
        <v>1127</v>
      </c>
      <c r="D193" s="467" t="s">
        <v>1482</v>
      </c>
      <c r="E193" s="499" t="s">
        <v>1805</v>
      </c>
      <c r="F193" s="469" t="s">
        <v>1806</v>
      </c>
      <c r="G193" s="434" t="s">
        <v>66</v>
      </c>
      <c r="H193" s="434" t="s">
        <v>235</v>
      </c>
      <c r="I193" s="470" t="s">
        <v>55</v>
      </c>
      <c r="J193" s="471"/>
      <c r="K193" s="434" t="s">
        <v>16</v>
      </c>
      <c r="L193" s="467"/>
      <c r="M193" s="467">
        <v>45961</v>
      </c>
      <c r="N193" s="467">
        <v>45967</v>
      </c>
      <c r="O193" s="434" t="s">
        <v>1807</v>
      </c>
      <c r="P193" s="434"/>
      <c r="Q193" s="434"/>
      <c r="R193" s="434">
        <v>1</v>
      </c>
      <c r="S193" s="434">
        <v>1</v>
      </c>
      <c r="T193" s="434"/>
      <c r="U193" s="434">
        <v>1</v>
      </c>
      <c r="V193" s="434"/>
      <c r="W193" s="434"/>
      <c r="X193" s="473"/>
      <c r="Y193" s="474"/>
      <c r="Z193" s="474"/>
      <c r="AA193" s="474" t="str">
        <f>_xlfn.XLOOKUP(Backlog[[#This Row],[Estado]],CatEstados[Estado],CatEstados[Fase],"Otro")</f>
        <v>Cerrado</v>
      </c>
      <c r="AB193"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6</v>
      </c>
      <c r="AC193" s="476" t="e">
        <f ca="1">IF(OR(#REF!="",NOT(ISNUMBER(Backlog[[#This Row],[Dias_abiertos]]))),"",IF(Backlog[[#This Row],[Dias_abiertos]]&lt;=7,"En plazo",IFERROR(IF(Backlog[[#This Row],[Dias_abiertos]]=_xlfn.XLOOKUP(TRIM(#REF!),CatSLA[Prioridad],CatSLA[SLA_dias],""),"En plazo","Fuera de plazo"),"Sin SLA")))</f>
        <v>#REF!</v>
      </c>
      <c r="AD193" s="248"/>
      <c r="AE193" s="248"/>
      <c r="AF193" s="248"/>
      <c r="AG193" s="248"/>
      <c r="AH193" s="248"/>
      <c r="AI193" s="248"/>
    </row>
    <row r="194" spans="1:35" ht="91.5" hidden="1">
      <c r="A194" s="500" t="s">
        <v>1808</v>
      </c>
      <c r="B194" s="492" t="s">
        <v>1087</v>
      </c>
      <c r="C194" s="434" t="s">
        <v>1127</v>
      </c>
      <c r="D194" s="467" t="s">
        <v>1482</v>
      </c>
      <c r="E194" s="499" t="s">
        <v>1809</v>
      </c>
      <c r="F194" s="469" t="s">
        <v>1810</v>
      </c>
      <c r="G194" s="434" t="s">
        <v>66</v>
      </c>
      <c r="H194" s="434" t="s">
        <v>235</v>
      </c>
      <c r="I194" s="470" t="s">
        <v>55</v>
      </c>
      <c r="J194" s="471"/>
      <c r="K194" s="434" t="s">
        <v>16</v>
      </c>
      <c r="L194" s="467"/>
      <c r="M194" s="467">
        <v>45961</v>
      </c>
      <c r="N194" s="467">
        <v>45965</v>
      </c>
      <c r="O194" s="434" t="s">
        <v>1811</v>
      </c>
      <c r="P194" s="434"/>
      <c r="Q194" s="434"/>
      <c r="R194" s="434">
        <v>2</v>
      </c>
      <c r="S194" s="434">
        <v>8</v>
      </c>
      <c r="T194" s="434"/>
      <c r="U194" s="434">
        <v>1</v>
      </c>
      <c r="V194" s="434"/>
      <c r="W194" s="434"/>
      <c r="X194" s="473"/>
      <c r="Y194" s="474"/>
      <c r="Z194" s="474"/>
      <c r="AA194" s="474" t="str">
        <f>_xlfn.XLOOKUP(Backlog[[#This Row],[Estado]],CatEstados[Estado],CatEstados[Fase],"Otro")</f>
        <v>Cerrado</v>
      </c>
      <c r="AB194"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4</v>
      </c>
      <c r="AC194" s="476" t="e">
        <f ca="1">IF(OR(#REF!="",NOT(ISNUMBER(Backlog[[#This Row],[Dias_abiertos]]))),"",IF(Backlog[[#This Row],[Dias_abiertos]]&lt;=7,"En plazo",IFERROR(IF(Backlog[[#This Row],[Dias_abiertos]]=_xlfn.XLOOKUP(TRIM(#REF!),CatSLA[Prioridad],CatSLA[SLA_dias],""),"En plazo","Fuera de plazo"),"Sin SLA")))</f>
        <v>#REF!</v>
      </c>
      <c r="AD194" s="248"/>
      <c r="AE194" s="248"/>
      <c r="AF194" s="248"/>
      <c r="AG194" s="248"/>
      <c r="AH194" s="248"/>
      <c r="AI194" s="248"/>
    </row>
    <row r="195" spans="1:35" ht="30.75" hidden="1">
      <c r="A195" s="492" t="s">
        <v>1812</v>
      </c>
      <c r="B195" s="492" t="s">
        <v>1087</v>
      </c>
      <c r="C195" s="492"/>
      <c r="D195" s="467" t="s">
        <v>1813</v>
      </c>
      <c r="E195" s="501" t="s">
        <v>1814</v>
      </c>
      <c r="F195" s="468"/>
      <c r="G195" s="434" t="s">
        <v>75</v>
      </c>
      <c r="H195" s="434" t="s">
        <v>235</v>
      </c>
      <c r="I195" s="470" t="s">
        <v>55</v>
      </c>
      <c r="J195" s="471"/>
      <c r="K195" s="434" t="s">
        <v>16</v>
      </c>
      <c r="L195" s="467"/>
      <c r="M195" s="467"/>
      <c r="N195" s="467">
        <v>45972</v>
      </c>
      <c r="O195" s="502" t="s">
        <v>1722</v>
      </c>
      <c r="P195" s="472"/>
      <c r="Q195" s="472"/>
      <c r="R195" s="434"/>
      <c r="S195" s="434"/>
      <c r="T195" s="434"/>
      <c r="U195" s="434"/>
      <c r="V195" s="434"/>
      <c r="W195" s="434"/>
      <c r="X195" s="473"/>
      <c r="Y195" s="474"/>
      <c r="Z195" s="474"/>
      <c r="AA195" s="474" t="str">
        <f>_xlfn.XLOOKUP(Backlog[[#This Row],[Estado]],CatEstados[Estado],CatEstados[Fase],"Otro")</f>
        <v>Cerrado</v>
      </c>
      <c r="AB195"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5" s="476" t="e">
        <f ca="1">IF(OR(#REF!="",NOT(ISNUMBER(Backlog[[#This Row],[Dias_abiertos]]))),"",IF(Backlog[[#This Row],[Dias_abiertos]]&lt;=7,"En plazo",IFERROR(IF(Backlog[[#This Row],[Dias_abiertos]]=_xlfn.XLOOKUP(TRIM(#REF!),CatSLA[Prioridad],CatSLA[SLA_dias],""),"En plazo","Fuera de plazo"),"Sin SLA")))</f>
        <v>#REF!</v>
      </c>
      <c r="AD195" s="248"/>
      <c r="AE195" s="248"/>
      <c r="AF195" s="248"/>
      <c r="AG195" s="248"/>
      <c r="AH195" s="248"/>
      <c r="AI195" s="248"/>
    </row>
    <row r="196" spans="1:35" ht="45.75" hidden="1">
      <c r="A196" s="492" t="s">
        <v>1815</v>
      </c>
      <c r="B196" s="492" t="s">
        <v>1087</v>
      </c>
      <c r="C196" s="492"/>
      <c r="D196" s="467" t="s">
        <v>1620</v>
      </c>
      <c r="E196" s="501" t="s">
        <v>1816</v>
      </c>
      <c r="F196" s="468" t="s">
        <v>1817</v>
      </c>
      <c r="G196" s="434" t="s">
        <v>659</v>
      </c>
      <c r="H196" s="434" t="s">
        <v>1163</v>
      </c>
      <c r="I196" s="470" t="s">
        <v>55</v>
      </c>
      <c r="J196" s="471"/>
      <c r="K196" s="434" t="s">
        <v>16</v>
      </c>
      <c r="L196" s="467"/>
      <c r="M196" s="467"/>
      <c r="N196" s="467">
        <v>45957</v>
      </c>
      <c r="O196" s="472"/>
      <c r="P196" s="472"/>
      <c r="Q196" s="472"/>
      <c r="R196" s="434"/>
      <c r="S196" s="434"/>
      <c r="T196" s="434"/>
      <c r="U196" s="434"/>
      <c r="V196" s="434"/>
      <c r="W196" s="434"/>
      <c r="X196" s="473"/>
      <c r="Y196" s="474"/>
      <c r="Z196" s="474"/>
      <c r="AA196" s="474" t="str">
        <f>_xlfn.XLOOKUP(Backlog[[#This Row],[Estado]],CatEstados[Estado],CatEstados[Fase],"Otro")</f>
        <v>Cerrado</v>
      </c>
      <c r="AB196"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6" s="476" t="e">
        <f ca="1">IF(OR(#REF!="",NOT(ISNUMBER(Backlog[[#This Row],[Dias_abiertos]]))),"",IF(Backlog[[#This Row],[Dias_abiertos]]&lt;=7,"En plazo",IFERROR(IF(Backlog[[#This Row],[Dias_abiertos]]=_xlfn.XLOOKUP(TRIM(#REF!),CatSLA[Prioridad],CatSLA[SLA_dias],""),"En plazo","Fuera de plazo"),"Sin SLA")))</f>
        <v>#REF!</v>
      </c>
      <c r="AD196" s="248"/>
      <c r="AE196" s="248"/>
      <c r="AF196" s="248"/>
      <c r="AG196" s="248"/>
      <c r="AH196" s="248"/>
      <c r="AI196" s="248"/>
    </row>
    <row r="197" spans="1:35" ht="60.75" hidden="1">
      <c r="A197" s="492" t="s">
        <v>1818</v>
      </c>
      <c r="B197" s="492" t="s">
        <v>1087</v>
      </c>
      <c r="C197" s="492"/>
      <c r="D197" s="467" t="s">
        <v>1819</v>
      </c>
      <c r="E197" s="501" t="s">
        <v>1820</v>
      </c>
      <c r="F197" s="468" t="s">
        <v>1795</v>
      </c>
      <c r="G197" s="434" t="s">
        <v>75</v>
      </c>
      <c r="H197" s="434" t="s">
        <v>235</v>
      </c>
      <c r="I197" s="470" t="s">
        <v>55</v>
      </c>
      <c r="J197" s="471"/>
      <c r="K197" s="434" t="s">
        <v>16</v>
      </c>
      <c r="L197" s="467"/>
      <c r="M197" s="467"/>
      <c r="N197" s="467">
        <v>45972</v>
      </c>
      <c r="O197" s="472"/>
      <c r="P197" s="472"/>
      <c r="Q197" s="472"/>
      <c r="R197" s="434"/>
      <c r="S197" s="434"/>
      <c r="T197" s="434"/>
      <c r="U197" s="434"/>
      <c r="V197" s="434"/>
      <c r="W197" s="434"/>
      <c r="X197" s="473"/>
      <c r="Y197" s="474"/>
      <c r="Z197" s="474"/>
      <c r="AA197" s="474" t="str">
        <f>_xlfn.XLOOKUP(Backlog[[#This Row],[Estado]],CatEstados[Estado],CatEstados[Fase],"Otro")</f>
        <v>Cerrado</v>
      </c>
      <c r="AB197"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7" s="476" t="e">
        <f ca="1">IF(OR(#REF!="",NOT(ISNUMBER(Backlog[[#This Row],[Dias_abiertos]]))),"",IF(Backlog[[#This Row],[Dias_abiertos]]&lt;=7,"En plazo",IFERROR(IF(Backlog[[#This Row],[Dias_abiertos]]=_xlfn.XLOOKUP(TRIM(#REF!),CatSLA[Prioridad],CatSLA[SLA_dias],""),"En plazo","Fuera de plazo"),"Sin SLA")))</f>
        <v>#REF!</v>
      </c>
      <c r="AD197" s="248"/>
      <c r="AE197" s="248"/>
      <c r="AF197" s="248"/>
      <c r="AG197" s="248"/>
      <c r="AH197" s="248"/>
      <c r="AI197" s="248"/>
    </row>
    <row r="198" spans="1:35" ht="409.6" hidden="1">
      <c r="A198" s="492" t="s">
        <v>1821</v>
      </c>
      <c r="B198" s="478" t="s">
        <v>1087</v>
      </c>
      <c r="C198" s="478"/>
      <c r="D198" s="467">
        <v>45929</v>
      </c>
      <c r="E198" s="501" t="s">
        <v>1822</v>
      </c>
      <c r="F198" s="468" t="s">
        <v>1823</v>
      </c>
      <c r="G198" s="434" t="s">
        <v>225</v>
      </c>
      <c r="H198" s="434" t="s">
        <v>235</v>
      </c>
      <c r="I198" s="470" t="s">
        <v>55</v>
      </c>
      <c r="J198" s="471"/>
      <c r="K198" s="434" t="s">
        <v>16</v>
      </c>
      <c r="L198" s="467"/>
      <c r="M198" s="467"/>
      <c r="N198" s="467"/>
      <c r="O198" s="472"/>
      <c r="P198" s="472"/>
      <c r="Q198" s="472"/>
      <c r="R198" s="434"/>
      <c r="S198" s="434"/>
      <c r="T198" s="434"/>
      <c r="U198" s="434"/>
      <c r="V198" s="434"/>
      <c r="W198" s="434"/>
      <c r="X198" s="473"/>
      <c r="Y198" s="474"/>
      <c r="Z198" s="474"/>
      <c r="AA198" s="474" t="str">
        <f>_xlfn.XLOOKUP(Backlog[[#This Row],[Estado]],CatEstados[Estado],CatEstados[Fase],"Otro")</f>
        <v>Cerrado</v>
      </c>
      <c r="AB198"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8" s="476" t="e">
        <f ca="1">IF(OR(#REF!="",NOT(ISNUMBER(Backlog[[#This Row],[Dias_abiertos]]))),"",IF(Backlog[[#This Row],[Dias_abiertos]]&lt;=7,"En plazo",IFERROR(IF(Backlog[[#This Row],[Dias_abiertos]]=_xlfn.XLOOKUP(TRIM(#REF!),CatSLA[Prioridad],CatSLA[SLA_dias],""),"En plazo","Fuera de plazo"),"Sin SLA")))</f>
        <v>#REF!</v>
      </c>
      <c r="AD198" s="248"/>
      <c r="AE198" s="248"/>
      <c r="AF198" s="248"/>
      <c r="AG198" s="248"/>
      <c r="AH198" s="248"/>
      <c r="AI198" s="248"/>
    </row>
    <row r="199" spans="1:35" ht="121.5" hidden="1">
      <c r="A199" s="492" t="s">
        <v>1824</v>
      </c>
      <c r="B199" s="492" t="s">
        <v>1087</v>
      </c>
      <c r="C199" s="492"/>
      <c r="D199" s="467">
        <v>45954</v>
      </c>
      <c r="E199" s="468" t="s">
        <v>1825</v>
      </c>
      <c r="F199" s="468" t="s">
        <v>1826</v>
      </c>
      <c r="G199" s="434" t="s">
        <v>75</v>
      </c>
      <c r="H199" s="434" t="s">
        <v>415</v>
      </c>
      <c r="I199" s="470" t="s">
        <v>55</v>
      </c>
      <c r="J199" s="471"/>
      <c r="K199" s="434" t="s">
        <v>16</v>
      </c>
      <c r="L199" s="467"/>
      <c r="M199" s="467"/>
      <c r="N199" s="467">
        <v>45957</v>
      </c>
      <c r="O199" s="472"/>
      <c r="P199" s="472"/>
      <c r="Q199" s="472"/>
      <c r="R199" s="434"/>
      <c r="S199" s="434"/>
      <c r="T199" s="434"/>
      <c r="U199" s="434"/>
      <c r="V199" s="434"/>
      <c r="W199" s="434"/>
      <c r="X199" s="473"/>
      <c r="Y199" s="474"/>
      <c r="Z199" s="474"/>
      <c r="AA199" s="474" t="str">
        <f>_xlfn.XLOOKUP(Backlog[[#This Row],[Estado]],CatEstados[Estado],CatEstados[Fase],"Otro")</f>
        <v>Cerrado</v>
      </c>
      <c r="AB199"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199" s="476" t="e">
        <f ca="1">IF(OR(#REF!="",NOT(ISNUMBER(Backlog[[#This Row],[Dias_abiertos]]))),"",IF(Backlog[[#This Row],[Dias_abiertos]]&lt;=7,"En plazo",IFERROR(IF(Backlog[[#This Row],[Dias_abiertos]]=_xlfn.XLOOKUP(TRIM(#REF!),CatSLA[Prioridad],CatSLA[SLA_dias],""),"En plazo","Fuera de plazo"),"Sin SLA")))</f>
        <v>#REF!</v>
      </c>
      <c r="AD199" s="248"/>
      <c r="AE199" s="248"/>
      <c r="AF199" s="248"/>
      <c r="AG199" s="248"/>
      <c r="AH199" s="248"/>
      <c r="AI199" s="248"/>
    </row>
    <row r="200" spans="1:35" ht="45.75" hidden="1">
      <c r="A200" s="492" t="s">
        <v>1827</v>
      </c>
      <c r="B200" s="492" t="s">
        <v>1087</v>
      </c>
      <c r="C200" s="492"/>
      <c r="D200" s="467">
        <v>45954</v>
      </c>
      <c r="E200" s="468" t="s">
        <v>1828</v>
      </c>
      <c r="F200" s="468" t="s">
        <v>1829</v>
      </c>
      <c r="G200" s="434" t="s">
        <v>66</v>
      </c>
      <c r="H200" s="434" t="s">
        <v>415</v>
      </c>
      <c r="I200" s="470" t="s">
        <v>55</v>
      </c>
      <c r="J200" s="471"/>
      <c r="K200" s="434" t="s">
        <v>16</v>
      </c>
      <c r="L200" s="467">
        <v>45971</v>
      </c>
      <c r="M200" s="467">
        <v>45971</v>
      </c>
      <c r="N200" s="467">
        <v>45993</v>
      </c>
      <c r="O200" s="472"/>
      <c r="P200" s="472"/>
      <c r="Q200" s="472"/>
      <c r="R200" s="434"/>
      <c r="S200" s="434"/>
      <c r="T200" s="434"/>
      <c r="U200" s="434"/>
      <c r="V200" s="434"/>
      <c r="W200" s="434"/>
      <c r="X200" s="473"/>
      <c r="Y200" s="474"/>
      <c r="Z200" s="474"/>
      <c r="AA200" s="474" t="str">
        <f>_xlfn.XLOOKUP(Backlog[[#This Row],[Estado]],CatEstados[Estado],CatEstados[Fase],"Otro")</f>
        <v>Cerrado</v>
      </c>
      <c r="AB200"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22</v>
      </c>
      <c r="AC200" s="476" t="e">
        <f ca="1">IF(OR(#REF!="",NOT(ISNUMBER(Backlog[[#This Row],[Dias_abiertos]]))),"",IF(Backlog[[#This Row],[Dias_abiertos]]&lt;=7,"En plazo",IFERROR(IF(Backlog[[#This Row],[Dias_abiertos]]=_xlfn.XLOOKUP(TRIM(#REF!),CatSLA[Prioridad],CatSLA[SLA_dias],""),"En plazo","Fuera de plazo"),"Sin SLA")))</f>
        <v>#REF!</v>
      </c>
      <c r="AD200" s="248"/>
      <c r="AE200" s="248"/>
      <c r="AF200" s="248"/>
      <c r="AG200" s="248"/>
      <c r="AH200" s="248"/>
      <c r="AI200" s="248"/>
    </row>
    <row r="201" spans="1:35" ht="198" hidden="1">
      <c r="A201" s="466" t="s">
        <v>1830</v>
      </c>
      <c r="B201" s="466" t="s">
        <v>1087</v>
      </c>
      <c r="C201" s="466"/>
      <c r="D201" s="467">
        <v>45947</v>
      </c>
      <c r="E201" s="468" t="s">
        <v>1831</v>
      </c>
      <c r="F201" s="468" t="s">
        <v>1832</v>
      </c>
      <c r="G201" s="434" t="s">
        <v>66</v>
      </c>
      <c r="H201" s="469" t="s">
        <v>235</v>
      </c>
      <c r="I201" s="470" t="s">
        <v>55</v>
      </c>
      <c r="J201" s="471"/>
      <c r="K201" s="434" t="s">
        <v>16</v>
      </c>
      <c r="L201" s="467"/>
      <c r="M201" s="467"/>
      <c r="N201" s="467">
        <v>45967</v>
      </c>
      <c r="O201" s="472" t="s">
        <v>1833</v>
      </c>
      <c r="P201" s="472"/>
      <c r="Q201" s="472"/>
      <c r="R201" s="434"/>
      <c r="S201" s="434"/>
      <c r="T201" s="434"/>
      <c r="U201" s="434"/>
      <c r="V201" s="434"/>
      <c r="W201" s="434"/>
      <c r="X201" s="473"/>
      <c r="Y201" s="474"/>
      <c r="Z201" s="474"/>
      <c r="AA201" s="474" t="str">
        <f>_xlfn.XLOOKUP(Backlog[[#This Row],[Estado]],CatEstados[Estado],CatEstados[Fase],"Otro")</f>
        <v>Cerrado</v>
      </c>
      <c r="AB201"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01" s="476" t="e">
        <f ca="1">IF(OR(#REF!="",NOT(ISNUMBER(Backlog[[#This Row],[Dias_abiertos]]))),"",IF(Backlog[[#This Row],[Dias_abiertos]]&lt;=7,"En plazo",IFERROR(IF(Backlog[[#This Row],[Dias_abiertos]]=_xlfn.XLOOKUP(TRIM(#REF!),CatSLA[Prioridad],CatSLA[SLA_dias],""),"En plazo","Fuera de plazo"),"Sin SLA")))</f>
        <v>#REF!</v>
      </c>
      <c r="AD201" s="248"/>
      <c r="AE201" s="248"/>
      <c r="AF201" s="248"/>
      <c r="AG201" s="248"/>
      <c r="AH201" s="248"/>
      <c r="AI201" s="248"/>
    </row>
    <row r="202" spans="1:35" ht="106.5" hidden="1">
      <c r="A202" s="466" t="s">
        <v>1834</v>
      </c>
      <c r="B202" s="477" t="s">
        <v>1087</v>
      </c>
      <c r="C202" s="477"/>
      <c r="D202" s="467">
        <v>45959</v>
      </c>
      <c r="E202" s="468" t="s">
        <v>1835</v>
      </c>
      <c r="F202" s="468" t="s">
        <v>1836</v>
      </c>
      <c r="G202" s="434" t="s">
        <v>66</v>
      </c>
      <c r="H202" s="469" t="s">
        <v>235</v>
      </c>
      <c r="I202" s="470" t="s">
        <v>55</v>
      </c>
      <c r="J202" s="471"/>
      <c r="K202" s="434" t="s">
        <v>16</v>
      </c>
      <c r="L202" s="467">
        <v>45968</v>
      </c>
      <c r="M202" s="467">
        <v>45961</v>
      </c>
      <c r="N202" s="467">
        <v>45965</v>
      </c>
      <c r="O202" s="472" t="s">
        <v>1837</v>
      </c>
      <c r="P202" s="472"/>
      <c r="Q202" s="472"/>
      <c r="R202" s="434"/>
      <c r="S202" s="434"/>
      <c r="T202" s="434"/>
      <c r="U202" s="434"/>
      <c r="V202" s="434"/>
      <c r="W202" s="434"/>
      <c r="X202" s="474"/>
      <c r="Y202" s="474"/>
      <c r="Z202" s="474"/>
      <c r="AA202" s="474" t="str">
        <f>_xlfn.XLOOKUP(Backlog[[#This Row],[Estado]],CatEstados[Estado],CatEstados[Fase],"Otro")</f>
        <v>Cerrado</v>
      </c>
      <c r="AB202"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4</v>
      </c>
      <c r="AC202" s="476" t="e">
        <f ca="1">IF(OR(#REF!="",NOT(ISNUMBER(Backlog[[#This Row],[Dias_abiertos]]))),"",IF(Backlog[[#This Row],[Dias_abiertos]]&lt;=7,"En plazo",IFERROR(IF(Backlog[[#This Row],[Dias_abiertos]]=_xlfn.XLOOKUP(TRIM(#REF!),CatSLA[Prioridad],CatSLA[SLA_dias],""),"En plazo","Fuera de plazo"),"Sin SLA")))</f>
        <v>#REF!</v>
      </c>
      <c r="AD202" s="248"/>
      <c r="AE202" s="248"/>
      <c r="AF202" s="248"/>
      <c r="AG202" s="248"/>
      <c r="AH202" s="248"/>
      <c r="AI202" s="248"/>
    </row>
    <row r="203" spans="1:35" ht="76.5" hidden="1">
      <c r="A203" s="492" t="s">
        <v>1838</v>
      </c>
      <c r="B203" s="492" t="s">
        <v>1087</v>
      </c>
      <c r="C203" s="492"/>
      <c r="D203" s="467">
        <v>45957</v>
      </c>
      <c r="E203" s="521" t="s">
        <v>1839</v>
      </c>
      <c r="F203" s="468" t="s">
        <v>1840</v>
      </c>
      <c r="G203" s="434" t="s">
        <v>66</v>
      </c>
      <c r="H203" s="434" t="s">
        <v>235</v>
      </c>
      <c r="I203" s="470" t="s">
        <v>55</v>
      </c>
      <c r="J203" s="471"/>
      <c r="K203" s="434" t="s">
        <v>16</v>
      </c>
      <c r="L203" s="467"/>
      <c r="M203" s="467"/>
      <c r="N203" s="467">
        <v>45966</v>
      </c>
      <c r="O203" s="472" t="s">
        <v>1841</v>
      </c>
      <c r="P203" s="472"/>
      <c r="Q203" s="472"/>
      <c r="R203" s="434"/>
      <c r="S203" s="434"/>
      <c r="T203" s="434"/>
      <c r="U203" s="434"/>
      <c r="V203" s="434"/>
      <c r="W203" s="434"/>
      <c r="X203" s="473"/>
      <c r="Y203" s="474"/>
      <c r="Z203" s="474"/>
      <c r="AA203" s="474" t="str">
        <f>_xlfn.XLOOKUP(Backlog[[#This Row],[Estado]],CatEstados[Estado],CatEstados[Fase],"Otro")</f>
        <v>Cerrado</v>
      </c>
      <c r="AB203"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03" s="476" t="e">
        <f ca="1">IF(OR(#REF!="",NOT(ISNUMBER(Backlog[[#This Row],[Dias_abiertos]]))),"",IF(Backlog[[#This Row],[Dias_abiertos]]&lt;=7,"En plazo",IFERROR(IF(Backlog[[#This Row],[Dias_abiertos]]=_xlfn.XLOOKUP(TRIM(#REF!),CatSLA[Prioridad],CatSLA[SLA_dias],""),"En plazo","Fuera de plazo"),"Sin SLA")))</f>
        <v>#REF!</v>
      </c>
      <c r="AD203" s="248"/>
      <c r="AE203" s="248"/>
      <c r="AF203" s="248"/>
      <c r="AG203" s="248"/>
      <c r="AH203" s="248"/>
      <c r="AI203" s="248"/>
    </row>
    <row r="204" spans="1:35" s="383" customFormat="1" ht="409.6" hidden="1">
      <c r="A204" s="490" t="s">
        <v>1842</v>
      </c>
      <c r="B204" s="478" t="s">
        <v>1087</v>
      </c>
      <c r="C204" s="478"/>
      <c r="D204" s="491">
        <v>45806</v>
      </c>
      <c r="E204" s="469" t="s">
        <v>1843</v>
      </c>
      <c r="F204" s="507" t="s">
        <v>1844</v>
      </c>
      <c r="G204" s="434" t="s">
        <v>1270</v>
      </c>
      <c r="H204" s="434" t="s">
        <v>235</v>
      </c>
      <c r="I204" s="470" t="s">
        <v>1125</v>
      </c>
      <c r="J204" s="471"/>
      <c r="K204" s="434" t="s">
        <v>16</v>
      </c>
      <c r="L204" s="467">
        <v>45989</v>
      </c>
      <c r="M204" s="467">
        <v>45981</v>
      </c>
      <c r="N204" s="467">
        <v>46010</v>
      </c>
      <c r="O204" s="508" t="s">
        <v>1845</v>
      </c>
      <c r="P204" s="474" t="s">
        <v>1846</v>
      </c>
      <c r="Q204" s="474"/>
      <c r="R204" s="434"/>
      <c r="S204" s="434"/>
      <c r="T204" s="434"/>
      <c r="U204" s="474"/>
      <c r="V204" s="474"/>
      <c r="W204" s="474"/>
      <c r="X204" s="473"/>
      <c r="Y204" s="474"/>
      <c r="Z204" s="474"/>
      <c r="AA204" s="474" t="str">
        <f>_xlfn.XLOOKUP(Backlog[[#This Row],[Estado]],CatEstados[Estado],CatEstados[Fase],"Otro")</f>
        <v>Cerrado</v>
      </c>
      <c r="AB204"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29</v>
      </c>
      <c r="AC204" s="476" t="e">
        <f ca="1">IF(OR(#REF!="",NOT(ISNUMBER(Backlog[[#This Row],[Dias_abiertos]]))),"",IF(Backlog[[#This Row],[Dias_abiertos]]&lt;=7,"En plazo",IFERROR(IF(Backlog[[#This Row],[Dias_abiertos]]=_xlfn.XLOOKUP(TRIM(#REF!),CatSLA[Prioridad],CatSLA[SLA_dias],""),"En plazo","Fuera de plazo"),"Sin SLA")))</f>
        <v>#REF!</v>
      </c>
    </row>
    <row r="205" spans="1:35" ht="91.5" hidden="1">
      <c r="A205" s="477" t="s">
        <v>1847</v>
      </c>
      <c r="B205" s="477" t="s">
        <v>1087</v>
      </c>
      <c r="C205" s="477"/>
      <c r="D205" s="467">
        <v>45957</v>
      </c>
      <c r="E205" s="468" t="s">
        <v>1848</v>
      </c>
      <c r="F205" s="468" t="s">
        <v>1840</v>
      </c>
      <c r="G205" s="434" t="s">
        <v>66</v>
      </c>
      <c r="H205" s="469" t="s">
        <v>235</v>
      </c>
      <c r="I205" s="434" t="s">
        <v>55</v>
      </c>
      <c r="J205" s="471"/>
      <c r="K205" s="434" t="s">
        <v>16</v>
      </c>
      <c r="L205" s="467"/>
      <c r="M205" s="467"/>
      <c r="N205" s="467">
        <v>45966</v>
      </c>
      <c r="O205" s="472"/>
      <c r="P205" s="472"/>
      <c r="Q205" s="472"/>
      <c r="R205" s="434"/>
      <c r="S205" s="434"/>
      <c r="T205" s="434"/>
      <c r="U205" s="434"/>
      <c r="V205" s="434"/>
      <c r="W205" s="434"/>
      <c r="X205" s="474"/>
      <c r="Y205" s="474"/>
      <c r="Z205" s="474"/>
      <c r="AA205" s="474" t="str">
        <f>_xlfn.XLOOKUP(Backlog[[#This Row],[Estado]],CatEstados[Estado],CatEstados[Fase],"Otro")</f>
        <v>Cerrado</v>
      </c>
      <c r="AB205"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05" s="476" t="e">
        <f ca="1">IF(OR(#REF!="",NOT(ISNUMBER(Backlog[[#This Row],[Dias_abiertos]]))),"",IF(Backlog[[#This Row],[Dias_abiertos]]&lt;=7,"En plazo",IFERROR(IF(Backlog[[#This Row],[Dias_abiertos]]=_xlfn.XLOOKUP(TRIM(#REF!),CatSLA[Prioridad],CatSLA[SLA_dias],""),"En plazo","Fuera de plazo"),"Sin SLA")))</f>
        <v>#REF!</v>
      </c>
      <c r="AD205" s="248"/>
      <c r="AE205" s="248"/>
      <c r="AF205" s="248"/>
      <c r="AG205" s="248"/>
      <c r="AH205" s="248"/>
      <c r="AI205" s="248"/>
    </row>
    <row r="206" spans="1:35" ht="91.5" hidden="1">
      <c r="A206" s="503" t="s">
        <v>1849</v>
      </c>
      <c r="B206" s="478" t="s">
        <v>1088</v>
      </c>
      <c r="C206" s="380" t="s">
        <v>1127</v>
      </c>
      <c r="D206" s="412">
        <v>45954</v>
      </c>
      <c r="E206" s="378" t="s">
        <v>1850</v>
      </c>
      <c r="F206" s="522" t="s">
        <v>1851</v>
      </c>
      <c r="G206" s="380" t="s">
        <v>66</v>
      </c>
      <c r="H206" s="434" t="s">
        <v>415</v>
      </c>
      <c r="I206" s="504" t="s">
        <v>1686</v>
      </c>
      <c r="J206" s="464"/>
      <c r="K206" s="434" t="s">
        <v>16</v>
      </c>
      <c r="L206" s="412"/>
      <c r="M206" s="412">
        <v>46066</v>
      </c>
      <c r="N206" s="412"/>
      <c r="O206" s="379"/>
      <c r="P206" s="379"/>
      <c r="Q206" s="551" t="s">
        <v>1852</v>
      </c>
      <c r="R206" s="380"/>
      <c r="S206" s="380">
        <v>34</v>
      </c>
      <c r="T206" s="380"/>
      <c r="U206" s="380" t="s">
        <v>1441</v>
      </c>
      <c r="V206" s="380" t="s">
        <v>1853</v>
      </c>
      <c r="W206" s="380"/>
      <c r="X206" s="380" t="s">
        <v>1689</v>
      </c>
      <c r="Y206" s="474"/>
      <c r="Z206" s="474"/>
      <c r="AA206" s="435" t="str">
        <f>_xlfn.XLOOKUP(Backlog[[#This Row],[Estado]],CatEstados[Estado],CatEstados[Fase],"Otro")</f>
        <v>Cerrado</v>
      </c>
      <c r="AB206" s="50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06" s="506" t="e">
        <f ca="1">IF(OR(#REF!="",NOT(ISNUMBER(Backlog[[#This Row],[Dias_abiertos]]))),"",IF(Backlog[[#This Row],[Dias_abiertos]]&lt;=7,"En plazo",IFERROR(IF(Backlog[[#This Row],[Dias_abiertos]]=_xlfn.XLOOKUP(TRIM(#REF!),CatSLA[Prioridad],CatSLA[SLA_dias],""),"En plazo","Fuera de plazo"),"Sin SLA")))</f>
        <v>#REF!</v>
      </c>
      <c r="AD206" s="248"/>
      <c r="AE206" s="248"/>
      <c r="AF206" s="248"/>
      <c r="AG206" s="248"/>
      <c r="AH206" s="248"/>
      <c r="AI206" s="248"/>
    </row>
    <row r="207" spans="1:35" ht="91.5" hidden="1">
      <c r="A207" s="407" t="s">
        <v>1854</v>
      </c>
      <c r="B207" s="478" t="s">
        <v>1088</v>
      </c>
      <c r="C207" s="380" t="s">
        <v>1127</v>
      </c>
      <c r="D207" s="412">
        <v>45978</v>
      </c>
      <c r="E207" s="378" t="s">
        <v>1855</v>
      </c>
      <c r="F207" s="522" t="s">
        <v>1856</v>
      </c>
      <c r="G207" s="380" t="s">
        <v>66</v>
      </c>
      <c r="H207" s="380" t="s">
        <v>235</v>
      </c>
      <c r="I207" s="380" t="s">
        <v>1686</v>
      </c>
      <c r="J207" s="464"/>
      <c r="K207" s="380" t="s">
        <v>16</v>
      </c>
      <c r="L207" s="412"/>
      <c r="M207" s="412">
        <v>46066</v>
      </c>
      <c r="N207" s="412"/>
      <c r="O207" s="379"/>
      <c r="P207" s="379"/>
      <c r="Q207" s="537" t="s">
        <v>1661</v>
      </c>
      <c r="R207" s="380"/>
      <c r="S207" s="380">
        <v>27</v>
      </c>
      <c r="T207" s="380"/>
      <c r="U207" s="380" t="s">
        <v>1453</v>
      </c>
      <c r="V207" s="380"/>
      <c r="W207" s="380"/>
      <c r="X207" s="380" t="s">
        <v>1689</v>
      </c>
      <c r="Y207" s="474"/>
      <c r="Z207" s="474"/>
      <c r="AA207" s="435" t="str">
        <f>_xlfn.XLOOKUP(Backlog[[#This Row],[Estado]],CatEstados[Estado],CatEstados[Fase],"Otro")</f>
        <v>Cerrado</v>
      </c>
      <c r="AB207" s="50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07" s="506" t="e">
        <f ca="1">IF(OR(#REF!="",NOT(ISNUMBER(Backlog[[#This Row],[Dias_abiertos]]))),"",IF(Backlog[[#This Row],[Dias_abiertos]]&lt;=7,"En plazo",IFERROR(IF(Backlog[[#This Row],[Dias_abiertos]]=_xlfn.XLOOKUP(TRIM(#REF!),CatSLA[Prioridad],CatSLA[SLA_dias],""),"En plazo","Fuera de plazo"),"Sin SLA")))</f>
        <v>#REF!</v>
      </c>
      <c r="AD207" s="248"/>
      <c r="AE207" s="248"/>
      <c r="AF207" s="248"/>
      <c r="AG207" s="248"/>
      <c r="AH207" s="248"/>
      <c r="AI207" s="248"/>
    </row>
    <row r="208" spans="1:35" ht="15" hidden="1" customHeight="1">
      <c r="A208" s="407" t="s">
        <v>1857</v>
      </c>
      <c r="B208" s="509" t="s">
        <v>1087</v>
      </c>
      <c r="C208" s="380" t="s">
        <v>1393</v>
      </c>
      <c r="D208" s="412">
        <v>46008</v>
      </c>
      <c r="E208" s="378" t="s">
        <v>1858</v>
      </c>
      <c r="F208" s="522" t="s">
        <v>1859</v>
      </c>
      <c r="G208" s="380" t="s">
        <v>66</v>
      </c>
      <c r="H208" s="380" t="s">
        <v>1271</v>
      </c>
      <c r="I208" s="380"/>
      <c r="J208" s="464"/>
      <c r="K208" s="380" t="s">
        <v>16</v>
      </c>
      <c r="L208" s="412"/>
      <c r="M208" s="412">
        <v>46066</v>
      </c>
      <c r="N208" s="412"/>
      <c r="O208" s="379"/>
      <c r="P208" s="379"/>
      <c r="Q208" s="535" t="s">
        <v>1860</v>
      </c>
      <c r="R208" s="380"/>
      <c r="S208" s="380">
        <v>7</v>
      </c>
      <c r="T208" s="380"/>
      <c r="U208" s="380" t="s">
        <v>1437</v>
      </c>
      <c r="V208" s="380"/>
      <c r="W208" s="380"/>
      <c r="X208" s="380" t="s">
        <v>1689</v>
      </c>
      <c r="Y208" s="474"/>
      <c r="Z208" s="474"/>
      <c r="AA208" s="435" t="str">
        <f>_xlfn.XLOOKUP(Backlog[[#This Row],[Estado]],CatEstados[Estado],CatEstados[Fase],"Otro")</f>
        <v>Cerrado</v>
      </c>
      <c r="AB208" s="50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08" s="506" t="e">
        <f ca="1">IF(OR(#REF!="",NOT(ISNUMBER(Backlog[[#This Row],[Dias_abiertos]]))),"",IF(Backlog[[#This Row],[Dias_abiertos]]&lt;=7,"En plazo",IFERROR(IF(Backlog[[#This Row],[Dias_abiertos]]=_xlfn.XLOOKUP(TRIM(#REF!),CatSLA[Prioridad],CatSLA[SLA_dias],""),"En plazo","Fuera de plazo"),"Sin SLA")))</f>
        <v>#REF!</v>
      </c>
      <c r="AD208" s="248"/>
      <c r="AE208" s="248"/>
      <c r="AF208" s="248"/>
      <c r="AG208" s="248"/>
      <c r="AH208" s="248"/>
      <c r="AI208" s="248"/>
    </row>
    <row r="209" spans="1:35" ht="30.75" hidden="1">
      <c r="A209" s="407" t="s">
        <v>1861</v>
      </c>
      <c r="B209" s="478" t="s">
        <v>1088</v>
      </c>
      <c r="C209" s="380" t="s">
        <v>1393</v>
      </c>
      <c r="D209" s="412">
        <v>45979</v>
      </c>
      <c r="E209" s="378" t="s">
        <v>1862</v>
      </c>
      <c r="F209" s="435" t="s">
        <v>1863</v>
      </c>
      <c r="G209" s="434" t="s">
        <v>225</v>
      </c>
      <c r="H209" s="380" t="s">
        <v>235</v>
      </c>
      <c r="I209" s="380" t="s">
        <v>1125</v>
      </c>
      <c r="J209" s="464"/>
      <c r="K209" s="380" t="s">
        <v>16</v>
      </c>
      <c r="L209" s="412"/>
      <c r="M209" s="412">
        <v>46066</v>
      </c>
      <c r="N209" s="412"/>
      <c r="O209" s="379"/>
      <c r="P209" s="379"/>
      <c r="Q209" s="535" t="s">
        <v>1864</v>
      </c>
      <c r="R209" s="380"/>
      <c r="S209" s="380">
        <v>7</v>
      </c>
      <c r="T209" s="380"/>
      <c r="U209" s="380" t="s">
        <v>1437</v>
      </c>
      <c r="V209" s="380"/>
      <c r="W209" s="380"/>
      <c r="X209" s="380" t="s">
        <v>1689</v>
      </c>
      <c r="Y209" s="474"/>
      <c r="Z209" s="474"/>
      <c r="AA209" s="435" t="str">
        <f>_xlfn.XLOOKUP(Backlog[[#This Row],[Estado]],CatEstados[Estado],CatEstados[Fase],"Otro")</f>
        <v>Cerrado</v>
      </c>
      <c r="AB209" s="50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09" s="506" t="e">
        <f ca="1">IF(OR(#REF!="",NOT(ISNUMBER(Backlog[[#This Row],[Dias_abiertos]]))),"",IF(Backlog[[#This Row],[Dias_abiertos]]&lt;=7,"En plazo",IFERROR(IF(Backlog[[#This Row],[Dias_abiertos]]=_xlfn.XLOOKUP(TRIM(#REF!),CatSLA[Prioridad],CatSLA[SLA_dias],""),"En plazo","Fuera de plazo"),"Sin SLA")))</f>
        <v>#REF!</v>
      </c>
      <c r="AD209" s="248"/>
      <c r="AE209" s="248"/>
      <c r="AF209" s="248"/>
      <c r="AG209" s="248"/>
      <c r="AH209" s="248"/>
      <c r="AI209" s="248"/>
    </row>
    <row r="210" spans="1:35" ht="305.25" hidden="1">
      <c r="A210" s="477" t="s">
        <v>1865</v>
      </c>
      <c r="B210" s="509" t="s">
        <v>1088</v>
      </c>
      <c r="C210" s="434"/>
      <c r="D210" s="467">
        <v>46027</v>
      </c>
      <c r="E210" s="468" t="s">
        <v>1866</v>
      </c>
      <c r="F210" s="468" t="s">
        <v>1867</v>
      </c>
      <c r="G210" s="434" t="s">
        <v>66</v>
      </c>
      <c r="H210" s="434" t="s">
        <v>235</v>
      </c>
      <c r="I210" s="434"/>
      <c r="J210" s="471"/>
      <c r="K210" s="434" t="s">
        <v>16</v>
      </c>
      <c r="L210" s="467"/>
      <c r="M210" s="467">
        <v>46066</v>
      </c>
      <c r="N210" s="467"/>
      <c r="O210" s="472"/>
      <c r="P210" s="472"/>
      <c r="Q210" s="538" t="s">
        <v>1864</v>
      </c>
      <c r="R210" s="434"/>
      <c r="S210" s="434">
        <v>102</v>
      </c>
      <c r="T210" s="434"/>
      <c r="U210" s="434"/>
      <c r="V210" s="434"/>
      <c r="W210" s="434"/>
      <c r="X210" s="434" t="s">
        <v>1689</v>
      </c>
      <c r="Y210" s="474"/>
      <c r="Z210" s="474"/>
      <c r="AA210" s="474" t="str">
        <f>_xlfn.XLOOKUP(Backlog[[#This Row],[Estado]],CatEstados[Estado],CatEstados[Fase],"Otro")</f>
        <v>Cerrado</v>
      </c>
      <c r="AB210"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0" s="476" t="e">
        <f ca="1">IF(OR(#REF!="",NOT(ISNUMBER(Backlog[[#This Row],[Dias_abiertos]]))),"",IF(Backlog[[#This Row],[Dias_abiertos]]&lt;=7,"En plazo",IFERROR(IF(Backlog[[#This Row],[Dias_abiertos]]=_xlfn.XLOOKUP(TRIM(#REF!),CatSLA[Prioridad],CatSLA[SLA_dias],""),"En plazo","Fuera de plazo"),"Sin SLA")))</f>
        <v>#REF!</v>
      </c>
      <c r="AD210" s="248"/>
      <c r="AE210" s="248"/>
      <c r="AF210" s="248"/>
      <c r="AG210" s="248"/>
      <c r="AH210" s="248"/>
      <c r="AI210" s="248"/>
    </row>
    <row r="211" spans="1:35" ht="45.75" hidden="1">
      <c r="A211" s="407" t="s">
        <v>1868</v>
      </c>
      <c r="B211" s="509" t="s">
        <v>1088</v>
      </c>
      <c r="C211" s="380"/>
      <c r="D211" s="412">
        <v>46294</v>
      </c>
      <c r="E211" s="378" t="s">
        <v>1869</v>
      </c>
      <c r="F211" s="522" t="s">
        <v>1870</v>
      </c>
      <c r="G211" s="380" t="s">
        <v>66</v>
      </c>
      <c r="H211" s="380" t="s">
        <v>235</v>
      </c>
      <c r="I211" s="380"/>
      <c r="J211" s="464"/>
      <c r="K211" s="434" t="s">
        <v>16</v>
      </c>
      <c r="L211" s="412"/>
      <c r="M211" s="412">
        <v>46066</v>
      </c>
      <c r="N211" s="412"/>
      <c r="O211" s="379"/>
      <c r="P211" s="379"/>
      <c r="Q211" s="535" t="s">
        <v>1871</v>
      </c>
      <c r="R211" s="380"/>
      <c r="S211" s="380">
        <v>54</v>
      </c>
      <c r="T211" s="380"/>
      <c r="U211" s="380"/>
      <c r="V211" s="380"/>
      <c r="W211" s="380"/>
      <c r="X211" s="380" t="s">
        <v>1689</v>
      </c>
      <c r="Y211" s="474"/>
      <c r="Z211" s="474"/>
      <c r="AA211" s="435" t="str">
        <f>_xlfn.XLOOKUP(Backlog[[#This Row],[Estado]],CatEstados[Estado],CatEstados[Fase],"Otro")</f>
        <v>Cerrado</v>
      </c>
      <c r="AB211" s="50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1" s="506" t="e">
        <f ca="1">IF(OR(#REF!="",NOT(ISNUMBER(Backlog[[#This Row],[Dias_abiertos]]))),"",IF(Backlog[[#This Row],[Dias_abiertos]]&lt;=7,"En plazo",IFERROR(IF(Backlog[[#This Row],[Dias_abiertos]]=_xlfn.XLOOKUP(TRIM(#REF!),CatSLA[Prioridad],CatSLA[SLA_dias],""),"En plazo","Fuera de plazo"),"Sin SLA")))</f>
        <v>#REF!</v>
      </c>
      <c r="AD211" s="248"/>
      <c r="AE211" s="248"/>
      <c r="AF211" s="248"/>
      <c r="AG211" s="248"/>
      <c r="AH211" s="248"/>
      <c r="AI211" s="248"/>
    </row>
    <row r="212" spans="1:35" s="204" customFormat="1" ht="259.5" hidden="1">
      <c r="A212" s="477" t="s">
        <v>1872</v>
      </c>
      <c r="B212" s="509" t="s">
        <v>1088</v>
      </c>
      <c r="C212" s="434"/>
      <c r="D212" s="467">
        <v>45974</v>
      </c>
      <c r="E212" s="468" t="s">
        <v>1873</v>
      </c>
      <c r="F212" s="468" t="s">
        <v>1874</v>
      </c>
      <c r="G212" s="434" t="s">
        <v>66</v>
      </c>
      <c r="H212" s="434" t="s">
        <v>235</v>
      </c>
      <c r="I212" s="434"/>
      <c r="J212" s="471"/>
      <c r="K212" s="434" t="s">
        <v>16</v>
      </c>
      <c r="L212" s="467"/>
      <c r="M212" s="467">
        <v>46066</v>
      </c>
      <c r="N212" s="467"/>
      <c r="O212" s="472"/>
      <c r="P212" s="472"/>
      <c r="Q212" s="550" t="s">
        <v>1864</v>
      </c>
      <c r="R212" s="434"/>
      <c r="S212" s="434">
        <v>80</v>
      </c>
      <c r="T212" s="434"/>
      <c r="U212" s="434"/>
      <c r="V212" s="434"/>
      <c r="W212" s="434"/>
      <c r="X212" s="434" t="s">
        <v>1689</v>
      </c>
      <c r="Y212" s="474"/>
      <c r="Z212" s="474"/>
      <c r="AA212" s="474" t="str">
        <f>_xlfn.XLOOKUP(Backlog[[#This Row],[Estado]],CatEstados[Estado],CatEstados[Fase],"Otro")</f>
        <v>Cerrado</v>
      </c>
      <c r="AB212"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2" s="476" t="e">
        <f ca="1">IF(OR(#REF!="",NOT(ISNUMBER(Backlog[[#This Row],[Dias_abiertos]]))),"",IF(Backlog[[#This Row],[Dias_abiertos]]&lt;=7,"En plazo",IFERROR(IF(Backlog[[#This Row],[Dias_abiertos]]=_xlfn.XLOOKUP(TRIM(#REF!),CatSLA[Prioridad],CatSLA[SLA_dias],""),"En plazo","Fuera de plazo"),"Sin SLA")))</f>
        <v>#REF!</v>
      </c>
      <c r="AD212" s="248"/>
      <c r="AE212" s="248"/>
      <c r="AF212" s="248"/>
      <c r="AG212" s="248"/>
      <c r="AH212" s="248"/>
      <c r="AI212" s="248"/>
    </row>
    <row r="213" spans="1:35" s="204" customFormat="1" ht="45.75" hidden="1">
      <c r="A213" s="477" t="s">
        <v>1875</v>
      </c>
      <c r="B213" s="509" t="s">
        <v>1088</v>
      </c>
      <c r="C213" s="434" t="s">
        <v>1127</v>
      </c>
      <c r="D213" s="467">
        <v>46021</v>
      </c>
      <c r="E213" s="468" t="s">
        <v>1876</v>
      </c>
      <c r="F213" s="468" t="s">
        <v>1877</v>
      </c>
      <c r="G213" s="434" t="s">
        <v>225</v>
      </c>
      <c r="H213" s="434" t="s">
        <v>235</v>
      </c>
      <c r="I213" s="434"/>
      <c r="J213" s="471"/>
      <c r="K213" s="434" t="s">
        <v>16</v>
      </c>
      <c r="L213" s="467"/>
      <c r="M213" s="467">
        <v>46066</v>
      </c>
      <c r="N213" s="467"/>
      <c r="O213" s="472" t="s">
        <v>1878</v>
      </c>
      <c r="P213" s="472" t="s">
        <v>1879</v>
      </c>
      <c r="Q213" s="510" t="s">
        <v>1864</v>
      </c>
      <c r="R213" s="434"/>
      <c r="S213" s="434">
        <v>68</v>
      </c>
      <c r="T213" s="434"/>
      <c r="U213" s="434" t="s">
        <v>1431</v>
      </c>
      <c r="V213" s="434"/>
      <c r="W213" s="434"/>
      <c r="X213" s="434" t="s">
        <v>1689</v>
      </c>
      <c r="Y213" s="474"/>
      <c r="Z213" s="474"/>
      <c r="AA213" s="474" t="str">
        <f>_xlfn.XLOOKUP(Backlog[[#This Row],[Estado]],CatEstados[Estado],CatEstados[Fase],"Otro")</f>
        <v>Cerrado</v>
      </c>
      <c r="AB213"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3" s="476" t="e">
        <f ca="1">IF(OR(#REF!="",NOT(ISNUMBER(Backlog[[#This Row],[Dias_abiertos]]))),"",IF(Backlog[[#This Row],[Dias_abiertos]]&lt;=7,"En plazo",IFERROR(IF(Backlog[[#This Row],[Dias_abiertos]]=_xlfn.XLOOKUP(TRIM(#REF!),CatSLA[Prioridad],CatSLA[SLA_dias],""),"En plazo","Fuera de plazo"),"Sin SLA")))</f>
        <v>#REF!</v>
      </c>
      <c r="AD213" s="249"/>
      <c r="AE213" s="249"/>
      <c r="AF213" s="249"/>
      <c r="AG213" s="249"/>
      <c r="AH213" s="249"/>
      <c r="AI213" s="249"/>
    </row>
    <row r="214" spans="1:35" ht="60.75" hidden="1">
      <c r="A214" s="477" t="s">
        <v>1880</v>
      </c>
      <c r="B214" s="509" t="s">
        <v>1087</v>
      </c>
      <c r="C214" s="434" t="s">
        <v>1393</v>
      </c>
      <c r="D214" s="467">
        <v>46027</v>
      </c>
      <c r="E214" s="468" t="s">
        <v>1881</v>
      </c>
      <c r="F214" s="468" t="s">
        <v>1882</v>
      </c>
      <c r="G214" s="434" t="s">
        <v>66</v>
      </c>
      <c r="H214" s="434" t="s">
        <v>235</v>
      </c>
      <c r="I214" s="434"/>
      <c r="J214" s="471"/>
      <c r="K214" s="434" t="s">
        <v>16</v>
      </c>
      <c r="L214" s="467"/>
      <c r="M214" s="467">
        <v>46066</v>
      </c>
      <c r="N214" s="467"/>
      <c r="O214" s="472"/>
      <c r="P214" s="472"/>
      <c r="Q214" s="536"/>
      <c r="R214" s="434"/>
      <c r="S214" s="434">
        <v>136</v>
      </c>
      <c r="T214" s="434"/>
      <c r="U214" s="434"/>
      <c r="V214" s="434"/>
      <c r="W214" s="434"/>
      <c r="X214" s="434" t="s">
        <v>1689</v>
      </c>
      <c r="Y214" s="474"/>
      <c r="Z214" s="474"/>
      <c r="AA214" s="474" t="str">
        <f>_xlfn.XLOOKUP(Backlog[[#This Row],[Estado]],CatEstados[Estado],CatEstados[Fase],"Otro")</f>
        <v>Cerrado</v>
      </c>
      <c r="AB214"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4" s="476" t="e">
        <f ca="1">IF(OR(#REF!="",NOT(ISNUMBER(Backlog[[#This Row],[Dias_abiertos]]))),"",IF(Backlog[[#This Row],[Dias_abiertos]]&lt;=7,"En plazo",IFERROR(IF(Backlog[[#This Row],[Dias_abiertos]]=_xlfn.XLOOKUP(TRIM(#REF!),CatSLA[Prioridad],CatSLA[SLA_dias],""),"En plazo","Fuera de plazo"),"Sin SLA")))</f>
        <v>#REF!</v>
      </c>
      <c r="AD214" s="248"/>
      <c r="AE214" s="248"/>
      <c r="AF214" s="248"/>
      <c r="AG214" s="248"/>
      <c r="AH214" s="248"/>
      <c r="AI214" s="248"/>
    </row>
    <row r="215" spans="1:35" ht="30.75" hidden="1">
      <c r="A215" s="477" t="s">
        <v>1883</v>
      </c>
      <c r="B215" s="509" t="s">
        <v>1088</v>
      </c>
      <c r="C215" s="434" t="s">
        <v>1393</v>
      </c>
      <c r="D215" s="467">
        <v>45992</v>
      </c>
      <c r="E215" s="468" t="s">
        <v>1884</v>
      </c>
      <c r="F215" s="472" t="s">
        <v>1885</v>
      </c>
      <c r="G215" s="434" t="s">
        <v>66</v>
      </c>
      <c r="H215" s="434" t="s">
        <v>67</v>
      </c>
      <c r="I215" s="434" t="s">
        <v>1125</v>
      </c>
      <c r="J215" s="471"/>
      <c r="K215" s="434" t="s">
        <v>16</v>
      </c>
      <c r="L215" s="467"/>
      <c r="M215" s="467">
        <v>46066</v>
      </c>
      <c r="N215" s="467"/>
      <c r="O215" s="472"/>
      <c r="P215" s="472"/>
      <c r="Q215" s="536"/>
      <c r="R215" s="434"/>
      <c r="S215" s="434">
        <v>27</v>
      </c>
      <c r="T215" s="434"/>
      <c r="U215" s="434"/>
      <c r="V215" s="434"/>
      <c r="W215" s="434"/>
      <c r="X215" s="434" t="s">
        <v>1689</v>
      </c>
      <c r="Y215" s="474"/>
      <c r="Z215" s="474"/>
      <c r="AA215" s="474" t="str">
        <f>_xlfn.XLOOKUP(Backlog[[#This Row],[Estado]],CatEstados[Estado],CatEstados[Fase],"Otro")</f>
        <v>Cerrado</v>
      </c>
      <c r="AB215" s="475">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102</v>
      </c>
      <c r="AC215" s="476" t="e">
        <f ca="1">IF(OR(#REF!="",NOT(ISNUMBER(Backlog[[#This Row],[Dias_abiertos]]))),"",IF(Backlog[[#This Row],[Dias_abiertos]]&lt;=7,"En plazo",IFERROR(IF(Backlog[[#This Row],[Dias_abiertos]]=_xlfn.XLOOKUP(TRIM(#REF!),CatSLA[Prioridad],CatSLA[SLA_dias],""),"En plazo","Fuera de plazo"),"Sin SLA")))</f>
        <v>#REF!</v>
      </c>
      <c r="AD215" s="248"/>
      <c r="AE215" s="248"/>
      <c r="AF215" s="248"/>
      <c r="AG215" s="248"/>
      <c r="AH215" s="248"/>
      <c r="AI215" s="248"/>
    </row>
    <row r="216" spans="1:35" ht="30.75" hidden="1">
      <c r="A216" s="477" t="s">
        <v>1886</v>
      </c>
      <c r="B216" s="478" t="s">
        <v>1088</v>
      </c>
      <c r="C216" s="478"/>
      <c r="D216" s="467">
        <v>45979</v>
      </c>
      <c r="E216" s="468" t="s">
        <v>1887</v>
      </c>
      <c r="F216" s="472" t="s">
        <v>1888</v>
      </c>
      <c r="G216" s="434" t="s">
        <v>225</v>
      </c>
      <c r="H216" s="469" t="s">
        <v>235</v>
      </c>
      <c r="I216" s="434" t="s">
        <v>1686</v>
      </c>
      <c r="J216" s="471"/>
      <c r="K216" s="434" t="s">
        <v>16</v>
      </c>
      <c r="L216" s="467"/>
      <c r="M216" s="467"/>
      <c r="N216" s="467"/>
      <c r="O216" s="472"/>
      <c r="P216" s="472" t="s">
        <v>1889</v>
      </c>
      <c r="Q216" s="536"/>
      <c r="R216" s="434"/>
      <c r="S216" s="434">
        <v>600</v>
      </c>
      <c r="T216" s="434"/>
      <c r="U216" s="434"/>
      <c r="V216" s="434"/>
      <c r="W216" s="434"/>
      <c r="X216" s="474"/>
      <c r="Y216" s="474"/>
      <c r="Z216" s="474"/>
      <c r="AA216" s="474" t="str">
        <f>_xlfn.XLOOKUP(Backlog[[#This Row],[Estado]],CatEstados[Estado],CatEstados[Fase],"Otro")</f>
        <v>Cerrado</v>
      </c>
      <c r="AB216" s="475"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16" s="476" t="e">
        <f ca="1">IF(OR(#REF!="",NOT(ISNUMBER(Backlog[[#This Row],[Dias_abiertos]]))),"",IF(Backlog[[#This Row],[Dias_abiertos]]&lt;=7,"En plazo",IFERROR(IF(Backlog[[#This Row],[Dias_abiertos]]=_xlfn.XLOOKUP(TRIM(#REF!),CatSLA[Prioridad],CatSLA[SLA_dias],""),"En plazo","Fuera de plazo"),"Sin SLA")))</f>
        <v>#REF!</v>
      </c>
      <c r="AD216" s="248"/>
      <c r="AE216" s="248"/>
      <c r="AF216" s="248"/>
      <c r="AG216" s="248"/>
      <c r="AH216" s="248"/>
      <c r="AI216" s="248"/>
    </row>
    <row r="217" spans="1:35" ht="152.25" hidden="1">
      <c r="A217" s="762" t="s">
        <v>272</v>
      </c>
      <c r="B217" s="760" t="s">
        <v>1087</v>
      </c>
      <c r="C217" s="762" t="s">
        <v>1393</v>
      </c>
      <c r="D217" s="773">
        <v>45660</v>
      </c>
      <c r="E217" s="774" t="s">
        <v>1890</v>
      </c>
      <c r="F217" s="774" t="s">
        <v>1891</v>
      </c>
      <c r="G217" s="762" t="s">
        <v>75</v>
      </c>
      <c r="H217" s="762" t="s">
        <v>235</v>
      </c>
      <c r="I217" s="762" t="s">
        <v>1125</v>
      </c>
      <c r="J217" s="762">
        <v>9</v>
      </c>
      <c r="K217" s="762" t="s">
        <v>24</v>
      </c>
      <c r="L217" s="257">
        <v>45973</v>
      </c>
      <c r="M217" s="457" t="s">
        <v>1338</v>
      </c>
      <c r="N217" s="235"/>
      <c r="O217" s="762" t="s">
        <v>1892</v>
      </c>
      <c r="P217" s="762"/>
      <c r="Q217" s="775"/>
      <c r="R217" s="561">
        <v>2</v>
      </c>
      <c r="S217" s="561">
        <v>8</v>
      </c>
      <c r="T217" s="561"/>
      <c r="U217" s="561" t="s">
        <v>1431</v>
      </c>
      <c r="V217" s="561"/>
      <c r="W217" s="561"/>
      <c r="X217" s="764"/>
      <c r="Y217" s="418"/>
      <c r="Z217" s="418"/>
      <c r="AA217" s="419" t="str">
        <f>_xlfn.XLOOKUP(Backlog[[#This Row],[Estado]],CatEstados[Estado],CatEstados[Fase],"Otro")</f>
        <v>Implementación</v>
      </c>
      <c r="AB217" s="264" t="e">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#VALUE!</v>
      </c>
      <c r="AC217" s="324" t="e">
        <f ca="1">IF(OR(#REF!="",NOT(ISNUMBER(Backlog[[#This Row],[Dias_abiertos]]))),"",IF(Backlog[[#This Row],[Dias_abiertos]]&lt;=7,"En plazo",IFERROR(IF(Backlog[[#This Row],[Dias_abiertos]]=_xlfn.XLOOKUP(TRIM(#REF!),CatSLA[Prioridad],CatSLA[SLA_dias],""),"En plazo","Fuera de plazo"),"Sin SLA")))</f>
        <v>#REF!</v>
      </c>
      <c r="AD217" s="248"/>
      <c r="AE217" s="248"/>
      <c r="AF217" s="248"/>
      <c r="AG217" s="248"/>
      <c r="AH217" s="248"/>
      <c r="AI217" s="248"/>
    </row>
    <row r="218" spans="1:35" ht="76.5" hidden="1">
      <c r="A218" s="298" t="s">
        <v>1893</v>
      </c>
      <c r="B218" s="394" t="s">
        <v>1087</v>
      </c>
      <c r="C218" s="394"/>
      <c r="D218" s="233">
        <v>46125</v>
      </c>
      <c r="E218" s="299" t="s">
        <v>1894</v>
      </c>
      <c r="F218" s="299" t="s">
        <v>1895</v>
      </c>
      <c r="G218" s="244" t="s">
        <v>66</v>
      </c>
      <c r="H218" s="231" t="s">
        <v>235</v>
      </c>
      <c r="I218" s="244"/>
      <c r="J218" s="449"/>
      <c r="K218" s="244" t="s">
        <v>16</v>
      </c>
      <c r="L218" s="233"/>
      <c r="M218" s="233"/>
      <c r="N218" s="233"/>
      <c r="O218" s="300"/>
      <c r="P218" s="300"/>
      <c r="Q218" s="545"/>
      <c r="R218" s="244"/>
      <c r="S218" s="244"/>
      <c r="T218" s="244"/>
      <c r="U218" s="244"/>
      <c r="V218" s="244"/>
      <c r="W218" s="244"/>
      <c r="X218" s="289"/>
      <c r="Y218" s="418"/>
      <c r="Z218" s="418"/>
      <c r="AC218" s="275"/>
      <c r="AD218" s="248"/>
      <c r="AE218" s="248"/>
      <c r="AF218" s="248"/>
      <c r="AG218" s="248"/>
      <c r="AH218" s="248"/>
      <c r="AI218" s="248"/>
    </row>
    <row r="219" spans="1:35" ht="60.75" hidden="1">
      <c r="A219" s="298" t="s">
        <v>1896</v>
      </c>
      <c r="B219" s="394" t="s">
        <v>1087</v>
      </c>
      <c r="C219" s="394"/>
      <c r="D219" s="233">
        <v>46125</v>
      </c>
      <c r="E219" s="299" t="s">
        <v>1897</v>
      </c>
      <c r="F219" s="299" t="s">
        <v>1898</v>
      </c>
      <c r="G219" s="244" t="s">
        <v>75</v>
      </c>
      <c r="H219" s="231" t="s">
        <v>235</v>
      </c>
      <c r="I219" s="244"/>
      <c r="J219" s="449"/>
      <c r="K219" s="244" t="s">
        <v>16</v>
      </c>
      <c r="L219" s="233"/>
      <c r="M219" s="233"/>
      <c r="N219" s="233"/>
      <c r="O219" s="300"/>
      <c r="P219" s="300"/>
      <c r="Q219" s="545"/>
      <c r="R219" s="244"/>
      <c r="S219" s="244"/>
      <c r="T219" s="244"/>
      <c r="U219" s="244"/>
      <c r="V219" s="244"/>
      <c r="W219" s="244"/>
      <c r="X219" s="289"/>
      <c r="Y219" s="418"/>
      <c r="Z219" s="418"/>
      <c r="AC219" s="275"/>
      <c r="AD219" s="248"/>
      <c r="AE219" s="248"/>
      <c r="AF219" s="248"/>
      <c r="AG219" s="248"/>
      <c r="AH219" s="248"/>
      <c r="AI219" s="248"/>
    </row>
    <row r="220" spans="1:35" ht="30.75" hidden="1">
      <c r="A220" s="556" t="s">
        <v>1899</v>
      </c>
      <c r="B220" s="557" t="s">
        <v>1087</v>
      </c>
      <c r="C220" s="556"/>
      <c r="D220" s="558">
        <v>46135</v>
      </c>
      <c r="E220" s="559" t="s">
        <v>1900</v>
      </c>
      <c r="F220" s="560" t="s">
        <v>1901</v>
      </c>
      <c r="G220" s="561" t="s">
        <v>902</v>
      </c>
      <c r="H220" s="562" t="s">
        <v>235</v>
      </c>
      <c r="I220" s="563"/>
      <c r="J220" s="564"/>
      <c r="K220" s="707" t="s">
        <v>32</v>
      </c>
      <c r="L220" s="565"/>
      <c r="M220" s="565"/>
      <c r="N220" s="565"/>
      <c r="O220" s="566"/>
      <c r="P220" s="566" t="s">
        <v>1169</v>
      </c>
      <c r="Q220" s="567"/>
      <c r="R220" s="561"/>
      <c r="S220" s="561">
        <v>120</v>
      </c>
      <c r="T220" s="561"/>
      <c r="U220" s="561" t="s">
        <v>1902</v>
      </c>
      <c r="V220" s="561"/>
      <c r="W220" s="561"/>
      <c r="X220" s="568"/>
      <c r="Y220" s="418"/>
      <c r="Z220" s="418"/>
      <c r="AC220" s="275"/>
      <c r="AD220" s="248"/>
      <c r="AE220" s="248"/>
      <c r="AF220" s="248"/>
      <c r="AG220" s="248"/>
      <c r="AH220" s="248"/>
      <c r="AI220" s="248"/>
    </row>
    <row r="221" spans="1:35" ht="54.75" hidden="1">
      <c r="A221" s="556" t="s">
        <v>1903</v>
      </c>
      <c r="B221" s="557" t="s">
        <v>1087</v>
      </c>
      <c r="C221" s="556"/>
      <c r="D221" s="558">
        <v>46135</v>
      </c>
      <c r="E221" s="559" t="s">
        <v>1900</v>
      </c>
      <c r="F221" s="569" t="s">
        <v>1173</v>
      </c>
      <c r="G221" s="561" t="s">
        <v>902</v>
      </c>
      <c r="H221" s="562" t="s">
        <v>235</v>
      </c>
      <c r="I221" s="563"/>
      <c r="J221" s="564"/>
      <c r="K221" s="707" t="s">
        <v>32</v>
      </c>
      <c r="L221" s="565"/>
      <c r="M221" s="565"/>
      <c r="N221" s="565"/>
      <c r="O221" s="566"/>
      <c r="P221" s="566" t="s">
        <v>1169</v>
      </c>
      <c r="Q221" s="567"/>
      <c r="R221" s="561"/>
      <c r="S221" s="561">
        <v>160</v>
      </c>
      <c r="T221" s="561"/>
      <c r="U221" s="561" t="s">
        <v>1904</v>
      </c>
      <c r="V221" s="561"/>
      <c r="W221" s="561"/>
      <c r="X221" s="568"/>
      <c r="Y221" s="418"/>
      <c r="Z221" s="418"/>
      <c r="AC221" s="275"/>
      <c r="AD221" s="248"/>
      <c r="AE221" s="248"/>
      <c r="AF221" s="248"/>
      <c r="AG221" s="248"/>
      <c r="AH221" s="248"/>
      <c r="AI221" s="248"/>
    </row>
    <row r="222" spans="1:35" s="383" customFormat="1" ht="167.25" hidden="1">
      <c r="A222" s="513" t="s">
        <v>1905</v>
      </c>
      <c r="B222" s="394" t="s">
        <v>1087</v>
      </c>
      <c r="C222" s="414"/>
      <c r="D222" s="367">
        <v>46008</v>
      </c>
      <c r="E222" s="553" t="s">
        <v>1906</v>
      </c>
      <c r="F222" s="554" t="s">
        <v>1907</v>
      </c>
      <c r="G222" s="371" t="s">
        <v>66</v>
      </c>
      <c r="H222" s="372" t="s">
        <v>235</v>
      </c>
      <c r="I222" s="371"/>
      <c r="J222" s="463">
        <v>33</v>
      </c>
      <c r="K222" s="244" t="s">
        <v>16</v>
      </c>
      <c r="L222" s="367"/>
      <c r="M222" s="367"/>
      <c r="N222" s="367"/>
      <c r="O222" s="555" t="s">
        <v>1908</v>
      </c>
      <c r="P222" s="373"/>
      <c r="Q222" s="373"/>
      <c r="R222" s="371"/>
      <c r="S222" s="371">
        <v>16</v>
      </c>
      <c r="T222" s="371"/>
      <c r="U222" s="371" t="s">
        <v>1431</v>
      </c>
      <c r="V222" s="371"/>
      <c r="W222" s="371"/>
      <c r="X222" s="431"/>
      <c r="Y222" s="432"/>
      <c r="Z222" s="432"/>
      <c r="AA222" s="370" t="str">
        <f>_xlfn.XLOOKUP(Backlog[[#This Row],[Estado]],CatEstados[Estado],CatEstados[Fase],"Otro")</f>
        <v>Cerrado</v>
      </c>
      <c r="AB222"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22" s="288" t="e">
        <f ca="1">IF(OR(#REF!="",NOT(ISNUMBER(Backlog[[#This Row],[Dias_abiertos]]))),"",IF(Backlog[[#This Row],[Dias_abiertos]]&lt;=7,"En plazo",IFERROR(IF(Backlog[[#This Row],[Dias_abiertos]]=_xlfn.XLOOKUP(TRIM(#REF!),CatSLA[Prioridad],CatSLA[SLA_dias],""),"En plazo","Fuera de plazo"),"Sin SLA")))</f>
        <v>#REF!</v>
      </c>
    </row>
    <row r="223" spans="1:35" ht="45.75" hidden="1">
      <c r="A223" s="641" t="s">
        <v>1909</v>
      </c>
      <c r="B223" s="622" t="s">
        <v>1088</v>
      </c>
      <c r="C223" s="622"/>
      <c r="D223" s="642">
        <v>46090</v>
      </c>
      <c r="E223" s="643" t="s">
        <v>1910</v>
      </c>
      <c r="F223" s="644" t="s">
        <v>1911</v>
      </c>
      <c r="G223" s="635" t="s">
        <v>70</v>
      </c>
      <c r="H223" s="639" t="s">
        <v>235</v>
      </c>
      <c r="I223" s="635"/>
      <c r="J223" s="645"/>
      <c r="K223" s="635" t="s">
        <v>26</v>
      </c>
      <c r="L223" s="349"/>
      <c r="M223" s="349"/>
      <c r="N223" s="349"/>
      <c r="O223" s="646"/>
      <c r="P223" s="629"/>
      <c r="Q223" s="629"/>
      <c r="R223" s="635"/>
      <c r="S223" s="635">
        <v>40</v>
      </c>
      <c r="T223" s="635"/>
      <c r="U223" s="635"/>
      <c r="V223" s="635"/>
      <c r="W223" s="635"/>
      <c r="X223" s="647"/>
      <c r="Y223" s="432"/>
      <c r="Z223" s="432"/>
      <c r="AA223" s="370" t="str">
        <f>_xlfn.XLOOKUP(Backlog[[#This Row],[Estado]],CatEstados[Estado],CatEstados[Fase],"Otro")</f>
        <v>Por hacer</v>
      </c>
      <c r="AB223"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23" s="288" t="e">
        <f ca="1">IF(OR(#REF!="",NOT(ISNUMBER(Backlog[[#This Row],[Dias_abiertos]]))),"",IF(Backlog[[#This Row],[Dias_abiertos]]&lt;=7,"En plazo",IFERROR(IF(Backlog[[#This Row],[Dias_abiertos]]=_xlfn.XLOOKUP(TRIM(#REF!),CatSLA[Prioridad],CatSLA[SLA_dias],""),"En plazo","Fuera de plazo"),"Sin SLA")))</f>
        <v>#REF!</v>
      </c>
      <c r="AD223" s="383"/>
      <c r="AE223" s="383"/>
      <c r="AF223" s="383"/>
      <c r="AG223" s="383"/>
      <c r="AH223" s="383"/>
      <c r="AI223" s="383"/>
    </row>
    <row r="224" spans="1:35" ht="76.5" hidden="1">
      <c r="A224" s="748" t="s">
        <v>1912</v>
      </c>
      <c r="B224" s="747" t="s">
        <v>1088</v>
      </c>
      <c r="C224" s="622"/>
      <c r="D224" s="642">
        <v>46153</v>
      </c>
      <c r="E224" s="643" t="s">
        <v>1913</v>
      </c>
      <c r="F224" s="644" t="s">
        <v>1914</v>
      </c>
      <c r="G224" s="635" t="s">
        <v>70</v>
      </c>
      <c r="H224" s="639" t="s">
        <v>1163</v>
      </c>
      <c r="I224" s="635"/>
      <c r="J224" s="645"/>
      <c r="K224" s="635" t="s">
        <v>30</v>
      </c>
      <c r="L224" s="349"/>
      <c r="M224" s="349"/>
      <c r="N224" s="349"/>
      <c r="O224" s="646"/>
      <c r="P224" s="629" t="s">
        <v>1915</v>
      </c>
      <c r="Q224" s="629"/>
      <c r="R224" s="635"/>
      <c r="S224" s="635"/>
      <c r="T224" s="635"/>
      <c r="U224" s="635"/>
      <c r="V224" s="635"/>
      <c r="W224" s="635"/>
      <c r="X224" s="647"/>
      <c r="Y224" s="432"/>
      <c r="Z224" s="432"/>
      <c r="AA224" s="370" t="str">
        <f>_xlfn.XLOOKUP(Backlog[[#This Row],[Estado]],CatEstados[Estado],CatEstados[Fase],"Otro")</f>
        <v>Por hacer</v>
      </c>
      <c r="AB224"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24" s="288" t="e">
        <f ca="1">IF(OR(#REF!="",NOT(ISNUMBER(Backlog[[#This Row],[Dias_abiertos]]))),"",IF(Backlog[[#This Row],[Dias_abiertos]]&lt;=7,"En plazo",IFERROR(IF(Backlog[[#This Row],[Dias_abiertos]]=_xlfn.XLOOKUP(TRIM(#REF!),CatSLA[Prioridad],CatSLA[SLA_dias],""),"En plazo","Fuera de plazo"),"Sin SLA")))</f>
        <v>#REF!</v>
      </c>
      <c r="AD224" s="383"/>
      <c r="AE224" s="383"/>
      <c r="AF224" s="383"/>
      <c r="AG224" s="383"/>
      <c r="AH224" s="383"/>
      <c r="AI224" s="383"/>
    </row>
    <row r="225" spans="1:35" ht="229.5" hidden="1" customHeight="1">
      <c r="A225" s="751"/>
      <c r="B225" s="749"/>
      <c r="C225" s="751"/>
      <c r="D225" s="752"/>
      <c r="E225" s="753"/>
      <c r="F225" s="753" t="s">
        <v>1916</v>
      </c>
      <c r="G225" s="754"/>
      <c r="H225" s="755"/>
      <c r="I225" s="754"/>
      <c r="J225" s="756"/>
      <c r="K225" s="754"/>
      <c r="L225" s="752"/>
      <c r="M225" s="752"/>
      <c r="N225" s="752"/>
      <c r="O225" s="750"/>
      <c r="P225" s="750"/>
      <c r="Q225" s="750"/>
      <c r="R225" s="754"/>
      <c r="S225" s="754"/>
      <c r="T225" s="754"/>
      <c r="U225" s="754"/>
      <c r="V225" s="754"/>
      <c r="W225" s="754"/>
      <c r="X225" s="757"/>
      <c r="Y225" s="432"/>
      <c r="Z225" s="432"/>
      <c r="AA225" s="370" t="str">
        <f>_xlfn.XLOOKUP(Backlog[[#This Row],[Estado]],CatEstados[Estado],CatEstados[Fase],"Otro")</f>
        <v>Otro</v>
      </c>
      <c r="AB225" s="287" t="str">
        <f ca="1">IF(OR(ISBLANK(Backlog[[#This Row],[Fecha comprometida (para UAT)]]),Backlog[[#This Row],[Fecha comprometida (para UAT)]]=""),
   "Sin fecha comprometida",
   IF(
      Backlog[[#This Row],[Fecha Real de Cierre]]="",
      TODAY()-Backlog[[#This Row],[Fecha comprometida (para UAT)]],
      Backlog[[#This Row],[Fecha Real de Cierre]]-Backlog[[#This Row],[Fecha comprometida (para UAT)]]
   )
)</f>
        <v>Sin fecha comprometida</v>
      </c>
      <c r="AC225" s="288" t="e">
        <f ca="1">IF(OR(#REF!="",NOT(ISNUMBER(Backlog[[#This Row],[Dias_abiertos]]))),"",IF(Backlog[[#This Row],[Dias_abiertos]]&lt;=7,"En plazo",IFERROR(IF(Backlog[[#This Row],[Dias_abiertos]]=_xlfn.XLOOKUP(TRIM(#REF!),CatSLA[Prioridad],CatSLA[SLA_dias],""),"En plazo","Fuera de plazo"),"Sin SLA")))</f>
        <v>#REF!</v>
      </c>
      <c r="AD225" s="248"/>
      <c r="AE225" s="248"/>
      <c r="AF225" s="248"/>
      <c r="AG225" s="248"/>
      <c r="AH225" s="248"/>
      <c r="AI225" s="248"/>
    </row>
    <row r="226" spans="1:35" ht="167.25" customHeight="1">
      <c r="E226" s="205"/>
      <c r="W226" s="201"/>
      <c r="Y226" s="418"/>
      <c r="Z226" s="418"/>
      <c r="AD226" s="248"/>
      <c r="AE226" s="248"/>
      <c r="AF226" s="248"/>
      <c r="AG226" s="248"/>
      <c r="AH226" s="248"/>
      <c r="AI226" s="248"/>
    </row>
    <row r="227" spans="1:35" ht="15" customHeight="1">
      <c r="E227" s="205"/>
      <c r="W227" s="201"/>
      <c r="Y227" s="418"/>
      <c r="Z227" s="418"/>
      <c r="AD227" s="248"/>
      <c r="AE227" s="248"/>
      <c r="AF227" s="248"/>
      <c r="AG227" s="248"/>
      <c r="AH227" s="248"/>
      <c r="AI227" s="248"/>
    </row>
    <row r="228" spans="1:35" ht="15" customHeight="1">
      <c r="E228" s="205"/>
      <c r="W228" s="201"/>
      <c r="Y228" s="418"/>
      <c r="Z228" s="418"/>
      <c r="AD228" s="248"/>
      <c r="AE228" s="248"/>
      <c r="AF228" s="248"/>
      <c r="AG228" s="248"/>
      <c r="AH228" s="248"/>
      <c r="AI228" s="248"/>
    </row>
    <row r="229" spans="1:35">
      <c r="E229" s="205"/>
      <c r="W229" s="201"/>
      <c r="X229" s="208"/>
      <c r="Y229" s="437"/>
      <c r="Z229" s="437"/>
      <c r="AA229" s="200"/>
      <c r="AB229" s="271"/>
      <c r="AC229" s="271"/>
      <c r="AD229" s="248"/>
      <c r="AE229" s="248"/>
      <c r="AF229" s="248"/>
      <c r="AG229" s="248"/>
      <c r="AH229" s="248"/>
      <c r="AI229" s="248"/>
    </row>
    <row r="230" spans="1:35" ht="15" customHeight="1">
      <c r="E230" s="205"/>
      <c r="W230" s="201"/>
      <c r="Y230" s="418"/>
      <c r="Z230" s="418"/>
      <c r="AD230" s="248"/>
      <c r="AE230" s="248"/>
      <c r="AF230" s="248"/>
      <c r="AG230" s="248"/>
      <c r="AH230" s="248"/>
      <c r="AI230" s="248"/>
    </row>
    <row r="231" spans="1:35" ht="15" customHeight="1">
      <c r="E231" s="205"/>
      <c r="W231" s="201"/>
      <c r="Y231" s="418"/>
      <c r="Z231" s="418"/>
      <c r="AD231" s="248"/>
      <c r="AE231" s="248"/>
      <c r="AF231" s="248"/>
      <c r="AG231" s="248"/>
      <c r="AH231" s="248"/>
      <c r="AI231" s="248"/>
    </row>
    <row r="232" spans="1:35">
      <c r="E232" s="205"/>
      <c r="W232" s="201"/>
      <c r="Y232" s="418"/>
      <c r="Z232" s="418"/>
      <c r="AD232" s="248"/>
      <c r="AE232" s="248"/>
      <c r="AF232" s="248"/>
      <c r="AG232" s="248"/>
      <c r="AH232" s="248"/>
      <c r="AI232" s="248"/>
    </row>
    <row r="233" spans="1:35" ht="15" customHeight="1">
      <c r="E233" s="205"/>
      <c r="W233" s="201"/>
      <c r="Y233" s="418"/>
      <c r="Z233" s="418"/>
      <c r="AD233" s="248"/>
      <c r="AE233" s="248"/>
      <c r="AF233" s="248"/>
      <c r="AG233" s="248"/>
      <c r="AH233" s="248"/>
      <c r="AI233" s="248"/>
    </row>
    <row r="234" spans="1:35">
      <c r="E234" s="205"/>
      <c r="W234" s="201"/>
      <c r="Y234" s="418"/>
      <c r="Z234" s="418"/>
      <c r="AD234" s="248"/>
      <c r="AE234" s="248"/>
      <c r="AF234" s="248"/>
      <c r="AG234" s="248"/>
      <c r="AH234" s="248"/>
      <c r="AI234" s="248"/>
    </row>
    <row r="235" spans="1:35">
      <c r="E235" s="205"/>
      <c r="W235" s="201"/>
      <c r="Y235" s="418"/>
      <c r="Z235" s="418"/>
      <c r="AD235" s="248"/>
      <c r="AE235" s="248"/>
      <c r="AF235" s="248"/>
      <c r="AG235" s="248"/>
      <c r="AH235" s="248"/>
      <c r="AI235" s="248"/>
    </row>
    <row r="236" spans="1:35">
      <c r="E236" s="205"/>
      <c r="W236" s="201"/>
      <c r="Y236" s="418"/>
      <c r="Z236" s="418"/>
      <c r="AD236" s="248"/>
      <c r="AE236" s="248"/>
      <c r="AF236" s="248"/>
      <c r="AG236" s="248"/>
      <c r="AH236" s="248"/>
      <c r="AI236" s="248"/>
    </row>
    <row r="237" spans="1:35">
      <c r="E237" s="205"/>
      <c r="W237" s="201"/>
      <c r="Y237" s="418"/>
      <c r="Z237" s="418"/>
      <c r="AD237" s="248"/>
      <c r="AE237" s="248"/>
      <c r="AF237" s="248"/>
      <c r="AG237" s="248"/>
      <c r="AH237" s="248"/>
      <c r="AI237" s="248"/>
    </row>
    <row r="238" spans="1:35" ht="15" customHeight="1">
      <c r="E238" s="205"/>
      <c r="W238" s="201"/>
      <c r="X238" s="208"/>
      <c r="Y238" s="437"/>
      <c r="Z238" s="437"/>
      <c r="AA238" s="200"/>
      <c r="AB238" s="271"/>
      <c r="AC238" s="271"/>
      <c r="AD238" s="248"/>
      <c r="AE238" s="248"/>
      <c r="AF238" s="248"/>
      <c r="AG238" s="248"/>
      <c r="AH238" s="248"/>
      <c r="AI238" s="248"/>
    </row>
    <row r="239" spans="1:35" ht="15" customHeight="1">
      <c r="E239" s="205"/>
      <c r="W239" s="201"/>
      <c r="Y239" s="418"/>
      <c r="Z239" s="418"/>
      <c r="AD239" s="248"/>
      <c r="AE239" s="248"/>
      <c r="AF239" s="248"/>
      <c r="AG239" s="248"/>
      <c r="AH239" s="248"/>
      <c r="AI239" s="248"/>
    </row>
    <row r="240" spans="1:35" ht="15" customHeight="1">
      <c r="E240" s="205"/>
      <c r="W240" s="201"/>
      <c r="Y240" s="418"/>
      <c r="Z240" s="418"/>
      <c r="AD240" s="248"/>
      <c r="AE240" s="248"/>
      <c r="AF240" s="248"/>
      <c r="AG240" s="248"/>
      <c r="AH240" s="248"/>
      <c r="AI240" s="248"/>
    </row>
    <row r="241" spans="5:35" ht="15" customHeight="1">
      <c r="E241" s="205"/>
      <c r="W241" s="201"/>
      <c r="Y241" s="418"/>
      <c r="Z241" s="418"/>
      <c r="AD241" s="248"/>
      <c r="AE241" s="248"/>
      <c r="AF241" s="248"/>
      <c r="AG241" s="248"/>
      <c r="AH241" s="248"/>
      <c r="AI241" s="248"/>
    </row>
    <row r="242" spans="5:35" ht="15" customHeight="1">
      <c r="E242" s="205"/>
      <c r="W242" s="201"/>
      <c r="Y242" s="418"/>
      <c r="Z242" s="418"/>
      <c r="AD242" s="248"/>
      <c r="AE242" s="248"/>
      <c r="AF242" s="248"/>
      <c r="AG242" s="248"/>
      <c r="AH242" s="248"/>
      <c r="AI242" s="248"/>
    </row>
    <row r="243" spans="5:35" ht="15" customHeight="1">
      <c r="E243" s="205"/>
      <c r="W243" s="201"/>
      <c r="Y243" s="418"/>
      <c r="Z243" s="418"/>
      <c r="AD243" s="248"/>
      <c r="AE243" s="248"/>
      <c r="AF243" s="248"/>
      <c r="AG243" s="248"/>
      <c r="AH243" s="248"/>
      <c r="AI243" s="248"/>
    </row>
    <row r="244" spans="5:35" ht="15" customHeight="1">
      <c r="E244" s="205"/>
      <c r="W244" s="201"/>
      <c r="Y244" s="418"/>
      <c r="Z244" s="418"/>
      <c r="AD244" s="248"/>
      <c r="AE244" s="248"/>
      <c r="AF244" s="248"/>
      <c r="AG244" s="248"/>
      <c r="AH244" s="248"/>
      <c r="AI244" s="248"/>
    </row>
    <row r="245" spans="5:35" ht="15" customHeight="1">
      <c r="E245" s="205"/>
      <c r="W245" s="201"/>
      <c r="Y245" s="418"/>
      <c r="Z245" s="418"/>
      <c r="AD245" s="248"/>
      <c r="AE245" s="248"/>
      <c r="AF245" s="248"/>
      <c r="AG245" s="248"/>
      <c r="AH245" s="248"/>
      <c r="AI245" s="248"/>
    </row>
    <row r="246" spans="5:35" ht="15" customHeight="1">
      <c r="E246" s="205"/>
      <c r="W246" s="201"/>
      <c r="Y246" s="418"/>
      <c r="Z246" s="418"/>
      <c r="AD246" s="248"/>
      <c r="AE246" s="248"/>
      <c r="AF246" s="248"/>
      <c r="AG246" s="248"/>
      <c r="AH246" s="248"/>
      <c r="AI246" s="248"/>
    </row>
    <row r="247" spans="5:35" ht="15" customHeight="1">
      <c r="E247" s="205"/>
      <c r="W247" s="201"/>
      <c r="Y247" s="418"/>
      <c r="Z247" s="418"/>
      <c r="AD247" s="248"/>
      <c r="AE247" s="248"/>
      <c r="AF247" s="248"/>
      <c r="AG247" s="248"/>
      <c r="AH247" s="248"/>
      <c r="AI247" s="248"/>
    </row>
    <row r="248" spans="5:35" ht="15" customHeight="1">
      <c r="E248" s="205"/>
      <c r="W248" s="201"/>
      <c r="Y248" s="418"/>
      <c r="Z248" s="418"/>
      <c r="AD248" s="248"/>
      <c r="AE248" s="248"/>
      <c r="AF248" s="248"/>
      <c r="AG248" s="248"/>
      <c r="AH248" s="248"/>
      <c r="AI248" s="248"/>
    </row>
    <row r="249" spans="5:35" ht="15" customHeight="1">
      <c r="E249" s="205"/>
      <c r="W249" s="201"/>
      <c r="Y249" s="418"/>
      <c r="Z249" s="418"/>
      <c r="AD249" s="248"/>
      <c r="AE249" s="248"/>
      <c r="AF249" s="248"/>
      <c r="AG249" s="248"/>
      <c r="AH249" s="248"/>
      <c r="AI249" s="248"/>
    </row>
    <row r="250" spans="5:35">
      <c r="E250" s="205"/>
      <c r="W250" s="201"/>
      <c r="Y250" s="418"/>
      <c r="Z250" s="418"/>
      <c r="AD250" s="248"/>
      <c r="AE250" s="248"/>
      <c r="AF250" s="248"/>
      <c r="AG250" s="248"/>
      <c r="AH250" s="248"/>
      <c r="AI250" s="248"/>
    </row>
    <row r="251" spans="5:35" ht="15" customHeight="1">
      <c r="E251" s="205"/>
      <c r="W251" s="201"/>
      <c r="Y251" s="418"/>
      <c r="Z251" s="418"/>
      <c r="AD251" s="248"/>
      <c r="AE251" s="248"/>
      <c r="AF251" s="248"/>
      <c r="AG251" s="248"/>
      <c r="AH251" s="248"/>
      <c r="AI251" s="248"/>
    </row>
    <row r="252" spans="5:35">
      <c r="E252" s="205"/>
      <c r="W252" s="201"/>
      <c r="Y252" s="418"/>
      <c r="Z252" s="418"/>
      <c r="AD252" s="248"/>
      <c r="AE252" s="248"/>
      <c r="AF252" s="248"/>
      <c r="AG252" s="248"/>
      <c r="AH252" s="248"/>
      <c r="AI252" s="248"/>
    </row>
    <row r="253" spans="5:35" ht="15" customHeight="1">
      <c r="E253" s="205"/>
      <c r="W253" s="201"/>
      <c r="Y253" s="418"/>
      <c r="Z253" s="418"/>
      <c r="AD253" s="248"/>
      <c r="AE253" s="248"/>
      <c r="AF253" s="248"/>
      <c r="AG253" s="248"/>
      <c r="AH253" s="248"/>
      <c r="AI253" s="248"/>
    </row>
    <row r="254" spans="5:35" ht="15" customHeight="1">
      <c r="E254" s="205"/>
      <c r="W254" s="201"/>
      <c r="Y254" s="418"/>
      <c r="Z254" s="418"/>
      <c r="AD254" s="248"/>
      <c r="AE254" s="248"/>
      <c r="AF254" s="248"/>
      <c r="AG254" s="248"/>
      <c r="AH254" s="248"/>
      <c r="AI254" s="248"/>
    </row>
    <row r="255" spans="5:35" ht="15" customHeight="1">
      <c r="E255" s="205"/>
      <c r="W255" s="201"/>
      <c r="Y255" s="418"/>
      <c r="Z255" s="418"/>
      <c r="AD255" s="248"/>
      <c r="AE255" s="248"/>
      <c r="AF255" s="248"/>
      <c r="AG255" s="248"/>
      <c r="AH255" s="248"/>
      <c r="AI255" s="248"/>
    </row>
    <row r="256" spans="5:35" ht="15" customHeight="1">
      <c r="E256" s="205"/>
      <c r="W256" s="201"/>
      <c r="Y256" s="418"/>
      <c r="Z256" s="418"/>
      <c r="AD256" s="248"/>
      <c r="AE256" s="248"/>
      <c r="AF256" s="248"/>
      <c r="AG256" s="248"/>
      <c r="AH256" s="248"/>
      <c r="AI256" s="248"/>
    </row>
    <row r="257" spans="1:35" ht="15" customHeight="1">
      <c r="E257" s="205"/>
      <c r="W257" s="201"/>
      <c r="Y257" s="418"/>
      <c r="Z257" s="418"/>
      <c r="AD257" s="248"/>
      <c r="AE257" s="248"/>
      <c r="AF257" s="248"/>
      <c r="AG257" s="248"/>
      <c r="AH257" s="248"/>
      <c r="AI257" s="248"/>
    </row>
    <row r="258" spans="1:35" ht="15" customHeight="1">
      <c r="E258" s="205"/>
      <c r="W258" s="201"/>
      <c r="Y258" s="418"/>
      <c r="Z258" s="418"/>
      <c r="AD258" s="248"/>
      <c r="AE258" s="248"/>
      <c r="AF258" s="248"/>
      <c r="AG258" s="248"/>
      <c r="AH258" s="248"/>
      <c r="AI258" s="248"/>
    </row>
    <row r="259" spans="1:35">
      <c r="E259" s="205"/>
      <c r="W259" s="201"/>
      <c r="Y259" s="418"/>
      <c r="Z259" s="418"/>
      <c r="AD259" s="248"/>
      <c r="AE259" s="248"/>
      <c r="AF259" s="248"/>
      <c r="AG259" s="248"/>
      <c r="AH259" s="248"/>
      <c r="AI259" s="248"/>
    </row>
    <row r="260" spans="1:35" ht="15" customHeight="1">
      <c r="E260" s="205"/>
      <c r="W260" s="201"/>
      <c r="Y260" s="418"/>
      <c r="Z260" s="418"/>
      <c r="AD260" s="248"/>
      <c r="AE260" s="248"/>
      <c r="AF260" s="248"/>
      <c r="AG260" s="248"/>
      <c r="AH260" s="248"/>
      <c r="AI260" s="248"/>
    </row>
    <row r="261" spans="1:35" ht="15" customHeight="1">
      <c r="E261" s="205"/>
      <c r="W261" s="201"/>
      <c r="Y261" s="418"/>
      <c r="Z261" s="418"/>
      <c r="AD261" s="248"/>
      <c r="AE261" s="248"/>
      <c r="AF261" s="248"/>
      <c r="AG261" s="248"/>
      <c r="AH261" s="248"/>
      <c r="AI261" s="248"/>
    </row>
    <row r="262" spans="1:35">
      <c r="E262" s="205"/>
      <c r="W262" s="201"/>
      <c r="Y262" s="418"/>
      <c r="Z262" s="418"/>
      <c r="AD262" s="248"/>
      <c r="AE262" s="248"/>
      <c r="AF262" s="248"/>
      <c r="AG262" s="248"/>
      <c r="AH262" s="248"/>
      <c r="AI262" s="248"/>
    </row>
    <row r="263" spans="1:35">
      <c r="E263" s="205"/>
      <c r="W263" s="201"/>
      <c r="Y263" s="418"/>
      <c r="Z263" s="418"/>
      <c r="AD263" s="248"/>
      <c r="AE263" s="248"/>
      <c r="AF263" s="248"/>
      <c r="AG263" s="248"/>
      <c r="AH263" s="248"/>
      <c r="AI263" s="248"/>
    </row>
    <row r="264" spans="1:35">
      <c r="E264" s="205"/>
      <c r="W264" s="201"/>
      <c r="Y264" s="418"/>
      <c r="Z264" s="418"/>
      <c r="AD264" s="248"/>
      <c r="AE264" s="248"/>
      <c r="AF264" s="248"/>
      <c r="AG264" s="248"/>
      <c r="AH264" s="248"/>
      <c r="AI264" s="248"/>
    </row>
    <row r="265" spans="1:35">
      <c r="E265" s="205"/>
      <c r="W265" s="201"/>
      <c r="Y265" s="418"/>
      <c r="Z265" s="418"/>
      <c r="AD265" s="248"/>
      <c r="AE265" s="248"/>
      <c r="AF265" s="248"/>
      <c r="AG265" s="248"/>
      <c r="AH265" s="248"/>
      <c r="AI265" s="248"/>
    </row>
    <row r="266" spans="1:35">
      <c r="E266" s="205"/>
      <c r="W266" s="201"/>
      <c r="Y266" s="418"/>
      <c r="Z266" s="418"/>
      <c r="AD266" s="248"/>
      <c r="AE266" s="248"/>
      <c r="AF266" s="248"/>
      <c r="AG266" s="248"/>
      <c r="AH266" s="248"/>
      <c r="AI266" s="248"/>
    </row>
    <row r="267" spans="1:35" s="214" customFormat="1">
      <c r="A267" s="395"/>
      <c r="B267" s="395"/>
      <c r="C267" s="395"/>
      <c r="D267" s="348"/>
      <c r="E267" s="205"/>
      <c r="F267" s="205"/>
      <c r="G267" s="201"/>
      <c r="H267" s="216"/>
      <c r="I267" s="202"/>
      <c r="J267" s="206"/>
      <c r="K267" s="202"/>
      <c r="L267" s="207"/>
      <c r="M267" s="207"/>
      <c r="N267" s="207"/>
      <c r="O267" s="213"/>
      <c r="P267" s="213"/>
      <c r="Q267" s="208"/>
      <c r="R267" s="201"/>
      <c r="S267" s="201"/>
      <c r="T267" s="201"/>
      <c r="U267" s="201"/>
      <c r="V267" s="201"/>
      <c r="W267" s="201"/>
      <c r="X267" s="426"/>
      <c r="Y267" s="418"/>
      <c r="Z267" s="418"/>
      <c r="AA267" s="196"/>
      <c r="AB267" s="197"/>
      <c r="AC267" s="197"/>
      <c r="AD267" s="251"/>
      <c r="AE267" s="251"/>
      <c r="AF267" s="251"/>
      <c r="AG267" s="251"/>
      <c r="AH267" s="251"/>
      <c r="AI267" s="251"/>
    </row>
    <row r="268" spans="1:35">
      <c r="E268" s="205"/>
      <c r="W268" s="201"/>
      <c r="Y268" s="418"/>
      <c r="Z268" s="418"/>
      <c r="AD268" s="248"/>
      <c r="AE268" s="248"/>
      <c r="AF268" s="248"/>
      <c r="AG268" s="248"/>
      <c r="AH268" s="248"/>
      <c r="AI268" s="248"/>
    </row>
    <row r="269" spans="1:35" ht="15" customHeight="1">
      <c r="E269" s="205"/>
      <c r="W269" s="201"/>
      <c r="Y269" s="418"/>
      <c r="Z269" s="418"/>
      <c r="AD269" s="248"/>
      <c r="AE269" s="248"/>
      <c r="AF269" s="248"/>
      <c r="AG269" s="248"/>
      <c r="AH269" s="248"/>
      <c r="AI269" s="248"/>
    </row>
    <row r="270" spans="1:35" ht="15" customHeight="1">
      <c r="E270" s="205"/>
      <c r="W270" s="201"/>
      <c r="Y270" s="418"/>
      <c r="Z270" s="418"/>
      <c r="AD270" s="248"/>
      <c r="AE270" s="248"/>
      <c r="AF270" s="248"/>
      <c r="AG270" s="248"/>
      <c r="AH270" s="248"/>
      <c r="AI270" s="248"/>
    </row>
    <row r="271" spans="1:35" ht="15" customHeight="1">
      <c r="E271" s="205"/>
      <c r="W271" s="201"/>
      <c r="Y271" s="418"/>
      <c r="Z271" s="418"/>
      <c r="AD271" s="248"/>
      <c r="AE271" s="248"/>
      <c r="AF271" s="248"/>
      <c r="AG271" s="248"/>
      <c r="AH271" s="248"/>
      <c r="AI271" s="248"/>
    </row>
    <row r="272" spans="1:35" ht="15" customHeight="1">
      <c r="E272" s="205"/>
      <c r="W272" s="201"/>
      <c r="Y272" s="418"/>
      <c r="Z272" s="418"/>
      <c r="AD272" s="248"/>
      <c r="AE272" s="248"/>
      <c r="AF272" s="248"/>
      <c r="AG272" s="248"/>
      <c r="AH272" s="248"/>
      <c r="AI272" s="248"/>
    </row>
    <row r="273" spans="5:35" ht="15" customHeight="1">
      <c r="E273" s="205"/>
      <c r="W273" s="201"/>
      <c r="Y273" s="418"/>
      <c r="Z273" s="418"/>
      <c r="AD273" s="248"/>
      <c r="AE273" s="248"/>
      <c r="AF273" s="248"/>
      <c r="AG273" s="248"/>
      <c r="AH273" s="248"/>
      <c r="AI273" s="248"/>
    </row>
    <row r="274" spans="5:35" ht="15" customHeight="1">
      <c r="E274" s="205"/>
      <c r="W274" s="201"/>
      <c r="Y274" s="418"/>
      <c r="Z274" s="418"/>
      <c r="AD274" s="248"/>
      <c r="AE274" s="248"/>
      <c r="AF274" s="248"/>
      <c r="AG274" s="248"/>
      <c r="AH274" s="248"/>
      <c r="AI274" s="248"/>
    </row>
    <row r="275" spans="5:35">
      <c r="E275" s="205"/>
      <c r="W275" s="201"/>
      <c r="Y275" s="418"/>
      <c r="Z275" s="418"/>
      <c r="AD275" s="248"/>
      <c r="AE275" s="248"/>
      <c r="AF275" s="248"/>
      <c r="AG275" s="248"/>
      <c r="AH275" s="248"/>
      <c r="AI275" s="248"/>
    </row>
    <row r="276" spans="5:35">
      <c r="E276" s="205"/>
      <c r="W276" s="201"/>
      <c r="Y276" s="418"/>
      <c r="Z276" s="418"/>
      <c r="AD276" s="248"/>
      <c r="AE276" s="248"/>
      <c r="AF276" s="248"/>
      <c r="AG276" s="248"/>
      <c r="AH276" s="248"/>
      <c r="AI276" s="248"/>
    </row>
    <row r="277" spans="5:35" ht="15" customHeight="1">
      <c r="E277" s="205"/>
      <c r="W277" s="201"/>
      <c r="Y277" s="418"/>
      <c r="Z277" s="418"/>
      <c r="AD277" s="248"/>
      <c r="AE277" s="248"/>
      <c r="AF277" s="248"/>
      <c r="AG277" s="248"/>
      <c r="AH277" s="248"/>
      <c r="AI277" s="248"/>
    </row>
    <row r="278" spans="5:35" ht="15" customHeight="1">
      <c r="E278" s="205"/>
      <c r="W278" s="201"/>
      <c r="Y278" s="418"/>
      <c r="Z278" s="418"/>
      <c r="AD278" s="248"/>
      <c r="AE278" s="248"/>
      <c r="AF278" s="248"/>
      <c r="AG278" s="248"/>
      <c r="AH278" s="248"/>
      <c r="AI278" s="248"/>
    </row>
    <row r="279" spans="5:35" ht="15" customHeight="1">
      <c r="E279" s="205"/>
      <c r="W279" s="201"/>
      <c r="Y279" s="418"/>
      <c r="Z279" s="418"/>
      <c r="AD279" s="248"/>
      <c r="AE279" s="248"/>
      <c r="AF279" s="248"/>
      <c r="AG279" s="248"/>
      <c r="AH279" s="248"/>
      <c r="AI279" s="248"/>
    </row>
    <row r="280" spans="5:35" ht="15" customHeight="1">
      <c r="E280" s="205"/>
      <c r="W280" s="201"/>
      <c r="Y280" s="418"/>
      <c r="Z280" s="418"/>
      <c r="AD280" s="248"/>
      <c r="AE280" s="248"/>
      <c r="AF280" s="248"/>
      <c r="AG280" s="248"/>
      <c r="AH280" s="248"/>
      <c r="AI280" s="248"/>
    </row>
    <row r="281" spans="5:35" ht="15" customHeight="1">
      <c r="E281" s="205"/>
      <c r="W281" s="201"/>
      <c r="Y281" s="418"/>
      <c r="Z281" s="418"/>
      <c r="AD281" s="248"/>
      <c r="AE281" s="248"/>
      <c r="AF281" s="248"/>
      <c r="AG281" s="248"/>
      <c r="AH281" s="248"/>
      <c r="AI281" s="248"/>
    </row>
    <row r="282" spans="5:35">
      <c r="E282" s="205"/>
      <c r="W282" s="201"/>
      <c r="Y282" s="418"/>
      <c r="Z282" s="418"/>
      <c r="AD282" s="248"/>
      <c r="AE282" s="248"/>
      <c r="AF282" s="248"/>
      <c r="AG282" s="248"/>
      <c r="AH282" s="248"/>
      <c r="AI282" s="248"/>
    </row>
    <row r="283" spans="5:35">
      <c r="E283" s="205"/>
      <c r="W283" s="201"/>
      <c r="Y283" s="418"/>
      <c r="Z283" s="418"/>
      <c r="AD283" s="248"/>
      <c r="AE283" s="248"/>
      <c r="AF283" s="248"/>
      <c r="AG283" s="248"/>
      <c r="AH283" s="248"/>
      <c r="AI283" s="248"/>
    </row>
    <row r="284" spans="5:35">
      <c r="E284" s="205"/>
      <c r="W284" s="201"/>
      <c r="Y284" s="418"/>
      <c r="Z284" s="418"/>
      <c r="AD284" s="248"/>
      <c r="AE284" s="248"/>
      <c r="AF284" s="248"/>
      <c r="AG284" s="248"/>
      <c r="AH284" s="248"/>
      <c r="AI284" s="248"/>
    </row>
    <row r="285" spans="5:35">
      <c r="E285" s="205"/>
      <c r="W285" s="201"/>
      <c r="Y285" s="418"/>
      <c r="Z285" s="418"/>
      <c r="AD285" s="248"/>
      <c r="AE285" s="248"/>
      <c r="AF285" s="248"/>
      <c r="AG285" s="248"/>
      <c r="AH285" s="248"/>
      <c r="AI285" s="248"/>
    </row>
    <row r="286" spans="5:35">
      <c r="E286" s="205"/>
      <c r="W286" s="201"/>
      <c r="Y286" s="418"/>
      <c r="Z286" s="418"/>
      <c r="AD286" s="248"/>
      <c r="AE286" s="248"/>
      <c r="AF286" s="248"/>
      <c r="AG286" s="248"/>
      <c r="AH286" s="248"/>
      <c r="AI286" s="248"/>
    </row>
    <row r="287" spans="5:35">
      <c r="E287" s="205"/>
      <c r="W287" s="201"/>
      <c r="Y287" s="418"/>
      <c r="Z287" s="418"/>
      <c r="AD287" s="248"/>
      <c r="AE287" s="248"/>
      <c r="AF287" s="248"/>
      <c r="AG287" s="248"/>
      <c r="AH287" s="248"/>
      <c r="AI287" s="248"/>
    </row>
    <row r="288" spans="5:35">
      <c r="E288" s="205"/>
      <c r="W288" s="201"/>
      <c r="Y288" s="418"/>
      <c r="Z288" s="418"/>
      <c r="AD288" s="248"/>
      <c r="AE288" s="248"/>
      <c r="AF288" s="248"/>
      <c r="AG288" s="248"/>
      <c r="AH288" s="248"/>
      <c r="AI288" s="248"/>
    </row>
    <row r="289" spans="5:35">
      <c r="E289" s="205"/>
      <c r="W289" s="201"/>
      <c r="Y289" s="418"/>
      <c r="Z289" s="418"/>
      <c r="AD289" s="248"/>
      <c r="AE289" s="248"/>
      <c r="AF289" s="248"/>
      <c r="AG289" s="248"/>
      <c r="AH289" s="248"/>
      <c r="AI289" s="248"/>
    </row>
    <row r="290" spans="5:35" ht="15" customHeight="1">
      <c r="E290" s="205"/>
      <c r="W290" s="201"/>
      <c r="Y290" s="418"/>
      <c r="Z290" s="418"/>
      <c r="AD290" s="248"/>
      <c r="AE290" s="248"/>
      <c r="AF290" s="248"/>
      <c r="AG290" s="248"/>
      <c r="AH290" s="248"/>
      <c r="AI290" s="248"/>
    </row>
    <row r="291" spans="5:35">
      <c r="E291" s="205"/>
      <c r="W291" s="201"/>
      <c r="Y291" s="418"/>
      <c r="Z291" s="418"/>
      <c r="AD291" s="248"/>
      <c r="AE291" s="248"/>
      <c r="AF291" s="248"/>
      <c r="AG291" s="248"/>
      <c r="AH291" s="248"/>
      <c r="AI291" s="248"/>
    </row>
    <row r="292" spans="5:35" ht="15" customHeight="1">
      <c r="E292" s="205"/>
      <c r="W292" s="201"/>
      <c r="Y292" s="418"/>
      <c r="Z292" s="418"/>
      <c r="AD292" s="248"/>
      <c r="AE292" s="248"/>
      <c r="AF292" s="248"/>
      <c r="AG292" s="248"/>
      <c r="AH292" s="248"/>
      <c r="AI292" s="248"/>
    </row>
    <row r="293" spans="5:35" ht="15" customHeight="1">
      <c r="E293" s="205"/>
      <c r="W293" s="201"/>
      <c r="Y293" s="418"/>
      <c r="Z293" s="418"/>
      <c r="AD293" s="248"/>
      <c r="AE293" s="248"/>
      <c r="AF293" s="248"/>
      <c r="AG293" s="248"/>
      <c r="AH293" s="248"/>
      <c r="AI293" s="248"/>
    </row>
    <row r="294" spans="5:35">
      <c r="E294" s="205"/>
      <c r="W294" s="201"/>
      <c r="Y294" s="418"/>
      <c r="Z294" s="418"/>
      <c r="AD294" s="248"/>
      <c r="AE294" s="248"/>
      <c r="AF294" s="248"/>
      <c r="AG294" s="248"/>
      <c r="AH294" s="248"/>
      <c r="AI294" s="248"/>
    </row>
    <row r="295" spans="5:35" ht="33" customHeight="1">
      <c r="E295" s="205"/>
      <c r="W295" s="201"/>
      <c r="Y295" s="418"/>
      <c r="Z295" s="418"/>
      <c r="AD295" s="248"/>
      <c r="AE295" s="248"/>
      <c r="AF295" s="248"/>
      <c r="AG295" s="248"/>
      <c r="AH295" s="248"/>
      <c r="AI295" s="248"/>
    </row>
    <row r="296" spans="5:35" ht="15" customHeight="1">
      <c r="E296" s="205"/>
      <c r="W296" s="201"/>
      <c r="Y296" s="418"/>
      <c r="Z296" s="418"/>
      <c r="AD296" s="248"/>
      <c r="AE296" s="248"/>
      <c r="AF296" s="248"/>
      <c r="AG296" s="248"/>
      <c r="AH296" s="248"/>
      <c r="AI296" s="248"/>
    </row>
    <row r="297" spans="5:35" ht="15" customHeight="1">
      <c r="E297" s="205"/>
      <c r="W297" s="201"/>
      <c r="X297" s="216"/>
      <c r="Y297" s="438"/>
      <c r="Z297" s="438"/>
      <c r="AA297" s="194"/>
      <c r="AB297" s="199"/>
      <c r="AC297" s="199"/>
      <c r="AD297" s="248"/>
      <c r="AE297" s="248"/>
      <c r="AF297" s="248"/>
      <c r="AG297" s="248"/>
      <c r="AH297" s="248"/>
      <c r="AI297" s="248"/>
    </row>
    <row r="298" spans="5:35" ht="15" customHeight="1">
      <c r="E298" s="205"/>
      <c r="W298" s="201"/>
      <c r="Y298" s="418"/>
      <c r="Z298" s="418"/>
      <c r="AD298" s="248"/>
      <c r="AE298" s="248"/>
      <c r="AF298" s="248"/>
      <c r="AG298" s="248"/>
      <c r="AH298" s="248"/>
      <c r="AI298" s="248"/>
    </row>
    <row r="299" spans="5:35" ht="15" customHeight="1">
      <c r="E299" s="205"/>
      <c r="W299" s="201"/>
      <c r="Y299" s="418"/>
      <c r="Z299" s="418"/>
      <c r="AD299" s="248"/>
      <c r="AE299" s="248"/>
      <c r="AF299" s="248"/>
      <c r="AG299" s="248"/>
      <c r="AH299" s="248"/>
      <c r="AI299" s="248"/>
    </row>
    <row r="300" spans="5:35" ht="15" customHeight="1">
      <c r="E300" s="205"/>
      <c r="W300" s="201"/>
      <c r="Y300" s="418"/>
      <c r="Z300" s="418"/>
      <c r="AD300" s="248"/>
      <c r="AE300" s="248"/>
      <c r="AF300" s="248"/>
      <c r="AG300" s="248"/>
      <c r="AH300" s="248"/>
      <c r="AI300" s="248"/>
    </row>
    <row r="301" spans="5:35" ht="15" customHeight="1">
      <c r="E301" s="205"/>
      <c r="W301" s="201"/>
      <c r="Y301" s="418"/>
      <c r="Z301" s="418"/>
      <c r="AD301" s="248"/>
      <c r="AE301" s="248"/>
      <c r="AF301" s="248"/>
      <c r="AG301" s="248"/>
      <c r="AH301" s="248"/>
      <c r="AI301" s="248"/>
    </row>
    <row r="302" spans="5:35" ht="15" customHeight="1">
      <c r="E302" s="205"/>
      <c r="W302" s="201"/>
      <c r="Y302" s="418"/>
      <c r="Z302" s="418"/>
      <c r="AD302" s="248"/>
      <c r="AE302" s="248"/>
      <c r="AF302" s="248"/>
      <c r="AG302" s="248"/>
      <c r="AH302" s="248"/>
      <c r="AI302" s="248"/>
    </row>
    <row r="303" spans="5:35" ht="15" customHeight="1">
      <c r="E303" s="205"/>
      <c r="W303" s="201"/>
      <c r="Y303" s="418"/>
      <c r="Z303" s="418"/>
      <c r="AD303" s="248"/>
      <c r="AE303" s="248"/>
      <c r="AF303" s="248"/>
      <c r="AG303" s="248"/>
      <c r="AH303" s="248"/>
      <c r="AI303" s="248"/>
    </row>
    <row r="304" spans="5:35">
      <c r="E304" s="205"/>
      <c r="W304" s="201"/>
      <c r="Y304" s="418"/>
      <c r="Z304" s="418"/>
      <c r="AD304" s="248"/>
      <c r="AE304" s="248"/>
      <c r="AF304" s="248"/>
      <c r="AG304" s="248"/>
      <c r="AH304" s="248"/>
      <c r="AI304" s="248"/>
    </row>
    <row r="305" spans="5:35" ht="15" customHeight="1">
      <c r="E305" s="205"/>
      <c r="W305" s="201"/>
      <c r="Y305" s="418"/>
      <c r="Z305" s="418"/>
      <c r="AD305" s="248"/>
      <c r="AE305" s="248"/>
      <c r="AF305" s="248"/>
      <c r="AG305" s="248"/>
      <c r="AH305" s="248"/>
      <c r="AI305" s="248"/>
    </row>
    <row r="306" spans="5:35" ht="15" customHeight="1">
      <c r="E306" s="205"/>
      <c r="W306" s="201"/>
      <c r="Y306" s="418"/>
      <c r="Z306" s="418"/>
      <c r="AD306" s="248"/>
      <c r="AE306" s="248"/>
      <c r="AF306" s="248"/>
      <c r="AG306" s="248"/>
      <c r="AH306" s="248"/>
      <c r="AI306" s="248"/>
    </row>
    <row r="307" spans="5:35" ht="15" customHeight="1">
      <c r="E307" s="205"/>
      <c r="W307" s="201"/>
      <c r="Y307" s="418"/>
      <c r="Z307" s="418"/>
      <c r="AD307" s="248"/>
      <c r="AE307" s="248"/>
      <c r="AF307" s="248"/>
      <c r="AG307" s="248"/>
      <c r="AH307" s="248"/>
      <c r="AI307" s="248"/>
    </row>
    <row r="308" spans="5:35">
      <c r="E308" s="205"/>
      <c r="W308" s="201"/>
      <c r="Y308" s="418"/>
      <c r="Z308" s="418"/>
      <c r="AD308" s="248"/>
      <c r="AE308" s="248"/>
      <c r="AF308" s="248"/>
      <c r="AG308" s="248"/>
      <c r="AH308" s="248"/>
      <c r="AI308" s="248"/>
    </row>
    <row r="309" spans="5:35" ht="15" customHeight="1">
      <c r="E309" s="205"/>
      <c r="W309" s="201"/>
      <c r="Y309" s="418"/>
      <c r="Z309" s="418"/>
      <c r="AD309" s="248"/>
      <c r="AE309" s="248"/>
      <c r="AF309" s="248"/>
      <c r="AG309" s="248"/>
      <c r="AH309" s="248"/>
      <c r="AI309" s="248"/>
    </row>
    <row r="310" spans="5:35" ht="15" customHeight="1">
      <c r="E310" s="205"/>
      <c r="W310" s="201"/>
      <c r="Y310" s="418"/>
      <c r="Z310" s="418"/>
      <c r="AD310" s="248"/>
      <c r="AE310" s="248"/>
      <c r="AF310" s="248"/>
      <c r="AG310" s="248"/>
      <c r="AH310" s="248"/>
      <c r="AI310" s="248"/>
    </row>
    <row r="311" spans="5:35" ht="15" customHeight="1">
      <c r="E311" s="205"/>
      <c r="W311" s="201"/>
      <c r="Y311" s="418"/>
      <c r="Z311" s="418"/>
      <c r="AD311" s="248"/>
      <c r="AE311" s="248"/>
      <c r="AF311" s="248"/>
      <c r="AG311" s="248"/>
      <c r="AH311" s="248"/>
      <c r="AI311" s="248"/>
    </row>
    <row r="312" spans="5:35">
      <c r="E312" s="205"/>
      <c r="W312" s="201"/>
      <c r="Y312" s="418"/>
      <c r="Z312" s="418"/>
      <c r="AD312" s="248"/>
      <c r="AE312" s="248"/>
      <c r="AF312" s="248"/>
      <c r="AG312" s="248"/>
      <c r="AH312" s="248"/>
      <c r="AI312" s="248"/>
    </row>
    <row r="313" spans="5:35" ht="15" customHeight="1">
      <c r="E313" s="205"/>
      <c r="W313" s="201"/>
      <c r="Y313" s="418"/>
      <c r="Z313" s="418"/>
      <c r="AD313" s="248"/>
      <c r="AE313" s="248"/>
      <c r="AF313" s="248"/>
      <c r="AG313" s="248"/>
      <c r="AH313" s="248"/>
      <c r="AI313" s="248"/>
    </row>
    <row r="314" spans="5:35">
      <c r="E314" s="205"/>
      <c r="W314" s="201"/>
      <c r="Y314" s="418"/>
      <c r="Z314" s="418"/>
      <c r="AD314" s="248"/>
      <c r="AE314" s="248"/>
      <c r="AF314" s="248"/>
      <c r="AG314" s="248"/>
      <c r="AH314" s="248"/>
      <c r="AI314" s="248"/>
    </row>
    <row r="315" spans="5:35">
      <c r="E315" s="205"/>
      <c r="W315" s="201"/>
      <c r="Y315" s="418"/>
      <c r="Z315" s="418"/>
      <c r="AD315" s="248"/>
      <c r="AE315" s="248"/>
      <c r="AF315" s="248"/>
      <c r="AG315" s="248"/>
      <c r="AH315" s="248"/>
      <c r="AI315" s="248"/>
    </row>
    <row r="316" spans="5:35">
      <c r="E316" s="205"/>
      <c r="W316" s="201"/>
      <c r="Y316" s="418"/>
      <c r="Z316" s="418"/>
      <c r="AD316" s="248"/>
      <c r="AE316" s="248"/>
      <c r="AF316" s="248"/>
      <c r="AG316" s="248"/>
      <c r="AH316" s="248"/>
      <c r="AI316" s="248"/>
    </row>
    <row r="317" spans="5:35" ht="15" customHeight="1">
      <c r="E317" s="205"/>
      <c r="W317" s="201"/>
      <c r="Y317" s="418"/>
      <c r="Z317" s="418"/>
      <c r="AD317" s="248"/>
      <c r="AE317" s="248"/>
      <c r="AF317" s="248"/>
      <c r="AG317" s="248"/>
      <c r="AH317" s="248"/>
      <c r="AI317" s="248"/>
    </row>
    <row r="318" spans="5:35">
      <c r="E318" s="205"/>
      <c r="W318" s="201"/>
      <c r="Y318" s="418"/>
      <c r="Z318" s="418"/>
      <c r="AD318" s="248"/>
      <c r="AE318" s="248"/>
      <c r="AF318" s="248"/>
      <c r="AG318" s="248"/>
      <c r="AH318" s="248"/>
      <c r="AI318" s="248"/>
    </row>
    <row r="319" spans="5:35">
      <c r="E319" s="205"/>
      <c r="W319" s="201"/>
      <c r="Y319" s="418"/>
      <c r="Z319" s="418"/>
      <c r="AD319" s="248"/>
      <c r="AE319" s="248"/>
      <c r="AF319" s="248"/>
      <c r="AG319" s="248"/>
      <c r="AH319" s="248"/>
      <c r="AI319" s="248"/>
    </row>
    <row r="320" spans="5:35">
      <c r="E320" s="205"/>
      <c r="W320" s="201"/>
      <c r="Y320" s="418"/>
      <c r="Z320" s="418"/>
      <c r="AD320" s="248"/>
      <c r="AE320" s="248"/>
      <c r="AF320" s="248"/>
      <c r="AG320" s="248"/>
      <c r="AH320" s="248"/>
      <c r="AI320" s="248"/>
    </row>
    <row r="321" spans="5:35">
      <c r="E321" s="205"/>
      <c r="W321" s="201"/>
      <c r="Y321" s="418"/>
      <c r="Z321" s="418"/>
      <c r="AD321" s="248"/>
      <c r="AE321" s="248"/>
      <c r="AF321" s="248"/>
      <c r="AG321" s="248"/>
      <c r="AH321" s="248"/>
      <c r="AI321" s="248"/>
    </row>
    <row r="322" spans="5:35" ht="15" customHeight="1">
      <c r="E322" s="205"/>
      <c r="W322" s="201"/>
      <c r="Y322" s="418"/>
      <c r="Z322" s="418"/>
      <c r="AD322" s="248"/>
      <c r="AE322" s="248"/>
      <c r="AF322" s="248"/>
      <c r="AG322" s="248"/>
      <c r="AH322" s="248"/>
      <c r="AI322" s="248"/>
    </row>
    <row r="323" spans="5:35" ht="15" customHeight="1">
      <c r="E323" s="205"/>
      <c r="W323" s="201"/>
      <c r="Y323" s="418"/>
      <c r="Z323" s="418"/>
      <c r="AD323" s="248"/>
      <c r="AE323" s="248"/>
      <c r="AF323" s="248"/>
      <c r="AG323" s="248"/>
      <c r="AH323" s="248"/>
      <c r="AI323" s="248"/>
    </row>
    <row r="324" spans="5:35" ht="15" customHeight="1">
      <c r="E324" s="205"/>
      <c r="W324" s="201"/>
      <c r="Y324" s="418"/>
      <c r="Z324" s="418"/>
      <c r="AD324" s="248"/>
      <c r="AE324" s="248"/>
      <c r="AF324" s="248"/>
      <c r="AG324" s="248"/>
      <c r="AH324" s="248"/>
      <c r="AI324" s="248"/>
    </row>
    <row r="325" spans="5:35" ht="15" customHeight="1">
      <c r="E325" s="205"/>
      <c r="W325" s="201"/>
      <c r="Y325" s="418"/>
      <c r="Z325" s="418"/>
      <c r="AD325" s="248"/>
      <c r="AE325" s="248"/>
      <c r="AF325" s="248"/>
      <c r="AG325" s="248"/>
      <c r="AH325" s="248"/>
      <c r="AI325" s="248"/>
    </row>
    <row r="326" spans="5:35">
      <c r="E326" s="205"/>
      <c r="W326" s="201"/>
      <c r="Y326" s="418"/>
      <c r="Z326" s="418"/>
      <c r="AD326" s="248"/>
      <c r="AE326" s="248"/>
      <c r="AF326" s="248"/>
      <c r="AG326" s="248"/>
      <c r="AH326" s="248"/>
      <c r="AI326" s="248"/>
    </row>
    <row r="327" spans="5:35">
      <c r="E327" s="205"/>
      <c r="W327" s="201"/>
      <c r="Y327" s="418"/>
      <c r="Z327" s="418"/>
      <c r="AD327" s="248"/>
      <c r="AE327" s="248"/>
      <c r="AF327" s="248"/>
      <c r="AG327" s="248"/>
      <c r="AH327" s="248"/>
      <c r="AI327" s="248"/>
    </row>
    <row r="328" spans="5:35" ht="15" customHeight="1">
      <c r="E328" s="205"/>
      <c r="W328" s="201"/>
      <c r="Y328" s="418"/>
      <c r="Z328" s="418"/>
      <c r="AD328" s="248"/>
      <c r="AE328" s="248"/>
      <c r="AF328" s="248"/>
      <c r="AG328" s="248"/>
      <c r="AH328" s="248"/>
      <c r="AI328" s="248"/>
    </row>
    <row r="329" spans="5:35">
      <c r="E329" s="205"/>
      <c r="W329" s="201"/>
      <c r="Y329" s="418"/>
      <c r="Z329" s="418"/>
      <c r="AD329" s="248"/>
      <c r="AE329" s="248"/>
      <c r="AF329" s="248"/>
      <c r="AG329" s="248"/>
      <c r="AH329" s="248"/>
      <c r="AI329" s="248"/>
    </row>
    <row r="330" spans="5:35">
      <c r="E330" s="205"/>
      <c r="W330" s="201"/>
      <c r="Y330" s="418"/>
      <c r="Z330" s="418"/>
      <c r="AD330" s="248"/>
      <c r="AE330" s="248"/>
      <c r="AF330" s="248"/>
      <c r="AG330" s="248"/>
      <c r="AH330" s="248"/>
      <c r="AI330" s="248"/>
    </row>
    <row r="331" spans="5:35">
      <c r="E331" s="205"/>
      <c r="W331" s="201"/>
      <c r="Y331" s="418"/>
      <c r="Z331" s="418"/>
      <c r="AD331" s="248"/>
      <c r="AE331" s="248"/>
      <c r="AF331" s="248"/>
      <c r="AG331" s="248"/>
      <c r="AH331" s="248"/>
      <c r="AI331" s="248"/>
    </row>
    <row r="332" spans="5:35">
      <c r="E332" s="205"/>
      <c r="W332" s="201"/>
      <c r="Y332" s="418"/>
      <c r="Z332" s="418"/>
      <c r="AD332" s="248"/>
      <c r="AE332" s="248"/>
      <c r="AF332" s="248"/>
      <c r="AG332" s="248"/>
      <c r="AH332" s="248"/>
      <c r="AI332" s="248"/>
    </row>
    <row r="333" spans="5:35" ht="15" customHeight="1">
      <c r="E333" s="205"/>
      <c r="W333" s="201"/>
      <c r="Y333" s="418"/>
      <c r="Z333" s="418"/>
      <c r="AD333" s="248"/>
      <c r="AE333" s="248"/>
      <c r="AF333" s="248"/>
      <c r="AG333" s="248"/>
      <c r="AH333" s="248"/>
      <c r="AI333" s="248"/>
    </row>
    <row r="334" spans="5:35" ht="76.5" customHeight="1">
      <c r="E334" s="205"/>
      <c r="W334" s="201"/>
      <c r="Y334" s="418"/>
      <c r="Z334" s="418"/>
      <c r="AD334" s="248"/>
      <c r="AE334" s="248"/>
      <c r="AF334" s="248"/>
      <c r="AG334" s="248"/>
      <c r="AH334" s="248"/>
      <c r="AI334" s="248"/>
    </row>
    <row r="335" spans="5:35">
      <c r="E335" s="205"/>
      <c r="W335" s="201"/>
      <c r="Y335" s="418"/>
      <c r="Z335" s="418"/>
      <c r="AD335" s="248"/>
      <c r="AE335" s="248"/>
      <c r="AF335" s="248"/>
      <c r="AG335" s="248"/>
      <c r="AH335" s="248"/>
      <c r="AI335" s="248"/>
    </row>
    <row r="336" spans="5:35" ht="121.5" customHeight="1">
      <c r="E336" s="205"/>
      <c r="W336" s="201"/>
      <c r="Y336" s="418"/>
      <c r="Z336" s="418"/>
      <c r="AD336" s="248"/>
      <c r="AE336" s="248"/>
      <c r="AF336" s="248"/>
      <c r="AG336" s="248"/>
      <c r="AH336" s="248"/>
      <c r="AI336" s="248"/>
    </row>
    <row r="337" spans="5:35">
      <c r="E337" s="205"/>
      <c r="W337" s="201"/>
      <c r="Y337" s="418"/>
      <c r="Z337" s="418"/>
      <c r="AD337" s="248"/>
      <c r="AE337" s="248"/>
      <c r="AF337" s="248"/>
      <c r="AG337" s="248"/>
      <c r="AH337" s="248"/>
      <c r="AI337" s="248"/>
    </row>
    <row r="338" spans="5:35" ht="15" customHeight="1">
      <c r="E338" s="205"/>
      <c r="W338" s="201"/>
      <c r="Y338" s="418"/>
      <c r="Z338" s="418"/>
      <c r="AD338" s="248"/>
      <c r="AE338" s="248"/>
      <c r="AF338" s="248"/>
      <c r="AG338" s="248"/>
      <c r="AH338" s="248"/>
      <c r="AI338" s="248"/>
    </row>
    <row r="339" spans="5:35">
      <c r="E339" s="205"/>
      <c r="W339" s="201"/>
      <c r="Y339" s="418"/>
      <c r="Z339" s="418"/>
      <c r="AD339" s="248"/>
      <c r="AE339" s="248"/>
      <c r="AF339" s="248"/>
      <c r="AG339" s="248"/>
      <c r="AH339" s="248"/>
      <c r="AI339" s="248"/>
    </row>
    <row r="340" spans="5:35">
      <c r="E340" s="205"/>
      <c r="W340" s="201"/>
      <c r="Y340" s="418"/>
      <c r="Z340" s="418"/>
      <c r="AD340" s="248"/>
      <c r="AE340" s="248"/>
      <c r="AF340" s="248"/>
      <c r="AG340" s="248"/>
      <c r="AH340" s="248"/>
      <c r="AI340" s="248"/>
    </row>
    <row r="341" spans="5:35">
      <c r="E341" s="205"/>
      <c r="W341" s="201"/>
      <c r="Y341" s="418"/>
      <c r="Z341" s="418"/>
      <c r="AD341" s="248"/>
      <c r="AE341" s="248"/>
      <c r="AF341" s="248"/>
      <c r="AG341" s="248"/>
      <c r="AH341" s="248"/>
      <c r="AI341" s="248"/>
    </row>
    <row r="342" spans="5:35">
      <c r="E342" s="205"/>
      <c r="W342" s="201"/>
      <c r="Y342" s="418"/>
      <c r="Z342" s="418"/>
      <c r="AD342" s="248"/>
      <c r="AE342" s="248"/>
      <c r="AF342" s="248"/>
      <c r="AG342" s="248"/>
      <c r="AH342" s="248"/>
      <c r="AI342" s="248"/>
    </row>
    <row r="343" spans="5:35">
      <c r="E343" s="205"/>
      <c r="W343" s="201"/>
      <c r="Y343" s="418"/>
      <c r="Z343" s="418"/>
      <c r="AD343" s="248"/>
      <c r="AE343" s="248"/>
      <c r="AF343" s="248"/>
      <c r="AG343" s="248"/>
      <c r="AH343" s="248"/>
      <c r="AI343" s="248"/>
    </row>
    <row r="344" spans="5:35">
      <c r="E344" s="205"/>
      <c r="W344" s="201"/>
      <c r="Y344" s="418"/>
      <c r="Z344" s="418"/>
      <c r="AD344" s="248"/>
      <c r="AE344" s="248"/>
      <c r="AF344" s="248"/>
      <c r="AG344" s="248"/>
      <c r="AH344" s="248"/>
      <c r="AI344" s="248"/>
    </row>
    <row r="345" spans="5:35">
      <c r="E345" s="205"/>
      <c r="W345" s="201"/>
      <c r="Y345" s="418"/>
      <c r="Z345" s="418"/>
      <c r="AD345" s="248"/>
      <c r="AE345" s="248"/>
      <c r="AF345" s="248"/>
      <c r="AG345" s="248"/>
      <c r="AH345" s="248"/>
      <c r="AI345" s="248"/>
    </row>
    <row r="346" spans="5:35">
      <c r="E346" s="205"/>
      <c r="W346" s="201"/>
      <c r="Y346" s="418"/>
      <c r="Z346" s="418"/>
      <c r="AD346" s="248"/>
      <c r="AE346" s="248"/>
      <c r="AF346" s="248"/>
      <c r="AG346" s="248"/>
      <c r="AH346" s="248"/>
      <c r="AI346" s="248"/>
    </row>
    <row r="347" spans="5:35">
      <c r="E347" s="205"/>
      <c r="W347" s="201"/>
      <c r="Y347" s="418"/>
      <c r="Z347" s="418"/>
      <c r="AD347" s="248"/>
      <c r="AE347" s="248"/>
      <c r="AF347" s="248"/>
      <c r="AG347" s="248"/>
      <c r="AH347" s="248"/>
      <c r="AI347" s="248"/>
    </row>
    <row r="348" spans="5:35">
      <c r="E348" s="205"/>
      <c r="W348" s="201"/>
      <c r="Y348" s="418"/>
      <c r="Z348" s="418"/>
      <c r="AD348" s="248"/>
      <c r="AE348" s="248"/>
      <c r="AF348" s="248"/>
      <c r="AG348" s="248"/>
      <c r="AH348" s="248"/>
      <c r="AI348" s="248"/>
    </row>
    <row r="349" spans="5:35">
      <c r="E349" s="205"/>
      <c r="W349" s="201"/>
      <c r="Y349" s="418"/>
      <c r="Z349" s="418"/>
      <c r="AD349" s="248"/>
      <c r="AE349" s="248"/>
      <c r="AF349" s="248"/>
      <c r="AG349" s="248"/>
      <c r="AH349" s="248"/>
      <c r="AI349" s="248"/>
    </row>
    <row r="350" spans="5:35">
      <c r="E350" s="205"/>
      <c r="W350" s="201"/>
      <c r="Y350" s="418"/>
      <c r="Z350" s="418"/>
      <c r="AD350" s="248"/>
      <c r="AE350" s="248"/>
      <c r="AF350" s="248"/>
      <c r="AG350" s="248"/>
      <c r="AH350" s="248"/>
      <c r="AI350" s="248"/>
    </row>
    <row r="351" spans="5:35">
      <c r="E351" s="205"/>
      <c r="W351" s="201"/>
      <c r="Y351" s="418"/>
      <c r="Z351" s="418"/>
      <c r="AD351" s="248"/>
      <c r="AE351" s="248"/>
      <c r="AF351" s="248"/>
      <c r="AG351" s="248"/>
      <c r="AH351" s="248"/>
      <c r="AI351" s="248"/>
    </row>
    <row r="352" spans="5:35">
      <c r="E352" s="205"/>
      <c r="W352" s="201"/>
      <c r="Y352" s="418"/>
      <c r="Z352" s="418"/>
      <c r="AD352" s="248"/>
      <c r="AE352" s="248"/>
      <c r="AF352" s="248"/>
      <c r="AG352" s="248"/>
      <c r="AH352" s="248"/>
      <c r="AI352" s="248"/>
    </row>
    <row r="353" spans="5:35">
      <c r="E353" s="205"/>
      <c r="W353" s="201"/>
      <c r="Y353" s="418"/>
      <c r="Z353" s="418"/>
      <c r="AD353" s="248"/>
      <c r="AE353" s="248"/>
      <c r="AF353" s="248"/>
      <c r="AG353" s="248"/>
      <c r="AH353" s="248"/>
      <c r="AI353" s="248"/>
    </row>
    <row r="354" spans="5:35">
      <c r="E354" s="205"/>
      <c r="W354" s="201"/>
      <c r="Y354" s="418"/>
      <c r="Z354" s="418"/>
      <c r="AD354" s="248"/>
      <c r="AE354" s="248"/>
      <c r="AF354" s="248"/>
      <c r="AG354" s="248"/>
      <c r="AH354" s="248"/>
      <c r="AI354" s="248"/>
    </row>
    <row r="355" spans="5:35">
      <c r="E355" s="205"/>
      <c r="W355" s="201"/>
      <c r="Y355" s="418"/>
      <c r="Z355" s="418"/>
      <c r="AD355" s="248"/>
      <c r="AE355" s="248"/>
      <c r="AF355" s="248"/>
      <c r="AG355" s="248"/>
      <c r="AH355" s="248"/>
      <c r="AI355" s="248"/>
    </row>
    <row r="356" spans="5:35">
      <c r="E356" s="205"/>
      <c r="W356" s="201"/>
      <c r="Y356" s="418"/>
      <c r="Z356" s="418"/>
      <c r="AD356" s="248"/>
      <c r="AE356" s="248"/>
      <c r="AF356" s="248"/>
      <c r="AG356" s="248"/>
      <c r="AH356" s="248"/>
      <c r="AI356" s="248"/>
    </row>
    <row r="357" spans="5:35">
      <c r="E357" s="205"/>
      <c r="W357" s="201"/>
      <c r="Y357" s="418"/>
      <c r="Z357" s="418"/>
      <c r="AD357" s="248"/>
      <c r="AE357" s="248"/>
      <c r="AF357" s="248"/>
      <c r="AG357" s="248"/>
      <c r="AH357" s="248"/>
      <c r="AI357" s="248"/>
    </row>
    <row r="358" spans="5:35">
      <c r="E358" s="205"/>
      <c r="W358" s="201"/>
      <c r="Y358" s="418"/>
      <c r="Z358" s="418"/>
      <c r="AD358" s="248"/>
      <c r="AE358" s="248"/>
      <c r="AF358" s="248"/>
      <c r="AG358" s="248"/>
      <c r="AH358" s="248"/>
      <c r="AI358" s="248"/>
    </row>
    <row r="359" spans="5:35">
      <c r="E359" s="205"/>
      <c r="W359" s="201"/>
      <c r="Y359" s="418"/>
      <c r="Z359" s="418"/>
      <c r="AD359" s="248"/>
      <c r="AE359" s="248"/>
      <c r="AF359" s="248"/>
      <c r="AG359" s="248"/>
      <c r="AH359" s="248"/>
      <c r="AI359" s="248"/>
    </row>
    <row r="360" spans="5:35">
      <c r="E360" s="205"/>
      <c r="W360" s="201"/>
      <c r="Y360" s="418"/>
      <c r="Z360" s="418"/>
      <c r="AD360" s="248"/>
      <c r="AE360" s="248"/>
      <c r="AF360" s="248"/>
      <c r="AG360" s="248"/>
      <c r="AH360" s="248"/>
      <c r="AI360" s="248"/>
    </row>
    <row r="361" spans="5:35" ht="167.25" customHeight="1">
      <c r="E361" s="205"/>
      <c r="W361" s="201"/>
      <c r="Y361" s="418"/>
      <c r="Z361" s="418"/>
      <c r="AD361" s="248"/>
      <c r="AE361" s="248"/>
      <c r="AF361" s="248"/>
      <c r="AG361" s="248"/>
      <c r="AH361" s="248"/>
      <c r="AI361" s="248"/>
    </row>
    <row r="362" spans="5:35">
      <c r="E362" s="205"/>
      <c r="W362" s="201"/>
      <c r="Y362" s="418"/>
      <c r="Z362" s="418"/>
      <c r="AD362" s="248"/>
      <c r="AE362" s="248"/>
      <c r="AF362" s="248"/>
      <c r="AG362" s="248"/>
      <c r="AH362" s="248"/>
      <c r="AI362" s="248"/>
    </row>
    <row r="363" spans="5:35">
      <c r="E363" s="205"/>
      <c r="W363" s="201"/>
      <c r="Y363" s="418"/>
      <c r="Z363" s="418"/>
      <c r="AD363" s="248"/>
      <c r="AE363" s="248"/>
      <c r="AF363" s="248"/>
      <c r="AG363" s="248"/>
      <c r="AH363" s="248"/>
      <c r="AI363" s="248"/>
    </row>
    <row r="364" spans="5:35">
      <c r="E364" s="205"/>
      <c r="W364" s="201"/>
      <c r="Y364" s="418"/>
      <c r="Z364" s="418"/>
      <c r="AD364" s="248"/>
      <c r="AE364" s="248"/>
      <c r="AF364" s="248"/>
      <c r="AG364" s="248"/>
      <c r="AH364" s="248"/>
      <c r="AI364" s="248"/>
    </row>
    <row r="365" spans="5:35">
      <c r="E365" s="205"/>
      <c r="W365" s="201"/>
      <c r="Y365" s="418"/>
      <c r="Z365" s="418"/>
      <c r="AD365" s="248"/>
      <c r="AE365" s="248"/>
      <c r="AF365" s="248"/>
      <c r="AG365" s="248"/>
      <c r="AH365" s="248"/>
      <c r="AI365" s="248"/>
    </row>
    <row r="366" spans="5:35">
      <c r="E366" s="205"/>
      <c r="W366" s="201"/>
      <c r="Y366" s="418"/>
      <c r="Z366" s="418"/>
      <c r="AD366" s="248"/>
      <c r="AE366" s="248"/>
      <c r="AF366" s="248"/>
      <c r="AG366" s="248"/>
      <c r="AH366" s="248"/>
      <c r="AI366" s="248"/>
    </row>
    <row r="367" spans="5:35">
      <c r="E367" s="205"/>
      <c r="W367" s="201"/>
      <c r="Y367" s="418"/>
      <c r="Z367" s="418"/>
      <c r="AD367" s="248"/>
      <c r="AE367" s="248"/>
      <c r="AF367" s="248"/>
      <c r="AG367" s="248"/>
      <c r="AH367" s="248"/>
      <c r="AI367" s="248"/>
    </row>
    <row r="368" spans="5:35" ht="15" customHeight="1">
      <c r="E368" s="205"/>
      <c r="W368" s="201"/>
      <c r="Y368" s="418"/>
      <c r="Z368" s="418"/>
      <c r="AD368" s="248"/>
      <c r="AE368" s="248"/>
      <c r="AF368" s="248"/>
      <c r="AG368" s="248"/>
      <c r="AH368" s="248"/>
      <c r="AI368" s="248"/>
    </row>
    <row r="369" spans="1:35">
      <c r="E369" s="205"/>
      <c r="W369" s="201"/>
      <c r="Y369" s="418"/>
      <c r="Z369" s="418"/>
      <c r="AD369" s="248"/>
      <c r="AE369" s="248"/>
      <c r="AF369" s="248"/>
      <c r="AG369" s="248"/>
      <c r="AH369" s="248"/>
      <c r="AI369" s="248"/>
    </row>
    <row r="370" spans="1:35">
      <c r="E370" s="205"/>
      <c r="W370" s="201"/>
      <c r="Y370" s="418"/>
      <c r="Z370" s="418"/>
      <c r="AD370" s="248"/>
      <c r="AE370" s="248"/>
      <c r="AF370" s="248"/>
      <c r="AG370" s="248"/>
      <c r="AH370" s="248"/>
      <c r="AI370" s="248"/>
    </row>
    <row r="371" spans="1:35" s="215" customFormat="1">
      <c r="A371" s="395"/>
      <c r="B371" s="395"/>
      <c r="C371" s="395"/>
      <c r="D371" s="348"/>
      <c r="E371" s="205"/>
      <c r="F371" s="205"/>
      <c r="G371" s="201"/>
      <c r="H371" s="216"/>
      <c r="I371" s="202"/>
      <c r="J371" s="206"/>
      <c r="K371" s="202"/>
      <c r="L371" s="207"/>
      <c r="M371" s="207"/>
      <c r="N371" s="207"/>
      <c r="O371" s="213"/>
      <c r="P371" s="213"/>
      <c r="Q371" s="208"/>
      <c r="R371" s="201"/>
      <c r="S371" s="201"/>
      <c r="T371" s="201"/>
      <c r="U371" s="201"/>
      <c r="V371" s="201"/>
      <c r="W371" s="201"/>
      <c r="X371" s="426"/>
      <c r="Y371" s="418"/>
      <c r="Z371" s="418"/>
      <c r="AA371" s="196"/>
      <c r="AB371" s="197"/>
      <c r="AC371" s="197"/>
      <c r="AD371" s="252"/>
      <c r="AE371" s="252"/>
      <c r="AF371" s="252"/>
      <c r="AG371" s="252"/>
      <c r="AH371" s="252"/>
      <c r="AI371" s="252"/>
    </row>
    <row r="372" spans="1:35">
      <c r="E372" s="205"/>
      <c r="W372" s="201"/>
      <c r="Y372" s="418"/>
      <c r="Z372" s="418"/>
      <c r="AD372" s="248"/>
      <c r="AE372" s="248"/>
      <c r="AF372" s="248"/>
      <c r="AG372" s="248"/>
      <c r="AH372" s="248"/>
      <c r="AI372" s="248"/>
    </row>
    <row r="373" spans="1:35">
      <c r="E373" s="205"/>
      <c r="W373" s="201"/>
      <c r="Y373" s="418"/>
      <c r="Z373" s="418"/>
      <c r="AD373" s="248"/>
      <c r="AE373" s="248"/>
      <c r="AF373" s="248"/>
      <c r="AG373" s="248"/>
      <c r="AH373" s="248"/>
      <c r="AI373" s="248"/>
    </row>
    <row r="374" spans="1:35">
      <c r="E374" s="205"/>
      <c r="W374" s="201"/>
      <c r="Y374" s="418"/>
      <c r="Z374" s="418"/>
      <c r="AD374" s="248"/>
      <c r="AE374" s="248"/>
      <c r="AF374" s="248"/>
      <c r="AG374" s="248"/>
      <c r="AH374" s="248"/>
      <c r="AI374" s="248"/>
    </row>
    <row r="375" spans="1:35">
      <c r="E375" s="205"/>
      <c r="W375" s="201"/>
      <c r="Y375" s="418"/>
      <c r="Z375" s="418"/>
      <c r="AD375" s="248"/>
      <c r="AE375" s="248"/>
      <c r="AF375" s="248"/>
      <c r="AG375" s="248"/>
      <c r="AH375" s="248"/>
      <c r="AI375" s="248"/>
    </row>
    <row r="376" spans="1:35">
      <c r="E376" s="205"/>
      <c r="W376" s="201"/>
      <c r="Y376" s="418"/>
      <c r="Z376" s="418"/>
      <c r="AD376" s="248"/>
      <c r="AE376" s="248"/>
      <c r="AF376" s="248"/>
      <c r="AG376" s="248"/>
      <c r="AH376" s="248"/>
      <c r="AI376" s="248"/>
    </row>
    <row r="377" spans="1:35" ht="15" customHeight="1">
      <c r="E377" s="205"/>
      <c r="W377" s="201"/>
      <c r="Y377" s="418"/>
      <c r="Z377" s="418"/>
      <c r="AD377" s="248"/>
      <c r="AE377" s="248"/>
      <c r="AF377" s="248"/>
      <c r="AG377" s="248"/>
      <c r="AH377" s="248"/>
      <c r="AI377" s="248"/>
    </row>
    <row r="378" spans="1:35">
      <c r="E378" s="205"/>
      <c r="W378" s="201"/>
      <c r="Y378" s="418"/>
      <c r="Z378" s="418"/>
      <c r="AD378" s="248"/>
      <c r="AE378" s="248"/>
      <c r="AF378" s="248"/>
      <c r="AG378" s="248"/>
      <c r="AH378" s="248"/>
      <c r="AI378" s="248"/>
    </row>
    <row r="379" spans="1:35">
      <c r="E379" s="205"/>
      <c r="W379" s="201"/>
      <c r="Y379" s="418"/>
      <c r="Z379" s="418"/>
      <c r="AD379" s="248"/>
      <c r="AE379" s="248"/>
      <c r="AF379" s="248"/>
      <c r="AG379" s="248"/>
      <c r="AH379" s="248"/>
      <c r="AI379" s="248"/>
    </row>
    <row r="380" spans="1:35" ht="15" customHeight="1">
      <c r="E380" s="205"/>
      <c r="W380" s="201"/>
      <c r="Y380" s="418"/>
      <c r="Z380" s="418"/>
      <c r="AD380" s="248"/>
      <c r="AE380" s="248"/>
      <c r="AF380" s="248"/>
      <c r="AG380" s="248"/>
      <c r="AH380" s="248"/>
      <c r="AI380" s="248"/>
    </row>
    <row r="381" spans="1:35" ht="15" customHeight="1">
      <c r="E381" s="205"/>
      <c r="W381" s="201"/>
      <c r="Y381" s="418"/>
      <c r="Z381" s="418"/>
      <c r="AD381" s="248"/>
      <c r="AE381" s="248"/>
      <c r="AF381" s="248"/>
      <c r="AG381" s="248"/>
      <c r="AH381" s="248"/>
      <c r="AI381" s="248"/>
    </row>
    <row r="382" spans="1:35">
      <c r="E382" s="205"/>
      <c r="W382" s="201"/>
      <c r="Y382" s="418"/>
      <c r="Z382" s="418"/>
      <c r="AD382" s="248"/>
      <c r="AE382" s="248"/>
      <c r="AF382" s="248"/>
      <c r="AG382" s="248"/>
      <c r="AH382" s="248"/>
      <c r="AI382" s="248"/>
    </row>
    <row r="383" spans="1:35">
      <c r="E383" s="205"/>
      <c r="W383" s="201"/>
      <c r="Y383" s="418"/>
      <c r="Z383" s="418"/>
      <c r="AD383" s="248"/>
      <c r="AE383" s="248"/>
      <c r="AF383" s="248"/>
      <c r="AG383" s="248"/>
      <c r="AH383" s="248"/>
      <c r="AI383" s="248"/>
    </row>
    <row r="384" spans="1:35">
      <c r="E384" s="205"/>
      <c r="W384" s="201"/>
      <c r="Y384" s="418"/>
      <c r="Z384" s="418"/>
      <c r="AD384" s="248"/>
      <c r="AE384" s="248"/>
      <c r="AF384" s="248"/>
      <c r="AG384" s="248"/>
      <c r="AH384" s="248"/>
      <c r="AI384" s="248"/>
    </row>
    <row r="385" spans="5:35">
      <c r="E385" s="205"/>
      <c r="W385" s="201"/>
      <c r="Y385" s="418"/>
      <c r="Z385" s="418"/>
      <c r="AD385" s="248"/>
      <c r="AE385" s="248"/>
      <c r="AF385" s="248"/>
      <c r="AG385" s="248"/>
      <c r="AH385" s="248"/>
      <c r="AI385" s="248"/>
    </row>
    <row r="386" spans="5:35" ht="15" customHeight="1">
      <c r="E386" s="205"/>
      <c r="W386" s="201"/>
      <c r="Y386" s="418"/>
      <c r="Z386" s="418"/>
      <c r="AD386" s="248"/>
      <c r="AE386" s="248"/>
      <c r="AF386" s="248"/>
      <c r="AG386" s="248"/>
      <c r="AH386" s="248"/>
      <c r="AI386" s="248"/>
    </row>
    <row r="387" spans="5:35" ht="152.25" customHeight="1">
      <c r="E387" s="205"/>
      <c r="W387" s="201"/>
      <c r="Y387" s="418"/>
      <c r="Z387" s="418"/>
      <c r="AD387" s="248"/>
      <c r="AE387" s="248"/>
      <c r="AF387" s="248"/>
      <c r="AG387" s="248"/>
      <c r="AH387" s="248"/>
      <c r="AI387" s="248"/>
    </row>
    <row r="388" spans="5:35">
      <c r="E388" s="205"/>
      <c r="W388" s="201"/>
      <c r="Y388" s="418"/>
      <c r="Z388" s="418"/>
      <c r="AD388" s="248"/>
      <c r="AE388" s="248"/>
      <c r="AF388" s="248"/>
      <c r="AG388" s="248"/>
      <c r="AH388" s="248"/>
      <c r="AI388" s="248"/>
    </row>
    <row r="389" spans="5:35">
      <c r="E389" s="205"/>
      <c r="W389" s="201"/>
      <c r="Y389" s="418"/>
      <c r="Z389" s="418"/>
      <c r="AD389" s="248"/>
      <c r="AE389" s="248"/>
      <c r="AF389" s="248"/>
      <c r="AG389" s="248"/>
      <c r="AH389" s="248"/>
      <c r="AI389" s="248"/>
    </row>
    <row r="390" spans="5:35">
      <c r="E390" s="205"/>
      <c r="W390" s="201"/>
      <c r="Y390" s="418"/>
      <c r="Z390" s="418"/>
      <c r="AD390" s="248"/>
      <c r="AE390" s="248"/>
      <c r="AF390" s="248"/>
      <c r="AG390" s="248"/>
      <c r="AH390" s="248"/>
      <c r="AI390" s="248"/>
    </row>
    <row r="391" spans="5:35">
      <c r="E391" s="205"/>
      <c r="W391" s="201"/>
      <c r="Y391" s="418"/>
      <c r="Z391" s="418"/>
      <c r="AD391" s="248"/>
      <c r="AE391" s="248"/>
      <c r="AF391" s="248"/>
      <c r="AG391" s="248"/>
      <c r="AH391" s="248"/>
      <c r="AI391" s="248"/>
    </row>
    <row r="392" spans="5:35">
      <c r="E392" s="205"/>
      <c r="W392" s="201"/>
      <c r="Y392" s="418"/>
      <c r="Z392" s="418"/>
      <c r="AD392" s="248"/>
      <c r="AE392" s="248"/>
      <c r="AF392" s="248"/>
      <c r="AG392" s="248"/>
      <c r="AH392" s="248"/>
      <c r="AI392" s="248"/>
    </row>
    <row r="393" spans="5:35">
      <c r="E393" s="205"/>
      <c r="W393" s="201"/>
      <c r="Y393" s="418"/>
      <c r="Z393" s="418"/>
      <c r="AD393" s="248"/>
      <c r="AE393" s="248"/>
      <c r="AF393" s="248"/>
      <c r="AG393" s="248"/>
      <c r="AH393" s="248"/>
      <c r="AI393" s="248"/>
    </row>
    <row r="394" spans="5:35">
      <c r="E394" s="205"/>
      <c r="W394" s="201"/>
      <c r="Y394" s="418"/>
      <c r="Z394" s="418"/>
      <c r="AD394" s="248"/>
      <c r="AE394" s="248"/>
      <c r="AF394" s="248"/>
      <c r="AG394" s="248"/>
      <c r="AH394" s="248"/>
      <c r="AI394" s="248"/>
    </row>
    <row r="395" spans="5:35" ht="15" customHeight="1">
      <c r="E395" s="205"/>
      <c r="W395" s="201"/>
      <c r="Y395" s="418"/>
      <c r="Z395" s="418"/>
      <c r="AD395" s="248"/>
      <c r="AE395" s="248"/>
      <c r="AF395" s="248"/>
      <c r="AG395" s="248"/>
      <c r="AH395" s="248"/>
      <c r="AI395" s="248"/>
    </row>
    <row r="396" spans="5:35" ht="15" customHeight="1">
      <c r="E396" s="205"/>
      <c r="W396" s="201"/>
      <c r="Y396" s="418"/>
      <c r="Z396" s="418"/>
      <c r="AD396" s="248"/>
      <c r="AE396" s="248"/>
      <c r="AF396" s="248"/>
      <c r="AG396" s="248"/>
      <c r="AH396" s="248"/>
      <c r="AI396" s="248"/>
    </row>
    <row r="397" spans="5:35" ht="91.5" customHeight="1">
      <c r="E397" s="205"/>
      <c r="W397" s="201"/>
      <c r="Y397" s="418"/>
      <c r="Z397" s="418"/>
      <c r="AD397" s="248"/>
      <c r="AE397" s="248"/>
      <c r="AF397" s="248"/>
      <c r="AG397" s="248"/>
      <c r="AH397" s="248"/>
      <c r="AI397" s="248"/>
    </row>
    <row r="398" spans="5:35" ht="15" customHeight="1">
      <c r="E398" s="205"/>
      <c r="W398" s="201"/>
      <c r="Y398" s="418"/>
      <c r="Z398" s="418"/>
      <c r="AD398" s="248"/>
      <c r="AE398" s="248"/>
      <c r="AF398" s="248"/>
      <c r="AG398" s="248"/>
      <c r="AH398" s="248"/>
      <c r="AI398" s="248"/>
    </row>
    <row r="399" spans="5:35">
      <c r="E399" s="205"/>
      <c r="W399" s="201"/>
      <c r="Y399" s="418"/>
      <c r="Z399" s="418"/>
      <c r="AD399" s="248"/>
      <c r="AE399" s="248"/>
      <c r="AF399" s="248"/>
      <c r="AG399" s="248"/>
      <c r="AH399" s="248"/>
      <c r="AI399" s="248"/>
    </row>
    <row r="400" spans="5:35" ht="15" customHeight="1">
      <c r="E400" s="205"/>
      <c r="W400" s="201"/>
      <c r="Y400" s="418"/>
      <c r="Z400" s="418"/>
      <c r="AD400" s="248"/>
      <c r="AE400" s="248"/>
      <c r="AF400" s="248"/>
      <c r="AG400" s="248"/>
      <c r="AH400" s="248"/>
      <c r="AI400" s="248"/>
    </row>
    <row r="401" spans="1:35" ht="15" customHeight="1">
      <c r="E401" s="205"/>
      <c r="W401" s="201"/>
      <c r="X401" s="439"/>
      <c r="Y401" s="440"/>
      <c r="Z401" s="440"/>
      <c r="AA401" s="330"/>
      <c r="AB401" s="272"/>
      <c r="AC401" s="272"/>
      <c r="AD401" s="248"/>
      <c r="AE401" s="248"/>
      <c r="AF401" s="248"/>
      <c r="AG401" s="248"/>
      <c r="AH401" s="248"/>
      <c r="AI401" s="248"/>
    </row>
    <row r="402" spans="1:35" ht="15" customHeight="1">
      <c r="E402" s="205"/>
      <c r="W402" s="201"/>
      <c r="Y402" s="418"/>
      <c r="Z402" s="418"/>
      <c r="AD402" s="248"/>
      <c r="AE402" s="248"/>
      <c r="AF402" s="248"/>
      <c r="AG402" s="248"/>
      <c r="AH402" s="248"/>
      <c r="AI402" s="248"/>
    </row>
    <row r="403" spans="1:35" ht="135.75" customHeight="1">
      <c r="E403" s="205"/>
      <c r="W403" s="201"/>
      <c r="Y403" s="418"/>
      <c r="Z403" s="418"/>
      <c r="AD403" s="248"/>
      <c r="AE403" s="248"/>
      <c r="AF403" s="248"/>
      <c r="AG403" s="248"/>
      <c r="AH403" s="248"/>
      <c r="AI403" s="248"/>
    </row>
    <row r="404" spans="1:35" ht="15" customHeight="1">
      <c r="E404" s="205"/>
      <c r="W404" s="201"/>
      <c r="Y404" s="418"/>
      <c r="Z404" s="418"/>
      <c r="AD404" s="248"/>
      <c r="AE404" s="248"/>
      <c r="AF404" s="248"/>
      <c r="AG404" s="248"/>
      <c r="AH404" s="248"/>
      <c r="AI404" s="248"/>
    </row>
    <row r="405" spans="1:35" ht="15" customHeight="1">
      <c r="E405" s="205"/>
      <c r="W405" s="201"/>
      <c r="Y405" s="418"/>
      <c r="Z405" s="418"/>
      <c r="AD405" s="248"/>
      <c r="AE405" s="248"/>
      <c r="AF405" s="248"/>
      <c r="AG405" s="248"/>
      <c r="AH405" s="248"/>
      <c r="AI405" s="248"/>
    </row>
    <row r="406" spans="1:35" ht="15" customHeight="1">
      <c r="E406" s="205"/>
      <c r="W406" s="201"/>
      <c r="Y406" s="418"/>
      <c r="Z406" s="418"/>
      <c r="AD406" s="248"/>
      <c r="AE406" s="248"/>
      <c r="AF406" s="248"/>
      <c r="AG406" s="248"/>
      <c r="AH406" s="248"/>
      <c r="AI406" s="248"/>
    </row>
    <row r="407" spans="1:35" ht="15" customHeight="1">
      <c r="E407" s="205"/>
      <c r="W407" s="201"/>
      <c r="Y407" s="418"/>
      <c r="Z407" s="418"/>
      <c r="AD407" s="248"/>
      <c r="AE407" s="248"/>
      <c r="AF407" s="248"/>
      <c r="AG407" s="248"/>
      <c r="AH407" s="248"/>
      <c r="AI407" s="248"/>
    </row>
    <row r="408" spans="1:35" ht="15" customHeight="1">
      <c r="E408" s="205"/>
      <c r="W408" s="201"/>
      <c r="Y408" s="418"/>
      <c r="Z408" s="418"/>
      <c r="AD408" s="248"/>
      <c r="AE408" s="248"/>
      <c r="AF408" s="248"/>
      <c r="AG408" s="248"/>
      <c r="AH408" s="248"/>
      <c r="AI408" s="248"/>
    </row>
    <row r="409" spans="1:35" ht="15" customHeight="1">
      <c r="E409" s="205"/>
      <c r="W409" s="201"/>
      <c r="Y409" s="418"/>
      <c r="Z409" s="418"/>
      <c r="AD409" s="248"/>
      <c r="AE409" s="248"/>
      <c r="AF409" s="248"/>
      <c r="AG409" s="248"/>
      <c r="AH409" s="248"/>
      <c r="AI409" s="248"/>
    </row>
    <row r="410" spans="1:35" ht="290.25" customHeight="1">
      <c r="E410" s="205"/>
      <c r="W410" s="201"/>
      <c r="Y410" s="418"/>
      <c r="Z410" s="418"/>
      <c r="AD410" s="248"/>
      <c r="AE410" s="248"/>
      <c r="AF410" s="248"/>
      <c r="AG410" s="248"/>
      <c r="AH410" s="248"/>
      <c r="AI410" s="248"/>
    </row>
    <row r="411" spans="1:35" ht="15" customHeight="1">
      <c r="E411" s="205"/>
      <c r="W411" s="201"/>
      <c r="Y411" s="418"/>
      <c r="Z411" s="418"/>
      <c r="AD411" s="248"/>
      <c r="AE411" s="248"/>
      <c r="AF411" s="248"/>
      <c r="AG411" s="248"/>
      <c r="AH411" s="248"/>
      <c r="AI411" s="248"/>
    </row>
    <row r="412" spans="1:35" ht="15" customHeight="1">
      <c r="E412" s="205"/>
      <c r="W412" s="201"/>
      <c r="Y412" s="418"/>
      <c r="Z412" s="418"/>
      <c r="AD412" s="248"/>
      <c r="AE412" s="248"/>
      <c r="AF412" s="248"/>
      <c r="AG412" s="248"/>
      <c r="AH412" s="248"/>
      <c r="AI412" s="248"/>
    </row>
    <row r="413" spans="1:35">
      <c r="E413" s="205"/>
      <c r="W413" s="201"/>
      <c r="Y413" s="418"/>
      <c r="Z413" s="418"/>
      <c r="AD413" s="248"/>
      <c r="AE413" s="248"/>
      <c r="AF413" s="248"/>
      <c r="AG413" s="248"/>
      <c r="AH413" s="248"/>
      <c r="AI413" s="248"/>
    </row>
    <row r="414" spans="1:35">
      <c r="E414" s="205"/>
      <c r="W414" s="201"/>
      <c r="Y414" s="418"/>
      <c r="Z414" s="418"/>
      <c r="AD414" s="248"/>
      <c r="AE414" s="248"/>
      <c r="AF414" s="248"/>
      <c r="AG414" s="248"/>
      <c r="AH414" s="248"/>
      <c r="AI414" s="248"/>
    </row>
    <row r="415" spans="1:35" s="213" customFormat="1">
      <c r="A415" s="395"/>
      <c r="B415" s="395"/>
      <c r="C415" s="395"/>
      <c r="D415" s="348"/>
      <c r="E415" s="205"/>
      <c r="F415" s="205"/>
      <c r="G415" s="201"/>
      <c r="H415" s="216"/>
      <c r="I415" s="202"/>
      <c r="J415" s="206"/>
      <c r="K415" s="202"/>
      <c r="L415" s="207"/>
      <c r="M415" s="207"/>
      <c r="N415" s="207"/>
      <c r="Q415" s="208"/>
      <c r="R415" s="201"/>
      <c r="S415" s="201"/>
      <c r="T415" s="201"/>
      <c r="U415" s="201"/>
      <c r="V415" s="201"/>
      <c r="W415" s="201"/>
      <c r="X415" s="426"/>
      <c r="Y415" s="418"/>
      <c r="Z415" s="418"/>
      <c r="AA415" s="196"/>
      <c r="AB415" s="197"/>
      <c r="AC415" s="197"/>
      <c r="AD415" s="250"/>
      <c r="AE415" s="250"/>
      <c r="AF415" s="250"/>
      <c r="AG415" s="250"/>
      <c r="AH415" s="250"/>
      <c r="AI415" s="250"/>
    </row>
    <row r="416" spans="1:35">
      <c r="E416" s="205"/>
      <c r="W416" s="201"/>
      <c r="Y416" s="418"/>
      <c r="Z416" s="418"/>
      <c r="AD416" s="248"/>
      <c r="AE416" s="248"/>
      <c r="AF416" s="248"/>
      <c r="AG416" s="248"/>
      <c r="AH416" s="248"/>
      <c r="AI416" s="248"/>
    </row>
    <row r="417" spans="5:35" ht="48" customHeight="1">
      <c r="E417" s="205"/>
      <c r="W417" s="201"/>
      <c r="Y417" s="418"/>
      <c r="Z417" s="418"/>
      <c r="AD417" s="248"/>
      <c r="AE417" s="248"/>
      <c r="AF417" s="248"/>
      <c r="AG417" s="248"/>
      <c r="AH417" s="248"/>
      <c r="AI417" s="248"/>
    </row>
    <row r="418" spans="5:35" ht="15" customHeight="1">
      <c r="E418" s="205"/>
      <c r="W418" s="201"/>
      <c r="Y418" s="418"/>
      <c r="Z418" s="418"/>
      <c r="AD418" s="248"/>
      <c r="AE418" s="248"/>
      <c r="AF418" s="248"/>
      <c r="AG418" s="248"/>
      <c r="AH418" s="248"/>
      <c r="AI418" s="248"/>
    </row>
    <row r="419" spans="5:35">
      <c r="E419" s="205"/>
      <c r="W419" s="201"/>
      <c r="Y419" s="418"/>
      <c r="Z419" s="418"/>
      <c r="AD419" s="248"/>
      <c r="AE419" s="248"/>
      <c r="AF419" s="248"/>
      <c r="AG419" s="248"/>
      <c r="AH419" s="248"/>
      <c r="AI419" s="248"/>
    </row>
    <row r="420" spans="5:35" ht="30.75" customHeight="1">
      <c r="E420" s="205"/>
      <c r="W420" s="201"/>
      <c r="Y420" s="418"/>
      <c r="Z420" s="418"/>
      <c r="AD420" s="248"/>
      <c r="AE420" s="248"/>
      <c r="AF420" s="248"/>
      <c r="AG420" s="248"/>
      <c r="AH420" s="248"/>
      <c r="AI420" s="248"/>
    </row>
    <row r="421" spans="5:35" ht="121.5" customHeight="1">
      <c r="E421" s="205"/>
      <c r="W421" s="201"/>
      <c r="Y421" s="418"/>
      <c r="Z421" s="418"/>
      <c r="AD421" s="248"/>
      <c r="AE421" s="248"/>
      <c r="AF421" s="248"/>
      <c r="AG421" s="248"/>
      <c r="AH421" s="248"/>
      <c r="AI421" s="248"/>
    </row>
    <row r="422" spans="5:35" ht="91.5" customHeight="1">
      <c r="E422" s="205"/>
      <c r="W422" s="201"/>
      <c r="Y422" s="418"/>
      <c r="Z422" s="418"/>
      <c r="AD422" s="248"/>
      <c r="AE422" s="248"/>
      <c r="AF422" s="248"/>
      <c r="AG422" s="248"/>
      <c r="AH422" s="248"/>
      <c r="AI422" s="248"/>
    </row>
    <row r="423" spans="5:35" ht="91.5" customHeight="1">
      <c r="E423" s="205"/>
      <c r="W423" s="201"/>
      <c r="Y423" s="418"/>
      <c r="Z423" s="418"/>
      <c r="AD423" s="248"/>
      <c r="AE423" s="248"/>
      <c r="AF423" s="248"/>
      <c r="AG423" s="248"/>
      <c r="AH423" s="248"/>
      <c r="AI423" s="248"/>
    </row>
    <row r="424" spans="5:35" ht="91.5" customHeight="1">
      <c r="E424" s="205"/>
      <c r="W424" s="201"/>
      <c r="Y424" s="418"/>
      <c r="Z424" s="418"/>
      <c r="AD424" s="248"/>
      <c r="AE424" s="248"/>
      <c r="AF424" s="248"/>
      <c r="AG424" s="248"/>
      <c r="AH424" s="248"/>
      <c r="AI424" s="248"/>
    </row>
    <row r="425" spans="5:35" ht="91.5" customHeight="1">
      <c r="E425" s="205"/>
      <c r="W425" s="201"/>
      <c r="Y425" s="418"/>
      <c r="Z425" s="418"/>
      <c r="AD425" s="248"/>
      <c r="AE425" s="248"/>
      <c r="AF425" s="248"/>
      <c r="AG425" s="248"/>
      <c r="AH425" s="248"/>
      <c r="AI425" s="248"/>
    </row>
    <row r="426" spans="5:35" ht="91.5" customHeight="1">
      <c r="E426" s="205"/>
      <c r="W426" s="201"/>
      <c r="Y426" s="418"/>
      <c r="Z426" s="418"/>
      <c r="AD426" s="248"/>
      <c r="AE426" s="248"/>
      <c r="AF426" s="248"/>
      <c r="AG426" s="248"/>
      <c r="AH426" s="248"/>
      <c r="AI426" s="248"/>
    </row>
    <row r="427" spans="5:35" ht="91.5" customHeight="1">
      <c r="E427" s="205"/>
      <c r="W427" s="201"/>
      <c r="Y427" s="418"/>
      <c r="Z427" s="418"/>
      <c r="AD427" s="248"/>
      <c r="AE427" s="248"/>
      <c r="AF427" s="248"/>
      <c r="AG427" s="248"/>
      <c r="AH427" s="248"/>
      <c r="AI427" s="248"/>
    </row>
    <row r="428" spans="5:35">
      <c r="E428" s="205"/>
      <c r="W428" s="201"/>
      <c r="Y428" s="418"/>
      <c r="Z428" s="418"/>
      <c r="AD428" s="248"/>
      <c r="AE428" s="248"/>
      <c r="AF428" s="248"/>
      <c r="AG428" s="248"/>
      <c r="AH428" s="248"/>
      <c r="AI428" s="248"/>
    </row>
    <row r="429" spans="5:35" ht="15" customHeight="1">
      <c r="E429" s="205"/>
      <c r="W429" s="201"/>
      <c r="Y429" s="418"/>
      <c r="Z429" s="418"/>
      <c r="AD429" s="248"/>
      <c r="AE429" s="248"/>
      <c r="AF429" s="248"/>
      <c r="AG429" s="248"/>
      <c r="AH429" s="248"/>
      <c r="AI429" s="248"/>
    </row>
    <row r="430" spans="5:35" ht="15" customHeight="1">
      <c r="E430" s="205"/>
      <c r="W430" s="201"/>
      <c r="Y430" s="418"/>
      <c r="Z430" s="418"/>
      <c r="AD430" s="248"/>
      <c r="AE430" s="248"/>
      <c r="AF430" s="248"/>
      <c r="AG430" s="248"/>
      <c r="AH430" s="248"/>
      <c r="AI430" s="248"/>
    </row>
    <row r="431" spans="5:35">
      <c r="E431" s="205"/>
      <c r="W431" s="201"/>
      <c r="Y431" s="418"/>
      <c r="Z431" s="418"/>
      <c r="AD431" s="248"/>
      <c r="AE431" s="248"/>
      <c r="AF431" s="248"/>
      <c r="AG431" s="248"/>
      <c r="AH431" s="248"/>
      <c r="AI431" s="248"/>
    </row>
    <row r="432" spans="5:35" ht="30.75" customHeight="1">
      <c r="E432" s="205"/>
      <c r="W432" s="201"/>
      <c r="Y432" s="418"/>
      <c r="Z432" s="418"/>
      <c r="AD432" s="248"/>
      <c r="AE432" s="248"/>
      <c r="AF432" s="248"/>
      <c r="AG432" s="248"/>
      <c r="AH432" s="248"/>
      <c r="AI432" s="248"/>
    </row>
    <row r="433" spans="5:35" ht="15" customHeight="1">
      <c r="E433" s="205"/>
      <c r="W433" s="201"/>
      <c r="Y433" s="418"/>
      <c r="Z433" s="418"/>
      <c r="AD433" s="248"/>
      <c r="AE433" s="248"/>
      <c r="AF433" s="248"/>
      <c r="AG433" s="248"/>
      <c r="AH433" s="248"/>
      <c r="AI433" s="248"/>
    </row>
    <row r="434" spans="5:35" ht="15" customHeight="1">
      <c r="E434" s="205"/>
      <c r="W434" s="201"/>
      <c r="Y434" s="418"/>
      <c r="Z434" s="418"/>
      <c r="AD434" s="248"/>
      <c r="AE434" s="248"/>
      <c r="AF434" s="248"/>
      <c r="AG434" s="248"/>
      <c r="AH434" s="248"/>
      <c r="AI434" s="248"/>
    </row>
    <row r="435" spans="5:35" ht="15" customHeight="1">
      <c r="E435" s="205"/>
      <c r="W435" s="201"/>
      <c r="Y435" s="418"/>
      <c r="Z435" s="418"/>
      <c r="AD435" s="248"/>
      <c r="AE435" s="248"/>
      <c r="AF435" s="248"/>
      <c r="AG435" s="248"/>
      <c r="AH435" s="248"/>
      <c r="AI435" s="248"/>
    </row>
    <row r="436" spans="5:35" ht="15" customHeight="1">
      <c r="E436" s="205"/>
      <c r="W436" s="201"/>
      <c r="Y436" s="418"/>
      <c r="Z436" s="418"/>
      <c r="AD436" s="248"/>
      <c r="AE436" s="248"/>
      <c r="AF436" s="248"/>
      <c r="AG436" s="248"/>
      <c r="AH436" s="248"/>
      <c r="AI436" s="248"/>
    </row>
    <row r="437" spans="5:35" ht="76.5" customHeight="1">
      <c r="E437" s="205"/>
      <c r="W437" s="201"/>
      <c r="Y437" s="418"/>
      <c r="Z437" s="418"/>
      <c r="AD437" s="248"/>
      <c r="AE437" s="248"/>
      <c r="AF437" s="248"/>
      <c r="AG437" s="248"/>
      <c r="AH437" s="248"/>
      <c r="AI437" s="248"/>
    </row>
    <row r="438" spans="5:35" ht="15" customHeight="1">
      <c r="E438" s="205"/>
      <c r="W438" s="201"/>
      <c r="Y438" s="418"/>
      <c r="Z438" s="418"/>
      <c r="AD438" s="248"/>
      <c r="AE438" s="248"/>
      <c r="AF438" s="248"/>
      <c r="AG438" s="248"/>
      <c r="AH438" s="248"/>
      <c r="AI438" s="248"/>
    </row>
    <row r="439" spans="5:35" ht="39" customHeight="1">
      <c r="E439" s="205"/>
      <c r="W439" s="201"/>
      <c r="Y439" s="418"/>
      <c r="Z439" s="418"/>
      <c r="AD439" s="248"/>
      <c r="AE439" s="248"/>
      <c r="AF439" s="248"/>
      <c r="AG439" s="248"/>
      <c r="AH439" s="248"/>
      <c r="AI439" s="248"/>
    </row>
    <row r="440" spans="5:35" ht="15" customHeight="1">
      <c r="E440" s="205"/>
      <c r="W440" s="201"/>
      <c r="Y440" s="418"/>
      <c r="Z440" s="418"/>
      <c r="AD440" s="248"/>
      <c r="AE440" s="248"/>
      <c r="AF440" s="248"/>
      <c r="AG440" s="248"/>
      <c r="AH440" s="248"/>
      <c r="AI440" s="248"/>
    </row>
    <row r="441" spans="5:35" ht="15" customHeight="1">
      <c r="E441" s="205"/>
      <c r="W441" s="201"/>
      <c r="Y441" s="418"/>
      <c r="Z441" s="418"/>
      <c r="AD441" s="248"/>
      <c r="AE441" s="248"/>
      <c r="AF441" s="248"/>
      <c r="AG441" s="248"/>
      <c r="AH441" s="248"/>
      <c r="AI441" s="248"/>
    </row>
    <row r="442" spans="5:35" ht="213" customHeight="1">
      <c r="E442" s="205"/>
      <c r="W442" s="201"/>
      <c r="Y442" s="418"/>
      <c r="Z442" s="418"/>
      <c r="AD442" s="248"/>
      <c r="AE442" s="248"/>
      <c r="AF442" s="248"/>
      <c r="AG442" s="248"/>
      <c r="AH442" s="248"/>
      <c r="AI442" s="248"/>
    </row>
    <row r="443" spans="5:35" ht="15" customHeight="1">
      <c r="E443" s="205"/>
      <c r="W443" s="201"/>
      <c r="Y443" s="418"/>
      <c r="Z443" s="418"/>
      <c r="AD443" s="248"/>
      <c r="AE443" s="248"/>
      <c r="AF443" s="248"/>
      <c r="AG443" s="248"/>
      <c r="AH443" s="248"/>
      <c r="AI443" s="248"/>
    </row>
    <row r="444" spans="5:35" ht="15" customHeight="1">
      <c r="E444" s="205"/>
      <c r="W444" s="201"/>
      <c r="Y444" s="418"/>
      <c r="Z444" s="418"/>
      <c r="AD444" s="248"/>
      <c r="AE444" s="248"/>
      <c r="AF444" s="248"/>
      <c r="AG444" s="248"/>
      <c r="AH444" s="248"/>
      <c r="AI444" s="248"/>
    </row>
    <row r="445" spans="5:35" ht="15" customHeight="1">
      <c r="E445" s="205"/>
      <c r="W445" s="201"/>
      <c r="X445" s="208"/>
      <c r="Y445" s="437"/>
      <c r="Z445" s="437"/>
      <c r="AA445" s="200"/>
      <c r="AB445" s="271"/>
      <c r="AC445" s="271"/>
      <c r="AD445" s="248"/>
      <c r="AE445" s="248"/>
      <c r="AF445" s="248"/>
      <c r="AG445" s="248"/>
      <c r="AH445" s="248"/>
      <c r="AI445" s="248"/>
    </row>
    <row r="446" spans="5:35" ht="60.75" customHeight="1">
      <c r="E446" s="205"/>
      <c r="W446" s="201"/>
      <c r="Y446" s="418"/>
      <c r="Z446" s="418"/>
      <c r="AD446" s="248"/>
      <c r="AE446" s="248"/>
      <c r="AF446" s="248"/>
      <c r="AG446" s="248"/>
      <c r="AH446" s="248"/>
      <c r="AI446" s="248"/>
    </row>
    <row r="447" spans="5:35" ht="15" customHeight="1">
      <c r="E447" s="205"/>
      <c r="W447" s="201"/>
      <c r="Y447" s="418"/>
      <c r="Z447" s="418"/>
      <c r="AD447" s="248"/>
      <c r="AE447" s="248"/>
      <c r="AF447" s="248"/>
      <c r="AG447" s="248"/>
      <c r="AH447" s="248"/>
      <c r="AI447" s="248"/>
    </row>
    <row r="448" spans="5:35" ht="15" customHeight="1">
      <c r="E448" s="205"/>
      <c r="W448" s="201"/>
      <c r="Y448" s="418"/>
      <c r="Z448" s="418"/>
      <c r="AD448" s="248"/>
      <c r="AE448" s="248"/>
      <c r="AF448" s="248"/>
      <c r="AG448" s="248"/>
      <c r="AH448" s="248"/>
      <c r="AI448" s="248"/>
    </row>
    <row r="449" spans="5:35">
      <c r="E449" s="205"/>
      <c r="W449" s="201"/>
      <c r="Y449" s="418"/>
      <c r="Z449" s="418"/>
      <c r="AD449" s="248"/>
      <c r="AE449" s="248"/>
      <c r="AF449" s="248"/>
      <c r="AG449" s="248"/>
      <c r="AH449" s="248"/>
      <c r="AI449" s="248"/>
    </row>
    <row r="450" spans="5:35">
      <c r="E450" s="205"/>
      <c r="W450" s="201"/>
      <c r="Y450" s="418"/>
      <c r="Z450" s="418"/>
      <c r="AD450" s="248"/>
      <c r="AE450" s="248"/>
      <c r="AF450" s="248"/>
      <c r="AG450" s="248"/>
      <c r="AH450" s="248"/>
      <c r="AI450" s="248"/>
    </row>
    <row r="451" spans="5:35" ht="15" customHeight="1">
      <c r="E451" s="205"/>
      <c r="W451" s="201"/>
      <c r="Y451" s="418"/>
      <c r="Z451" s="418"/>
      <c r="AD451" s="248"/>
      <c r="AE451" s="248"/>
      <c r="AF451" s="248"/>
      <c r="AG451" s="248"/>
      <c r="AH451" s="248"/>
      <c r="AI451" s="248"/>
    </row>
    <row r="452" spans="5:35" ht="60.75" customHeight="1">
      <c r="E452" s="205"/>
      <c r="W452" s="201"/>
      <c r="Y452" s="418"/>
      <c r="Z452" s="418"/>
      <c r="AD452" s="248"/>
      <c r="AE452" s="248"/>
      <c r="AF452" s="248"/>
      <c r="AG452" s="248"/>
      <c r="AH452" s="248"/>
      <c r="AI452" s="248"/>
    </row>
    <row r="453" spans="5:35" ht="15" customHeight="1">
      <c r="E453" s="205"/>
      <c r="W453" s="201"/>
      <c r="Y453" s="418"/>
      <c r="Z453" s="418"/>
      <c r="AD453" s="248"/>
      <c r="AE453" s="248"/>
      <c r="AF453" s="248"/>
      <c r="AG453" s="248"/>
      <c r="AH453" s="248"/>
      <c r="AI453" s="248"/>
    </row>
    <row r="454" spans="5:35">
      <c r="E454" s="205"/>
      <c r="W454" s="201"/>
      <c r="Y454" s="418"/>
      <c r="Z454" s="418"/>
      <c r="AD454" s="248"/>
      <c r="AE454" s="248"/>
      <c r="AF454" s="248"/>
      <c r="AG454" s="248"/>
      <c r="AH454" s="248"/>
      <c r="AI454" s="248"/>
    </row>
    <row r="455" spans="5:35">
      <c r="E455" s="205"/>
      <c r="W455" s="201"/>
      <c r="Y455" s="418"/>
      <c r="Z455" s="418"/>
      <c r="AD455" s="248"/>
      <c r="AE455" s="248"/>
      <c r="AF455" s="248"/>
      <c r="AG455" s="248"/>
      <c r="AH455" s="248"/>
      <c r="AI455" s="248"/>
    </row>
    <row r="456" spans="5:35">
      <c r="E456" s="205"/>
      <c r="W456" s="201"/>
      <c r="Y456" s="418"/>
      <c r="Z456" s="418"/>
      <c r="AD456" s="248"/>
      <c r="AE456" s="248"/>
      <c r="AF456" s="248"/>
      <c r="AG456" s="248"/>
      <c r="AH456" s="248"/>
      <c r="AI456" s="248"/>
    </row>
    <row r="457" spans="5:35">
      <c r="E457" s="205"/>
      <c r="W457" s="201"/>
      <c r="Y457" s="418"/>
      <c r="Z457" s="418"/>
      <c r="AD457" s="248"/>
      <c r="AE457" s="248"/>
      <c r="AF457" s="248"/>
      <c r="AG457" s="248"/>
      <c r="AH457" s="248"/>
      <c r="AI457" s="248"/>
    </row>
    <row r="458" spans="5:35">
      <c r="E458" s="205"/>
      <c r="W458" s="201"/>
      <c r="Y458" s="418"/>
      <c r="Z458" s="418"/>
      <c r="AD458" s="248"/>
      <c r="AE458" s="248"/>
      <c r="AF458" s="248"/>
      <c r="AG458" s="248"/>
      <c r="AH458" s="248"/>
      <c r="AI458" s="248"/>
    </row>
    <row r="459" spans="5:35" ht="60.75" customHeight="1">
      <c r="E459" s="205"/>
      <c r="W459" s="201"/>
      <c r="Y459" s="418"/>
      <c r="Z459" s="418"/>
      <c r="AD459" s="248"/>
      <c r="AE459" s="248"/>
      <c r="AF459" s="248"/>
      <c r="AG459" s="248"/>
      <c r="AH459" s="248"/>
      <c r="AI459" s="248"/>
    </row>
    <row r="460" spans="5:35" ht="15" customHeight="1">
      <c r="E460" s="205"/>
      <c r="W460" s="201"/>
      <c r="Y460" s="418"/>
      <c r="Z460" s="418"/>
      <c r="AD460" s="248"/>
      <c r="AE460" s="248"/>
      <c r="AF460" s="248"/>
      <c r="AG460" s="248"/>
      <c r="AH460" s="248"/>
      <c r="AI460" s="248"/>
    </row>
    <row r="461" spans="5:35">
      <c r="E461" s="205"/>
      <c r="W461" s="201"/>
      <c r="Y461" s="418"/>
      <c r="Z461" s="418"/>
      <c r="AD461" s="248"/>
      <c r="AE461" s="248"/>
      <c r="AF461" s="248"/>
      <c r="AG461" s="248"/>
      <c r="AH461" s="248"/>
      <c r="AI461" s="248"/>
    </row>
    <row r="462" spans="5:35">
      <c r="E462" s="205"/>
      <c r="W462" s="201"/>
      <c r="Y462" s="418"/>
      <c r="Z462" s="418"/>
      <c r="AD462" s="248"/>
      <c r="AE462" s="248"/>
      <c r="AF462" s="248"/>
      <c r="AG462" s="248"/>
      <c r="AH462" s="248"/>
      <c r="AI462" s="248"/>
    </row>
    <row r="463" spans="5:35">
      <c r="E463" s="205"/>
      <c r="W463" s="201"/>
      <c r="Y463" s="418"/>
      <c r="Z463" s="418"/>
      <c r="AD463" s="248"/>
      <c r="AE463" s="248"/>
      <c r="AF463" s="248"/>
      <c r="AG463" s="248"/>
      <c r="AH463" s="248"/>
      <c r="AI463" s="248"/>
    </row>
    <row r="464" spans="5:35">
      <c r="E464" s="205"/>
      <c r="W464" s="201"/>
      <c r="Y464" s="418"/>
      <c r="Z464" s="418"/>
      <c r="AD464" s="248"/>
      <c r="AE464" s="248"/>
      <c r="AF464" s="248"/>
      <c r="AG464" s="248"/>
      <c r="AH464" s="248"/>
      <c r="AI464" s="248"/>
    </row>
    <row r="465" spans="5:35">
      <c r="E465" s="205"/>
      <c r="W465" s="201"/>
      <c r="Y465" s="418"/>
      <c r="Z465" s="418"/>
      <c r="AD465" s="248"/>
      <c r="AE465" s="248"/>
      <c r="AF465" s="248"/>
      <c r="AG465" s="248"/>
      <c r="AH465" s="248"/>
      <c r="AI465" s="248"/>
    </row>
    <row r="466" spans="5:35">
      <c r="E466" s="205"/>
      <c r="W466" s="201"/>
      <c r="Y466" s="418"/>
      <c r="Z466" s="418"/>
      <c r="AD466" s="248"/>
      <c r="AE466" s="248"/>
      <c r="AF466" s="248"/>
      <c r="AG466" s="248"/>
      <c r="AH466" s="248"/>
      <c r="AI466" s="248"/>
    </row>
    <row r="467" spans="5:35">
      <c r="E467" s="205"/>
      <c r="W467" s="201"/>
      <c r="Y467" s="418"/>
      <c r="Z467" s="418"/>
      <c r="AD467" s="248"/>
      <c r="AE467" s="248"/>
      <c r="AF467" s="248"/>
      <c r="AG467" s="248"/>
      <c r="AH467" s="248"/>
      <c r="AI467" s="248"/>
    </row>
    <row r="468" spans="5:35">
      <c r="E468" s="205"/>
      <c r="W468" s="201"/>
      <c r="Y468" s="418"/>
      <c r="Z468" s="418"/>
      <c r="AD468" s="248"/>
      <c r="AE468" s="248"/>
      <c r="AF468" s="248"/>
      <c r="AG468" s="248"/>
      <c r="AH468" s="248"/>
      <c r="AI468" s="248"/>
    </row>
    <row r="469" spans="5:35" ht="15" customHeight="1">
      <c r="E469" s="205"/>
      <c r="W469" s="201"/>
      <c r="Y469" s="418"/>
      <c r="Z469" s="418"/>
      <c r="AD469" s="248"/>
      <c r="AE469" s="248"/>
      <c r="AF469" s="248"/>
      <c r="AG469" s="248"/>
      <c r="AH469" s="248"/>
      <c r="AI469" s="248"/>
    </row>
    <row r="470" spans="5:35" ht="15" customHeight="1">
      <c r="E470" s="205"/>
      <c r="W470" s="201"/>
      <c r="Y470" s="418"/>
      <c r="Z470" s="418"/>
      <c r="AD470" s="248"/>
      <c r="AE470" s="248"/>
      <c r="AF470" s="248"/>
      <c r="AG470" s="248"/>
      <c r="AH470" s="248"/>
      <c r="AI470" s="248"/>
    </row>
    <row r="471" spans="5:35" ht="104.25" customHeight="1">
      <c r="E471" s="205"/>
      <c r="W471" s="201"/>
      <c r="Y471" s="418"/>
      <c r="Z471" s="418"/>
      <c r="AD471" s="248"/>
      <c r="AE471" s="248"/>
      <c r="AF471" s="248"/>
      <c r="AG471" s="248"/>
      <c r="AH471" s="248"/>
      <c r="AI471" s="248"/>
    </row>
    <row r="472" spans="5:35" ht="15" customHeight="1">
      <c r="E472" s="205"/>
      <c r="W472" s="201"/>
      <c r="Y472" s="418"/>
      <c r="Z472" s="418"/>
      <c r="AD472" s="248"/>
      <c r="AE472" s="248"/>
      <c r="AF472" s="248"/>
      <c r="AG472" s="248"/>
      <c r="AH472" s="248"/>
      <c r="AI472" s="248"/>
    </row>
    <row r="473" spans="5:35" ht="15" customHeight="1">
      <c r="E473" s="205"/>
      <c r="W473" s="201"/>
      <c r="Y473" s="418"/>
      <c r="Z473" s="418"/>
      <c r="AD473" s="248"/>
      <c r="AE473" s="248"/>
      <c r="AF473" s="248"/>
      <c r="AG473" s="248"/>
      <c r="AH473" s="248"/>
      <c r="AI473" s="248"/>
    </row>
    <row r="474" spans="5:35" ht="15" customHeight="1">
      <c r="E474" s="205"/>
      <c r="W474" s="201"/>
      <c r="Y474" s="418"/>
      <c r="Z474" s="418"/>
      <c r="AD474" s="248"/>
      <c r="AE474" s="248"/>
      <c r="AF474" s="248"/>
      <c r="AG474" s="248"/>
      <c r="AH474" s="248"/>
      <c r="AI474" s="248"/>
    </row>
    <row r="475" spans="5:35" ht="15" customHeight="1">
      <c r="E475" s="205"/>
      <c r="W475" s="201"/>
      <c r="Y475" s="418"/>
      <c r="Z475" s="418"/>
      <c r="AD475" s="248"/>
      <c r="AE475" s="248"/>
      <c r="AF475" s="248"/>
      <c r="AG475" s="248"/>
      <c r="AH475" s="248"/>
      <c r="AI475" s="248"/>
    </row>
    <row r="476" spans="5:35">
      <c r="E476" s="205"/>
      <c r="W476" s="201"/>
      <c r="Y476" s="418"/>
      <c r="Z476" s="418"/>
      <c r="AD476" s="248"/>
      <c r="AE476" s="248"/>
      <c r="AF476" s="248"/>
      <c r="AG476" s="248"/>
      <c r="AH476" s="248"/>
      <c r="AI476" s="248"/>
    </row>
    <row r="477" spans="5:35">
      <c r="E477" s="205"/>
      <c r="W477" s="201"/>
      <c r="Y477" s="418"/>
      <c r="Z477" s="418"/>
      <c r="AD477" s="248"/>
      <c r="AE477" s="248"/>
      <c r="AF477" s="248"/>
      <c r="AG477" s="248"/>
      <c r="AH477" s="248"/>
      <c r="AI477" s="248"/>
    </row>
    <row r="478" spans="5:35">
      <c r="E478" s="205"/>
      <c r="W478" s="201"/>
      <c r="Y478" s="418"/>
      <c r="Z478" s="418"/>
      <c r="AD478" s="248"/>
      <c r="AE478" s="248"/>
      <c r="AF478" s="248"/>
      <c r="AG478" s="248"/>
      <c r="AH478" s="248"/>
      <c r="AI478" s="248"/>
    </row>
    <row r="479" spans="5:35">
      <c r="E479" s="205"/>
      <c r="W479" s="201"/>
      <c r="Y479" s="418"/>
      <c r="Z479" s="418"/>
      <c r="AD479" s="248"/>
      <c r="AE479" s="248"/>
      <c r="AF479" s="248"/>
      <c r="AG479" s="248"/>
      <c r="AH479" s="248"/>
      <c r="AI479" s="248"/>
    </row>
    <row r="480" spans="5:35">
      <c r="E480" s="205"/>
      <c r="W480" s="201"/>
      <c r="Y480" s="418"/>
      <c r="Z480" s="418"/>
      <c r="AD480" s="248"/>
      <c r="AE480" s="248"/>
      <c r="AF480" s="248"/>
      <c r="AG480" s="248"/>
      <c r="AH480" s="248"/>
      <c r="AI480" s="248"/>
    </row>
    <row r="481" spans="5:35">
      <c r="E481" s="205"/>
      <c r="W481" s="201"/>
      <c r="Y481" s="418"/>
      <c r="Z481" s="418"/>
      <c r="AD481" s="248"/>
      <c r="AE481" s="248"/>
      <c r="AF481" s="248"/>
      <c r="AG481" s="248"/>
      <c r="AH481" s="248"/>
      <c r="AI481" s="248"/>
    </row>
    <row r="482" spans="5:35" ht="39" customHeight="1">
      <c r="E482" s="205"/>
      <c r="W482" s="201"/>
      <c r="Y482" s="418"/>
      <c r="Z482" s="418"/>
      <c r="AD482" s="248"/>
      <c r="AE482" s="248"/>
      <c r="AF482" s="248"/>
      <c r="AG482" s="248"/>
      <c r="AH482" s="248"/>
      <c r="AI482" s="248"/>
    </row>
    <row r="483" spans="5:35" ht="46.5" customHeight="1">
      <c r="E483" s="205"/>
      <c r="W483" s="201"/>
      <c r="Y483" s="418"/>
      <c r="Z483" s="418"/>
      <c r="AD483" s="248"/>
      <c r="AE483" s="248"/>
      <c r="AF483" s="248"/>
      <c r="AG483" s="248"/>
      <c r="AH483" s="248"/>
      <c r="AI483" s="248"/>
    </row>
    <row r="484" spans="5:35" ht="15" customHeight="1">
      <c r="E484" s="205"/>
      <c r="W484" s="201"/>
      <c r="Y484" s="418"/>
      <c r="Z484" s="418"/>
      <c r="AD484" s="248"/>
      <c r="AE484" s="248"/>
      <c r="AF484" s="248"/>
      <c r="AG484" s="248"/>
      <c r="AH484" s="248"/>
      <c r="AI484" s="248"/>
    </row>
    <row r="485" spans="5:35" ht="39" customHeight="1">
      <c r="E485" s="205"/>
      <c r="W485" s="201"/>
      <c r="Y485" s="418"/>
      <c r="Z485" s="418"/>
      <c r="AD485" s="248"/>
      <c r="AE485" s="248"/>
      <c r="AF485" s="248"/>
      <c r="AG485" s="248"/>
      <c r="AH485" s="248"/>
      <c r="AI485" s="248"/>
    </row>
    <row r="486" spans="5:35" ht="24" customHeight="1">
      <c r="E486" s="205"/>
      <c r="W486" s="201"/>
      <c r="Y486" s="418"/>
      <c r="Z486" s="418"/>
      <c r="AD486" s="248"/>
      <c r="AE486" s="248"/>
      <c r="AF486" s="248"/>
      <c r="AG486" s="248"/>
      <c r="AH486" s="248"/>
      <c r="AI486" s="248"/>
    </row>
    <row r="487" spans="5:35" ht="15" customHeight="1">
      <c r="E487" s="205"/>
      <c r="W487" s="201"/>
      <c r="Y487" s="418"/>
      <c r="Z487" s="418"/>
      <c r="AD487" s="248"/>
      <c r="AE487" s="248"/>
      <c r="AF487" s="248"/>
      <c r="AG487" s="248"/>
      <c r="AH487" s="248"/>
      <c r="AI487" s="248"/>
    </row>
    <row r="488" spans="5:35" ht="15" customHeight="1">
      <c r="E488" s="205"/>
      <c r="W488" s="201"/>
      <c r="Y488" s="418"/>
      <c r="Z488" s="418"/>
      <c r="AD488" s="248"/>
      <c r="AE488" s="248"/>
      <c r="AF488" s="248"/>
      <c r="AG488" s="248"/>
      <c r="AH488" s="248"/>
      <c r="AI488" s="248"/>
    </row>
    <row r="489" spans="5:35" ht="15" customHeight="1">
      <c r="E489" s="205"/>
      <c r="W489" s="201"/>
      <c r="Y489" s="418"/>
      <c r="Z489" s="418"/>
      <c r="AD489" s="248"/>
      <c r="AE489" s="248"/>
      <c r="AF489" s="248"/>
      <c r="AG489" s="248"/>
      <c r="AH489" s="248"/>
      <c r="AI489" s="248"/>
    </row>
    <row r="490" spans="5:35">
      <c r="E490" s="205"/>
      <c r="W490" s="201"/>
      <c r="Y490" s="418"/>
      <c r="Z490" s="418"/>
      <c r="AD490" s="248"/>
      <c r="AE490" s="248"/>
      <c r="AF490" s="248"/>
      <c r="AG490" s="248"/>
      <c r="AH490" s="248"/>
      <c r="AI490" s="248"/>
    </row>
    <row r="491" spans="5:35" ht="15" customHeight="1">
      <c r="E491" s="205"/>
      <c r="W491" s="201"/>
      <c r="Y491" s="418"/>
      <c r="Z491" s="418"/>
      <c r="AD491" s="248"/>
      <c r="AE491" s="248"/>
      <c r="AF491" s="248"/>
      <c r="AG491" s="248"/>
      <c r="AH491" s="248"/>
      <c r="AI491" s="248"/>
    </row>
    <row r="492" spans="5:35">
      <c r="E492" s="205"/>
      <c r="W492" s="201"/>
      <c r="Y492" s="418"/>
      <c r="Z492" s="418"/>
      <c r="AD492" s="248"/>
      <c r="AE492" s="248"/>
      <c r="AF492" s="248"/>
      <c r="AG492" s="248"/>
      <c r="AH492" s="248"/>
      <c r="AI492" s="248"/>
    </row>
    <row r="493" spans="5:35">
      <c r="E493" s="205"/>
      <c r="W493" s="201"/>
      <c r="Y493" s="418"/>
      <c r="Z493" s="418"/>
      <c r="AD493" s="248"/>
      <c r="AE493" s="248"/>
      <c r="AF493" s="248"/>
      <c r="AG493" s="248"/>
      <c r="AH493" s="248"/>
      <c r="AI493" s="248"/>
    </row>
    <row r="494" spans="5:35" ht="15" customHeight="1">
      <c r="E494" s="205"/>
      <c r="W494" s="201"/>
      <c r="Y494" s="418"/>
      <c r="Z494" s="418"/>
      <c r="AD494" s="248"/>
      <c r="AE494" s="248"/>
      <c r="AF494" s="248"/>
      <c r="AG494" s="248"/>
      <c r="AH494" s="248"/>
      <c r="AI494" s="248"/>
    </row>
    <row r="495" spans="5:35">
      <c r="E495" s="205"/>
      <c r="W495" s="201"/>
      <c r="Y495" s="418"/>
      <c r="Z495" s="418"/>
      <c r="AD495" s="248"/>
      <c r="AE495" s="248"/>
      <c r="AF495" s="248"/>
      <c r="AG495" s="248"/>
      <c r="AH495" s="248"/>
      <c r="AI495" s="248"/>
    </row>
    <row r="496" spans="5:35" ht="15" customHeight="1">
      <c r="E496" s="205"/>
      <c r="W496" s="201"/>
      <c r="Y496" s="418"/>
      <c r="Z496" s="418"/>
      <c r="AD496" s="248"/>
      <c r="AE496" s="248"/>
      <c r="AF496" s="248"/>
      <c r="AG496" s="248"/>
      <c r="AH496" s="248"/>
      <c r="AI496" s="248"/>
    </row>
    <row r="497" spans="5:35" ht="15" customHeight="1">
      <c r="E497" s="205"/>
      <c r="W497" s="201"/>
      <c r="Y497" s="418"/>
      <c r="Z497" s="418"/>
      <c r="AD497" s="248"/>
      <c r="AE497" s="248"/>
      <c r="AF497" s="248"/>
      <c r="AG497" s="248"/>
      <c r="AH497" s="248"/>
      <c r="AI497" s="248"/>
    </row>
    <row r="498" spans="5:35" ht="62.25" customHeight="1">
      <c r="E498" s="205"/>
      <c r="W498" s="201"/>
      <c r="Y498" s="418"/>
      <c r="Z498" s="418"/>
      <c r="AD498" s="248"/>
      <c r="AE498" s="248"/>
      <c r="AF498" s="248"/>
      <c r="AG498" s="248"/>
      <c r="AH498" s="248"/>
      <c r="AI498" s="248"/>
    </row>
    <row r="499" spans="5:35" ht="48.75" customHeight="1">
      <c r="E499" s="205"/>
      <c r="W499" s="201"/>
      <c r="Y499" s="418"/>
      <c r="Z499" s="418"/>
      <c r="AD499" s="248"/>
      <c r="AE499" s="248"/>
      <c r="AF499" s="248"/>
      <c r="AG499" s="248"/>
      <c r="AH499" s="248"/>
      <c r="AI499" s="248"/>
    </row>
    <row r="500" spans="5:35" ht="15" customHeight="1">
      <c r="E500" s="205"/>
      <c r="W500" s="201"/>
      <c r="Y500" s="418"/>
      <c r="Z500" s="418"/>
      <c r="AD500" s="248"/>
      <c r="AE500" s="248"/>
      <c r="AF500" s="248"/>
      <c r="AG500" s="248"/>
      <c r="AH500" s="248"/>
      <c r="AI500" s="248"/>
    </row>
    <row r="501" spans="5:35" ht="15" customHeight="1">
      <c r="E501" s="205"/>
      <c r="W501" s="201"/>
      <c r="Y501" s="418"/>
      <c r="Z501" s="418"/>
      <c r="AD501" s="248"/>
      <c r="AE501" s="248"/>
      <c r="AF501" s="248"/>
      <c r="AG501" s="248"/>
      <c r="AH501" s="248"/>
      <c r="AI501" s="248"/>
    </row>
    <row r="502" spans="5:35">
      <c r="E502" s="205"/>
      <c r="W502" s="201"/>
      <c r="Y502" s="418"/>
      <c r="Z502" s="418"/>
      <c r="AD502" s="248"/>
      <c r="AE502" s="248"/>
      <c r="AF502" s="248"/>
      <c r="AG502" s="248"/>
      <c r="AH502" s="248"/>
      <c r="AI502" s="248"/>
    </row>
    <row r="503" spans="5:35">
      <c r="E503" s="205"/>
      <c r="W503" s="201"/>
      <c r="Y503" s="418"/>
      <c r="Z503" s="418"/>
      <c r="AD503" s="248"/>
      <c r="AE503" s="248"/>
      <c r="AF503" s="248"/>
      <c r="AG503" s="248"/>
      <c r="AH503" s="248"/>
      <c r="AI503" s="248"/>
    </row>
    <row r="504" spans="5:35">
      <c r="E504" s="205"/>
      <c r="W504" s="201"/>
      <c r="Y504" s="418"/>
      <c r="Z504" s="418"/>
      <c r="AD504" s="248"/>
      <c r="AE504" s="248"/>
      <c r="AF504" s="248"/>
      <c r="AG504" s="248"/>
      <c r="AH504" s="248"/>
      <c r="AI504" s="248"/>
    </row>
    <row r="505" spans="5:35">
      <c r="E505" s="205"/>
      <c r="W505" s="201"/>
      <c r="Y505" s="418"/>
      <c r="Z505" s="418"/>
      <c r="AD505" s="248"/>
      <c r="AE505" s="248"/>
      <c r="AF505" s="248"/>
      <c r="AG505" s="248"/>
      <c r="AH505" s="248"/>
      <c r="AI505" s="248"/>
    </row>
    <row r="506" spans="5:35">
      <c r="E506" s="205"/>
      <c r="W506" s="201"/>
      <c r="Y506" s="418"/>
      <c r="Z506" s="418"/>
      <c r="AD506" s="248"/>
      <c r="AE506" s="248"/>
      <c r="AF506" s="248"/>
      <c r="AG506" s="248"/>
      <c r="AH506" s="248"/>
      <c r="AI506" s="248"/>
    </row>
    <row r="507" spans="5:35" ht="49.5" customHeight="1">
      <c r="E507" s="205"/>
      <c r="W507" s="201"/>
      <c r="Y507" s="418"/>
      <c r="Z507" s="418"/>
      <c r="AD507" s="248"/>
      <c r="AE507" s="248"/>
      <c r="AF507" s="248"/>
      <c r="AG507" s="248"/>
      <c r="AH507" s="248"/>
      <c r="AI507" s="248"/>
    </row>
    <row r="508" spans="5:35" ht="33.75" customHeight="1">
      <c r="E508" s="205"/>
      <c r="W508" s="201"/>
      <c r="Y508" s="418"/>
      <c r="Z508" s="418"/>
      <c r="AD508" s="248"/>
      <c r="AE508" s="248"/>
      <c r="AF508" s="248"/>
      <c r="AG508" s="248"/>
      <c r="AH508" s="248"/>
      <c r="AI508" s="248"/>
    </row>
    <row r="509" spans="5:35" ht="58.5" customHeight="1">
      <c r="E509" s="205"/>
      <c r="W509" s="201"/>
      <c r="Y509" s="418"/>
      <c r="Z509" s="418"/>
      <c r="AD509" s="248"/>
      <c r="AE509" s="248"/>
      <c r="AF509" s="248"/>
      <c r="AG509" s="248"/>
      <c r="AH509" s="248"/>
      <c r="AI509" s="248"/>
    </row>
    <row r="510" spans="5:35" ht="58.5" customHeight="1">
      <c r="E510" s="205"/>
      <c r="W510" s="201"/>
      <c r="Y510" s="418"/>
      <c r="Z510" s="418"/>
      <c r="AD510" s="248"/>
      <c r="AE510" s="248"/>
      <c r="AF510" s="248"/>
      <c r="AG510" s="248"/>
      <c r="AH510" s="248"/>
      <c r="AI510" s="248"/>
    </row>
    <row r="511" spans="5:35" ht="94.5" customHeight="1">
      <c r="E511" s="205"/>
      <c r="W511" s="201"/>
      <c r="Y511" s="418"/>
      <c r="Z511" s="418"/>
      <c r="AD511" s="248"/>
      <c r="AE511" s="248"/>
      <c r="AF511" s="248"/>
      <c r="AG511" s="248"/>
      <c r="AH511" s="248"/>
      <c r="AI511" s="248"/>
    </row>
    <row r="512" spans="5:35" ht="61.5" customHeight="1">
      <c r="E512" s="205"/>
      <c r="W512" s="201"/>
      <c r="Y512" s="418"/>
      <c r="Z512" s="418"/>
      <c r="AD512" s="248"/>
      <c r="AE512" s="248"/>
      <c r="AF512" s="248"/>
      <c r="AG512" s="248"/>
      <c r="AH512" s="248"/>
      <c r="AI512" s="248"/>
    </row>
    <row r="513" spans="1:35" ht="55.5" customHeight="1">
      <c r="E513" s="205"/>
      <c r="W513" s="201"/>
      <c r="Y513" s="418"/>
      <c r="Z513" s="418"/>
      <c r="AD513" s="248"/>
      <c r="AE513" s="248"/>
      <c r="AF513" s="248"/>
      <c r="AG513" s="248"/>
      <c r="AH513" s="248"/>
      <c r="AI513" s="248"/>
    </row>
    <row r="514" spans="1:35" ht="34.5" customHeight="1">
      <c r="E514" s="205"/>
      <c r="W514" s="201"/>
      <c r="Y514" s="418"/>
      <c r="Z514" s="418"/>
      <c r="AD514" s="248"/>
      <c r="AE514" s="248"/>
      <c r="AF514" s="248"/>
      <c r="AG514" s="248"/>
      <c r="AH514" s="248"/>
      <c r="AI514" s="248"/>
    </row>
    <row r="515" spans="1:35" ht="28.5" customHeight="1">
      <c r="E515" s="205"/>
      <c r="W515" s="201"/>
      <c r="Y515" s="418"/>
      <c r="Z515" s="418"/>
      <c r="AD515" s="248"/>
      <c r="AE515" s="248"/>
      <c r="AF515" s="248"/>
      <c r="AG515" s="248"/>
      <c r="AH515" s="248"/>
      <c r="AI515" s="248"/>
    </row>
    <row r="516" spans="1:35" ht="73.5" customHeight="1">
      <c r="E516" s="205"/>
      <c r="W516" s="201"/>
      <c r="Y516" s="418"/>
      <c r="Z516" s="418"/>
      <c r="AD516" s="248"/>
      <c r="AE516" s="248"/>
      <c r="AF516" s="248"/>
      <c r="AG516" s="248"/>
      <c r="AH516" s="248"/>
      <c r="AI516" s="248"/>
    </row>
    <row r="517" spans="1:35" ht="35.25" customHeight="1">
      <c r="E517" s="205"/>
      <c r="W517" s="201"/>
      <c r="Y517" s="418"/>
      <c r="Z517" s="418"/>
      <c r="AD517" s="248"/>
      <c r="AE517" s="248"/>
      <c r="AF517" s="248"/>
      <c r="AG517" s="248"/>
      <c r="AH517" s="248"/>
      <c r="AI517" s="248"/>
    </row>
    <row r="518" spans="1:35">
      <c r="E518" s="205"/>
      <c r="W518" s="201"/>
      <c r="Y518" s="418"/>
      <c r="Z518" s="418"/>
      <c r="AD518" s="248"/>
      <c r="AE518" s="248"/>
      <c r="AF518" s="248"/>
      <c r="AG518" s="248"/>
      <c r="AH518" s="248"/>
      <c r="AI518" s="248"/>
    </row>
    <row r="519" spans="1:35" ht="15" customHeight="1">
      <c r="E519" s="205"/>
      <c r="W519" s="201"/>
      <c r="Y519" s="418"/>
      <c r="Z519" s="418"/>
      <c r="AD519" s="248"/>
      <c r="AE519" s="248"/>
      <c r="AF519" s="248"/>
      <c r="AG519" s="248"/>
      <c r="AH519" s="248"/>
      <c r="AI519" s="248"/>
    </row>
    <row r="520" spans="1:35">
      <c r="E520" s="205"/>
      <c r="W520" s="201"/>
      <c r="Y520" s="418"/>
      <c r="Z520" s="418"/>
      <c r="AD520" s="248"/>
      <c r="AE520" s="248"/>
      <c r="AF520" s="248"/>
      <c r="AG520" s="248"/>
      <c r="AH520" s="248"/>
      <c r="AI520" s="248"/>
    </row>
    <row r="521" spans="1:35">
      <c r="E521" s="205"/>
      <c r="W521" s="201"/>
      <c r="Y521" s="418"/>
      <c r="Z521" s="418"/>
      <c r="AD521" s="248"/>
      <c r="AE521" s="248"/>
      <c r="AF521" s="248"/>
      <c r="AG521" s="248"/>
      <c r="AH521" s="248"/>
      <c r="AI521" s="248"/>
    </row>
    <row r="522" spans="1:35" s="211" customFormat="1">
      <c r="A522" s="395"/>
      <c r="B522" s="395"/>
      <c r="C522" s="395"/>
      <c r="D522" s="348"/>
      <c r="E522" s="205"/>
      <c r="F522" s="205"/>
      <c r="G522" s="201"/>
      <c r="H522" s="216"/>
      <c r="I522" s="202"/>
      <c r="J522" s="206"/>
      <c r="K522" s="202"/>
      <c r="L522" s="207"/>
      <c r="M522" s="207"/>
      <c r="N522" s="207"/>
      <c r="O522" s="213"/>
      <c r="P522" s="213"/>
      <c r="Q522" s="208"/>
      <c r="R522" s="201"/>
      <c r="S522" s="201"/>
      <c r="T522" s="201"/>
      <c r="U522" s="201"/>
      <c r="V522" s="201"/>
      <c r="W522" s="201"/>
      <c r="X522" s="426"/>
      <c r="Y522" s="418"/>
      <c r="Z522" s="418"/>
      <c r="AA522" s="196"/>
      <c r="AB522" s="197"/>
      <c r="AC522" s="197"/>
      <c r="AD522" s="253"/>
      <c r="AE522" s="253"/>
      <c r="AF522" s="253"/>
      <c r="AG522" s="253"/>
      <c r="AH522" s="253"/>
      <c r="AI522" s="253"/>
    </row>
    <row r="523" spans="1:35" ht="93" customHeight="1">
      <c r="E523" s="205"/>
      <c r="W523" s="201"/>
      <c r="Y523" s="418"/>
      <c r="Z523" s="418"/>
      <c r="AD523" s="248"/>
      <c r="AE523" s="248"/>
      <c r="AF523" s="248"/>
      <c r="AG523" s="248"/>
      <c r="AH523" s="248"/>
      <c r="AI523" s="248"/>
    </row>
    <row r="524" spans="1:35" ht="15" customHeight="1">
      <c r="E524" s="205"/>
      <c r="W524" s="201"/>
      <c r="Y524" s="418"/>
      <c r="Z524" s="418"/>
      <c r="AD524" s="248"/>
      <c r="AE524" s="248"/>
      <c r="AF524" s="248"/>
      <c r="AG524" s="248"/>
      <c r="AH524" s="248"/>
      <c r="AI524" s="248"/>
    </row>
    <row r="525" spans="1:35" ht="43.5" customHeight="1">
      <c r="E525" s="205"/>
      <c r="W525" s="201"/>
      <c r="Y525" s="418"/>
      <c r="Z525" s="418"/>
      <c r="AD525" s="248"/>
      <c r="AE525" s="248"/>
      <c r="AF525" s="248"/>
      <c r="AG525" s="248"/>
      <c r="AH525" s="248"/>
      <c r="AI525" s="248"/>
    </row>
    <row r="526" spans="1:35" ht="33.75" customHeight="1">
      <c r="E526" s="205"/>
      <c r="W526" s="201"/>
      <c r="Y526" s="418"/>
      <c r="Z526" s="418"/>
      <c r="AD526" s="248"/>
      <c r="AE526" s="248"/>
      <c r="AF526" s="248"/>
      <c r="AG526" s="248"/>
      <c r="AH526" s="248"/>
      <c r="AI526" s="248"/>
    </row>
    <row r="527" spans="1:35" ht="15" customHeight="1">
      <c r="E527" s="205"/>
      <c r="W527" s="201"/>
      <c r="Y527" s="418"/>
      <c r="Z527" s="418"/>
      <c r="AD527" s="248"/>
      <c r="AE527" s="248"/>
      <c r="AF527" s="248"/>
      <c r="AG527" s="248"/>
      <c r="AH527" s="248"/>
      <c r="AI527" s="248"/>
    </row>
    <row r="528" spans="1:35" ht="45.75" customHeight="1">
      <c r="E528" s="205"/>
      <c r="W528" s="201"/>
      <c r="Y528" s="418"/>
      <c r="Z528" s="418"/>
      <c r="AD528" s="248"/>
      <c r="AE528" s="248"/>
      <c r="AF528" s="248"/>
      <c r="AG528" s="248"/>
      <c r="AH528" s="248"/>
      <c r="AI528" s="248"/>
    </row>
    <row r="529" spans="5:35" ht="15" customHeight="1">
      <c r="E529" s="205"/>
      <c r="W529" s="201"/>
      <c r="X529" s="441"/>
      <c r="Y529" s="418"/>
      <c r="Z529" s="418"/>
      <c r="AD529" s="248"/>
      <c r="AE529" s="248"/>
      <c r="AF529" s="248"/>
      <c r="AG529" s="248"/>
      <c r="AH529" s="248"/>
      <c r="AI529" s="248"/>
    </row>
    <row r="530" spans="5:35" ht="15" customHeight="1">
      <c r="E530" s="205"/>
      <c r="W530" s="201"/>
      <c r="Y530" s="418"/>
      <c r="Z530" s="418"/>
      <c r="AD530" s="248"/>
      <c r="AE530" s="248"/>
      <c r="AF530" s="248"/>
      <c r="AG530" s="248"/>
      <c r="AH530" s="248"/>
      <c r="AI530" s="248"/>
    </row>
    <row r="531" spans="5:35" ht="15" customHeight="1">
      <c r="E531" s="205"/>
      <c r="W531" s="201"/>
      <c r="Y531" s="418"/>
      <c r="Z531" s="418"/>
      <c r="AD531" s="248"/>
      <c r="AE531" s="248"/>
      <c r="AF531" s="248"/>
      <c r="AG531" s="248"/>
      <c r="AH531" s="248"/>
      <c r="AI531" s="248"/>
    </row>
    <row r="532" spans="5:35" ht="48.75" customHeight="1">
      <c r="E532" s="205"/>
      <c r="W532" s="201"/>
      <c r="Y532" s="418"/>
      <c r="Z532" s="418"/>
      <c r="AD532" s="248"/>
      <c r="AE532" s="248"/>
      <c r="AF532" s="248"/>
      <c r="AG532" s="248"/>
      <c r="AH532" s="248"/>
      <c r="AI532" s="248"/>
    </row>
    <row r="533" spans="5:35" ht="15" customHeight="1">
      <c r="E533" s="205"/>
      <c r="W533" s="201"/>
      <c r="Y533" s="418"/>
      <c r="Z533" s="418"/>
      <c r="AD533" s="248"/>
      <c r="AE533" s="248"/>
      <c r="AF533" s="248"/>
      <c r="AG533" s="248"/>
      <c r="AH533" s="248"/>
      <c r="AI533" s="248"/>
    </row>
    <row r="534" spans="5:35" ht="39.75" customHeight="1">
      <c r="E534" s="205"/>
      <c r="W534" s="201"/>
      <c r="Y534" s="418"/>
      <c r="Z534" s="418"/>
      <c r="AD534" s="248"/>
      <c r="AE534" s="248"/>
      <c r="AF534" s="248"/>
      <c r="AG534" s="248"/>
      <c r="AH534" s="248"/>
      <c r="AI534" s="248"/>
    </row>
    <row r="535" spans="5:35" ht="39.75" customHeight="1">
      <c r="E535" s="205"/>
      <c r="W535" s="201"/>
      <c r="Y535" s="418"/>
      <c r="Z535" s="418"/>
      <c r="AD535" s="248"/>
      <c r="AE535" s="248"/>
      <c r="AF535" s="248"/>
      <c r="AG535" s="248"/>
      <c r="AH535" s="248"/>
      <c r="AI535" s="248"/>
    </row>
    <row r="536" spans="5:35">
      <c r="E536" s="205"/>
      <c r="W536" s="201"/>
      <c r="Y536" s="418"/>
      <c r="Z536" s="418"/>
      <c r="AD536" s="248"/>
      <c r="AE536" s="248"/>
      <c r="AF536" s="248"/>
      <c r="AG536" s="248"/>
      <c r="AH536" s="248"/>
      <c r="AI536" s="248"/>
    </row>
    <row r="537" spans="5:35">
      <c r="E537" s="205"/>
      <c r="W537" s="201"/>
      <c r="Y537" s="418"/>
      <c r="Z537" s="418"/>
      <c r="AD537" s="248"/>
      <c r="AE537" s="248"/>
      <c r="AF537" s="248"/>
      <c r="AG537" s="248"/>
      <c r="AH537" s="248"/>
      <c r="AI537" s="248"/>
    </row>
    <row r="538" spans="5:35">
      <c r="E538" s="205"/>
      <c r="W538" s="201"/>
      <c r="Y538" s="418"/>
      <c r="Z538" s="418"/>
      <c r="AD538" s="248"/>
      <c r="AE538" s="248"/>
      <c r="AF538" s="248"/>
      <c r="AG538" s="248"/>
      <c r="AH538" s="248"/>
      <c r="AI538" s="248"/>
    </row>
    <row r="539" spans="5:35">
      <c r="E539" s="205"/>
      <c r="W539" s="201"/>
      <c r="Y539" s="418"/>
      <c r="Z539" s="418"/>
      <c r="AD539" s="248"/>
      <c r="AE539" s="248"/>
      <c r="AF539" s="248"/>
      <c r="AG539" s="248"/>
      <c r="AH539" s="248"/>
      <c r="AI539" s="248"/>
    </row>
    <row r="540" spans="5:35" ht="15" customHeight="1">
      <c r="E540" s="205"/>
      <c r="W540" s="201"/>
      <c r="Y540" s="418"/>
      <c r="Z540" s="418"/>
      <c r="AD540" s="248"/>
      <c r="AE540" s="248"/>
      <c r="AF540" s="248"/>
      <c r="AG540" s="248"/>
      <c r="AH540" s="248"/>
      <c r="AI540" s="248"/>
    </row>
    <row r="541" spans="5:35" ht="15" customHeight="1">
      <c r="E541" s="205"/>
      <c r="W541" s="201"/>
      <c r="Y541" s="418"/>
      <c r="Z541" s="418"/>
      <c r="AD541" s="248"/>
      <c r="AE541" s="248"/>
      <c r="AF541" s="248"/>
      <c r="AG541" s="248"/>
      <c r="AH541" s="248"/>
      <c r="AI541" s="248"/>
    </row>
    <row r="542" spans="5:35">
      <c r="E542" s="205"/>
      <c r="W542" s="201"/>
      <c r="Y542" s="418"/>
      <c r="Z542" s="418"/>
      <c r="AD542" s="248"/>
      <c r="AE542" s="248"/>
      <c r="AF542" s="248"/>
      <c r="AG542" s="248"/>
      <c r="AH542" s="248"/>
      <c r="AI542" s="248"/>
    </row>
    <row r="543" spans="5:35">
      <c r="E543" s="205"/>
      <c r="W543" s="201"/>
      <c r="Y543" s="418"/>
      <c r="Z543" s="418"/>
      <c r="AD543" s="248"/>
      <c r="AE543" s="248"/>
      <c r="AF543" s="248"/>
      <c r="AG543" s="248"/>
      <c r="AH543" s="248"/>
      <c r="AI543" s="248"/>
    </row>
    <row r="544" spans="5:35">
      <c r="E544" s="205"/>
      <c r="W544" s="201"/>
      <c r="Y544" s="418"/>
      <c r="Z544" s="418"/>
      <c r="AD544" s="248"/>
      <c r="AE544" s="248"/>
      <c r="AF544" s="248"/>
      <c r="AG544" s="248"/>
      <c r="AH544" s="248"/>
      <c r="AI544" s="248"/>
    </row>
    <row r="545" spans="5:35">
      <c r="E545" s="205"/>
      <c r="W545" s="201"/>
      <c r="Y545" s="418"/>
      <c r="Z545" s="418"/>
      <c r="AD545" s="248"/>
      <c r="AE545" s="248"/>
      <c r="AF545" s="248"/>
      <c r="AG545" s="248"/>
      <c r="AH545" s="248"/>
      <c r="AI545" s="248"/>
    </row>
    <row r="546" spans="5:35">
      <c r="E546" s="205"/>
      <c r="W546" s="201"/>
      <c r="Y546" s="418"/>
      <c r="Z546" s="418"/>
      <c r="AD546" s="248"/>
      <c r="AE546" s="248"/>
      <c r="AF546" s="248"/>
      <c r="AG546" s="248"/>
      <c r="AH546" s="248"/>
      <c r="AI546" s="248"/>
    </row>
    <row r="547" spans="5:35" ht="60.75" customHeight="1">
      <c r="E547" s="205"/>
      <c r="W547" s="201"/>
      <c r="Y547" s="418"/>
      <c r="Z547" s="418"/>
      <c r="AD547" s="248"/>
      <c r="AE547" s="248"/>
      <c r="AF547" s="248"/>
      <c r="AG547" s="248"/>
      <c r="AH547" s="248"/>
      <c r="AI547" s="248"/>
    </row>
    <row r="548" spans="5:35">
      <c r="E548" s="205"/>
      <c r="W548" s="201"/>
      <c r="Y548" s="418"/>
      <c r="Z548" s="418"/>
      <c r="AD548" s="248"/>
      <c r="AE548" s="248"/>
      <c r="AF548" s="248"/>
      <c r="AG548" s="248"/>
      <c r="AH548" s="248"/>
      <c r="AI548" s="248"/>
    </row>
    <row r="549" spans="5:35">
      <c r="E549" s="205"/>
      <c r="W549" s="201"/>
      <c r="Y549" s="418"/>
      <c r="Z549" s="418"/>
      <c r="AD549" s="248"/>
      <c r="AE549" s="248"/>
      <c r="AF549" s="248"/>
      <c r="AG549" s="248"/>
      <c r="AH549" s="248"/>
      <c r="AI549" s="248"/>
    </row>
    <row r="550" spans="5:35" ht="15" customHeight="1">
      <c r="E550" s="205"/>
      <c r="W550" s="201"/>
      <c r="Y550" s="418"/>
      <c r="Z550" s="418"/>
      <c r="AD550" s="248"/>
      <c r="AE550" s="248"/>
      <c r="AF550" s="248"/>
      <c r="AG550" s="248"/>
      <c r="AH550" s="248"/>
      <c r="AI550" s="248"/>
    </row>
    <row r="551" spans="5:35" ht="40.5" customHeight="1">
      <c r="E551" s="205"/>
      <c r="W551" s="201"/>
      <c r="Y551" s="418"/>
      <c r="Z551" s="418"/>
      <c r="AD551" s="248"/>
      <c r="AE551" s="248"/>
      <c r="AF551" s="248"/>
      <c r="AG551" s="248"/>
      <c r="AH551" s="248"/>
      <c r="AI551" s="248"/>
    </row>
    <row r="552" spans="5:35">
      <c r="E552" s="205"/>
      <c r="W552" s="201"/>
      <c r="X552" s="442" t="s">
        <v>1917</v>
      </c>
      <c r="Y552" s="443"/>
      <c r="Z552" s="443"/>
      <c r="AA552" s="444"/>
      <c r="AB552" s="273"/>
      <c r="AC552" s="273"/>
      <c r="AD552" s="248"/>
      <c r="AE552" s="248"/>
      <c r="AF552" s="248"/>
      <c r="AG552" s="248"/>
      <c r="AH552" s="248"/>
      <c r="AI552" s="248"/>
    </row>
    <row r="553" spans="5:35">
      <c r="E553" s="205"/>
      <c r="W553" s="201"/>
      <c r="Y553" s="418"/>
      <c r="Z553" s="418"/>
      <c r="AD553" s="248"/>
      <c r="AE553" s="248"/>
      <c r="AF553" s="248"/>
      <c r="AG553" s="248"/>
      <c r="AH553" s="248"/>
      <c r="AI553" s="248"/>
    </row>
    <row r="554" spans="5:35" ht="58.5" customHeight="1">
      <c r="E554" s="205"/>
      <c r="W554" s="201"/>
      <c r="Y554" s="418"/>
      <c r="Z554" s="418"/>
      <c r="AD554" s="248"/>
      <c r="AE554" s="248"/>
      <c r="AF554" s="248"/>
      <c r="AG554" s="248"/>
      <c r="AH554" s="248"/>
      <c r="AI554" s="248"/>
    </row>
    <row r="555" spans="5:35" ht="15" customHeight="1">
      <c r="E555" s="205"/>
      <c r="W555" s="201"/>
      <c r="Y555" s="418"/>
      <c r="Z555" s="418"/>
      <c r="AD555" s="248"/>
      <c r="AE555" s="248"/>
      <c r="AF555" s="248"/>
      <c r="AG555" s="248"/>
      <c r="AH555" s="248"/>
      <c r="AI555" s="248"/>
    </row>
    <row r="556" spans="5:35" ht="37.5" customHeight="1">
      <c r="E556" s="205"/>
      <c r="W556" s="201"/>
      <c r="Y556" s="418"/>
      <c r="Z556" s="418"/>
      <c r="AD556" s="248"/>
      <c r="AE556" s="248"/>
      <c r="AF556" s="248"/>
      <c r="AG556" s="248"/>
      <c r="AH556" s="248"/>
      <c r="AI556" s="248"/>
    </row>
    <row r="557" spans="5:35" ht="57" customHeight="1">
      <c r="E557" s="205"/>
      <c r="W557" s="201"/>
      <c r="Y557" s="418"/>
      <c r="Z557" s="418"/>
      <c r="AD557" s="248"/>
      <c r="AE557" s="248"/>
      <c r="AF557" s="248"/>
      <c r="AG557" s="248"/>
      <c r="AH557" s="248"/>
      <c r="AI557" s="248"/>
    </row>
    <row r="558" spans="5:35" ht="37.5" customHeight="1">
      <c r="E558" s="205"/>
      <c r="W558" s="201"/>
      <c r="Y558" s="418"/>
      <c r="Z558" s="418"/>
      <c r="AD558" s="248"/>
      <c r="AE558" s="248"/>
      <c r="AF558" s="248"/>
      <c r="AG558" s="248"/>
      <c r="AH558" s="248"/>
      <c r="AI558" s="248"/>
    </row>
    <row r="559" spans="5:35" ht="45.75" customHeight="1">
      <c r="E559" s="205"/>
      <c r="W559" s="201"/>
      <c r="Y559" s="418"/>
      <c r="Z559" s="418"/>
      <c r="AD559" s="248"/>
      <c r="AE559" s="248"/>
      <c r="AF559" s="248"/>
      <c r="AG559" s="248"/>
      <c r="AH559" s="248"/>
      <c r="AI559" s="248"/>
    </row>
    <row r="560" spans="5:35">
      <c r="E560" s="205"/>
      <c r="W560" s="201"/>
      <c r="Y560" s="418"/>
      <c r="Z560" s="418"/>
      <c r="AD560" s="248"/>
      <c r="AE560" s="248"/>
      <c r="AF560" s="248"/>
      <c r="AG560" s="248"/>
      <c r="AH560" s="248"/>
      <c r="AI560" s="248"/>
    </row>
    <row r="561" spans="5:35" ht="64.5" customHeight="1">
      <c r="E561" s="205"/>
      <c r="W561" s="201"/>
      <c r="Y561" s="418"/>
      <c r="Z561" s="418"/>
      <c r="AD561" s="248"/>
      <c r="AE561" s="248"/>
      <c r="AF561" s="248"/>
      <c r="AG561" s="248"/>
      <c r="AH561" s="248"/>
      <c r="AI561" s="248"/>
    </row>
    <row r="562" spans="5:35" ht="48.75" customHeight="1">
      <c r="E562" s="205"/>
      <c r="W562" s="201"/>
      <c r="Y562" s="418"/>
      <c r="Z562" s="418"/>
      <c r="AD562" s="248"/>
      <c r="AE562" s="248"/>
      <c r="AF562" s="248"/>
      <c r="AG562" s="248"/>
      <c r="AH562" s="248"/>
      <c r="AI562" s="248"/>
    </row>
    <row r="563" spans="5:35" ht="15" customHeight="1">
      <c r="E563" s="205"/>
      <c r="W563" s="201"/>
      <c r="Y563" s="418"/>
      <c r="Z563" s="418"/>
      <c r="AD563" s="248"/>
      <c r="AE563" s="248"/>
      <c r="AF563" s="248"/>
      <c r="AG563" s="248"/>
      <c r="AH563" s="248"/>
      <c r="AI563" s="248"/>
    </row>
    <row r="564" spans="5:35" ht="15" customHeight="1">
      <c r="E564" s="205"/>
      <c r="W564" s="201"/>
      <c r="Y564" s="418"/>
      <c r="Z564" s="418"/>
      <c r="AD564" s="248"/>
      <c r="AE564" s="248"/>
      <c r="AF564" s="248"/>
      <c r="AG564" s="248"/>
      <c r="AH564" s="248"/>
      <c r="AI564" s="248"/>
    </row>
    <row r="565" spans="5:35" ht="15" customHeight="1">
      <c r="E565" s="205"/>
      <c r="W565" s="201"/>
      <c r="Y565" s="418"/>
      <c r="Z565" s="418"/>
      <c r="AD565" s="248"/>
      <c r="AE565" s="248"/>
      <c r="AF565" s="248"/>
      <c r="AG565" s="248"/>
      <c r="AH565" s="248"/>
      <c r="AI565" s="248"/>
    </row>
    <row r="566" spans="5:35">
      <c r="E566" s="205"/>
      <c r="W566" s="201"/>
      <c r="Y566" s="418"/>
      <c r="Z566" s="418"/>
      <c r="AD566" s="248"/>
      <c r="AE566" s="248"/>
      <c r="AF566" s="248"/>
      <c r="AG566" s="248"/>
      <c r="AH566" s="248"/>
      <c r="AI566" s="248"/>
    </row>
    <row r="567" spans="5:35">
      <c r="E567" s="205"/>
      <c r="W567" s="201"/>
      <c r="Y567" s="418"/>
      <c r="Z567" s="418"/>
      <c r="AD567" s="248"/>
      <c r="AE567" s="248"/>
      <c r="AF567" s="248"/>
      <c r="AG567" s="248"/>
      <c r="AH567" s="248"/>
      <c r="AI567" s="248"/>
    </row>
    <row r="568" spans="5:35" ht="51" customHeight="1">
      <c r="E568" s="205"/>
      <c r="W568" s="201"/>
      <c r="Y568" s="418"/>
      <c r="Z568" s="418"/>
      <c r="AD568" s="248"/>
      <c r="AE568" s="248"/>
      <c r="AF568" s="248"/>
      <c r="AG568" s="248"/>
      <c r="AH568" s="248"/>
      <c r="AI568" s="248"/>
    </row>
    <row r="569" spans="5:35" ht="36" customHeight="1">
      <c r="E569" s="205"/>
      <c r="W569" s="201"/>
      <c r="Y569" s="418"/>
      <c r="Z569" s="418"/>
      <c r="AD569" s="248"/>
      <c r="AE569" s="248"/>
      <c r="AF569" s="248"/>
      <c r="AG569" s="248"/>
      <c r="AH569" s="248"/>
      <c r="AI569" s="248"/>
    </row>
    <row r="570" spans="5:35">
      <c r="E570" s="205"/>
      <c r="W570" s="201"/>
      <c r="Y570" s="418"/>
      <c r="Z570" s="418"/>
      <c r="AD570" s="248"/>
      <c r="AE570" s="248"/>
      <c r="AF570" s="248"/>
      <c r="AG570" s="248"/>
      <c r="AH570" s="248"/>
      <c r="AI570" s="248"/>
    </row>
    <row r="571" spans="5:35" ht="15" customHeight="1">
      <c r="E571" s="205"/>
      <c r="W571" s="201"/>
      <c r="Y571" s="418"/>
      <c r="Z571" s="418"/>
      <c r="AD571" s="248"/>
      <c r="AE571" s="248"/>
      <c r="AF571" s="248"/>
      <c r="AG571" s="248"/>
      <c r="AH571" s="248"/>
      <c r="AI571" s="248"/>
    </row>
    <row r="572" spans="5:35">
      <c r="E572" s="205"/>
      <c r="W572" s="201"/>
      <c r="Y572" s="418"/>
      <c r="Z572" s="418"/>
      <c r="AD572" s="248"/>
      <c r="AE572" s="248"/>
      <c r="AF572" s="248"/>
      <c r="AG572" s="248"/>
      <c r="AH572" s="248"/>
      <c r="AI572" s="248"/>
    </row>
    <row r="573" spans="5:35" ht="15" customHeight="1">
      <c r="E573" s="205"/>
      <c r="W573" s="201"/>
      <c r="Y573" s="418"/>
      <c r="Z573" s="418"/>
      <c r="AD573" s="248"/>
      <c r="AE573" s="248"/>
      <c r="AF573" s="248"/>
      <c r="AG573" s="248"/>
      <c r="AH573" s="248"/>
      <c r="AI573" s="248"/>
    </row>
    <row r="574" spans="5:35" ht="54.75" customHeight="1">
      <c r="E574" s="205"/>
      <c r="W574" s="201"/>
      <c r="Y574" s="418"/>
      <c r="Z574" s="418"/>
      <c r="AD574" s="248"/>
      <c r="AE574" s="248"/>
      <c r="AF574" s="248"/>
      <c r="AG574" s="248"/>
      <c r="AH574" s="248"/>
      <c r="AI574" s="248"/>
    </row>
    <row r="575" spans="5:35" ht="15" customHeight="1">
      <c r="E575" s="205"/>
      <c r="W575" s="201"/>
      <c r="Y575" s="418"/>
      <c r="Z575" s="418"/>
      <c r="AD575" s="248"/>
      <c r="AE575" s="248"/>
      <c r="AF575" s="248"/>
      <c r="AG575" s="248"/>
      <c r="AH575" s="248"/>
      <c r="AI575" s="248"/>
    </row>
    <row r="576" spans="5:35">
      <c r="E576" s="205"/>
      <c r="W576" s="201"/>
      <c r="Y576" s="418"/>
      <c r="Z576" s="418"/>
      <c r="AD576" s="248"/>
      <c r="AE576" s="248"/>
      <c r="AF576" s="248"/>
      <c r="AG576" s="248"/>
      <c r="AH576" s="248"/>
      <c r="AI576" s="248"/>
    </row>
    <row r="577" spans="5:35">
      <c r="E577" s="205"/>
      <c r="W577" s="201"/>
      <c r="Y577" s="418"/>
      <c r="Z577" s="418"/>
      <c r="AD577" s="248"/>
      <c r="AE577" s="248"/>
      <c r="AF577" s="248"/>
      <c r="AG577" s="248"/>
      <c r="AH577" s="248"/>
      <c r="AI577" s="248"/>
    </row>
    <row r="578" spans="5:35" ht="58.5" customHeight="1">
      <c r="E578" s="205"/>
      <c r="W578" s="201"/>
      <c r="Y578" s="418"/>
      <c r="Z578" s="418"/>
      <c r="AD578" s="248"/>
      <c r="AE578" s="248"/>
      <c r="AF578" s="248"/>
      <c r="AG578" s="248"/>
      <c r="AH578" s="248"/>
      <c r="AI578" s="248"/>
    </row>
    <row r="579" spans="5:35" ht="36" customHeight="1">
      <c r="E579" s="205"/>
      <c r="W579" s="201"/>
      <c r="Y579" s="418"/>
      <c r="Z579" s="418"/>
      <c r="AD579" s="248"/>
      <c r="AE579" s="248"/>
      <c r="AF579" s="248"/>
      <c r="AG579" s="248"/>
      <c r="AH579" s="248"/>
      <c r="AI579" s="248"/>
    </row>
    <row r="580" spans="5:35">
      <c r="E580" s="205"/>
      <c r="W580" s="201"/>
      <c r="Y580" s="418"/>
      <c r="Z580" s="418"/>
      <c r="AD580" s="248"/>
      <c r="AE580" s="248"/>
      <c r="AF580" s="248"/>
      <c r="AG580" s="248"/>
      <c r="AH580" s="248"/>
      <c r="AI580" s="248"/>
    </row>
    <row r="581" spans="5:35">
      <c r="E581" s="205"/>
      <c r="W581" s="201"/>
      <c r="Y581" s="418"/>
      <c r="Z581" s="418"/>
      <c r="AD581" s="248"/>
      <c r="AE581" s="248"/>
      <c r="AF581" s="248"/>
      <c r="AG581" s="248"/>
      <c r="AH581" s="248"/>
      <c r="AI581" s="248"/>
    </row>
    <row r="582" spans="5:35">
      <c r="E582" s="205"/>
      <c r="W582" s="201"/>
      <c r="Y582" s="418"/>
      <c r="Z582" s="418"/>
      <c r="AD582" s="248"/>
      <c r="AE582" s="248"/>
      <c r="AF582" s="248"/>
      <c r="AG582" s="248"/>
      <c r="AH582" s="248"/>
      <c r="AI582" s="248"/>
    </row>
    <row r="583" spans="5:35" ht="75" customHeight="1">
      <c r="E583" s="205"/>
      <c r="W583" s="201"/>
      <c r="Y583" s="418"/>
      <c r="Z583" s="418"/>
      <c r="AD583" s="248"/>
      <c r="AE583" s="248"/>
      <c r="AF583" s="248"/>
      <c r="AG583" s="248"/>
      <c r="AH583" s="248"/>
      <c r="AI583" s="248"/>
    </row>
    <row r="584" spans="5:35" ht="111.75" customHeight="1">
      <c r="E584" s="205"/>
      <c r="W584" s="201"/>
      <c r="X584" s="445"/>
      <c r="Y584" s="418"/>
      <c r="Z584" s="418"/>
      <c r="AD584" s="248"/>
      <c r="AE584" s="248"/>
      <c r="AF584" s="248"/>
      <c r="AG584" s="248"/>
      <c r="AH584" s="248"/>
      <c r="AI584" s="248"/>
    </row>
    <row r="585" spans="5:35" ht="71.25" customHeight="1">
      <c r="E585" s="205"/>
      <c r="W585" s="201"/>
      <c r="Y585" s="418"/>
      <c r="Z585" s="418"/>
      <c r="AD585" s="248"/>
      <c r="AE585" s="248"/>
      <c r="AF585" s="248"/>
      <c r="AG585" s="248"/>
      <c r="AH585" s="248"/>
      <c r="AI585" s="248"/>
    </row>
    <row r="586" spans="5:35" ht="68.25" customHeight="1">
      <c r="E586" s="205"/>
      <c r="W586" s="201"/>
      <c r="Y586" s="418"/>
      <c r="Z586" s="418"/>
      <c r="AD586" s="248"/>
      <c r="AE586" s="248"/>
      <c r="AF586" s="248"/>
      <c r="AG586" s="248"/>
      <c r="AH586" s="248"/>
      <c r="AI586" s="248"/>
    </row>
    <row r="587" spans="5:35" ht="15" customHeight="1">
      <c r="E587" s="205"/>
      <c r="W587" s="201"/>
      <c r="Y587" s="418"/>
      <c r="Z587" s="418"/>
      <c r="AD587" s="248"/>
      <c r="AE587" s="248"/>
      <c r="AF587" s="248"/>
      <c r="AG587" s="248"/>
      <c r="AH587" s="248"/>
      <c r="AI587" s="248"/>
    </row>
    <row r="588" spans="5:35" ht="58.5" customHeight="1">
      <c r="E588" s="205"/>
      <c r="W588" s="201"/>
      <c r="Y588" s="418"/>
      <c r="Z588" s="418"/>
      <c r="AD588" s="248"/>
      <c r="AE588" s="248"/>
      <c r="AF588" s="248"/>
      <c r="AG588" s="248"/>
      <c r="AH588" s="248"/>
      <c r="AI588" s="248"/>
    </row>
    <row r="589" spans="5:35" ht="58.5" customHeight="1">
      <c r="E589" s="205"/>
      <c r="W589" s="201"/>
      <c r="Y589" s="418"/>
      <c r="Z589" s="418"/>
      <c r="AD589" s="248"/>
      <c r="AE589" s="248"/>
      <c r="AF589" s="248"/>
      <c r="AG589" s="248"/>
      <c r="AH589" s="248"/>
      <c r="AI589" s="248"/>
    </row>
    <row r="590" spans="5:35">
      <c r="E590" s="205"/>
      <c r="W590" s="201"/>
      <c r="Y590" s="418"/>
      <c r="Z590" s="418"/>
      <c r="AD590" s="248"/>
      <c r="AE590" s="248"/>
      <c r="AF590" s="248"/>
      <c r="AG590" s="248"/>
      <c r="AH590" s="248"/>
      <c r="AI590" s="248"/>
    </row>
    <row r="591" spans="5:35">
      <c r="E591" s="205"/>
      <c r="W591" s="201"/>
      <c r="Y591" s="418"/>
      <c r="Z591" s="418"/>
      <c r="AD591" s="248"/>
      <c r="AE591" s="248"/>
      <c r="AF591" s="248"/>
      <c r="AG591" s="248"/>
      <c r="AH591" s="248"/>
      <c r="AI591" s="248"/>
    </row>
    <row r="592" spans="5:35">
      <c r="E592" s="205"/>
      <c r="W592" s="201"/>
      <c r="Y592" s="418"/>
      <c r="Z592" s="418"/>
      <c r="AD592" s="248"/>
      <c r="AE592" s="248"/>
      <c r="AF592" s="248"/>
      <c r="AG592" s="248"/>
      <c r="AH592" s="248"/>
      <c r="AI592" s="248"/>
    </row>
    <row r="593" spans="5:35" ht="15" customHeight="1">
      <c r="E593" s="205"/>
      <c r="W593" s="201"/>
      <c r="Y593" s="418"/>
      <c r="Z593" s="418"/>
      <c r="AD593" s="248"/>
      <c r="AE593" s="248"/>
      <c r="AF593" s="248"/>
      <c r="AG593" s="248"/>
      <c r="AH593" s="248"/>
      <c r="AI593" s="248"/>
    </row>
    <row r="594" spans="5:35">
      <c r="E594" s="205"/>
      <c r="W594" s="201"/>
      <c r="Y594" s="418"/>
      <c r="Z594" s="418"/>
      <c r="AD594" s="248"/>
      <c r="AE594" s="248"/>
      <c r="AF594" s="248"/>
      <c r="AG594" s="248"/>
      <c r="AH594" s="248"/>
      <c r="AI594" s="248"/>
    </row>
    <row r="595" spans="5:35">
      <c r="E595" s="205"/>
      <c r="W595" s="201"/>
      <c r="Y595" s="418"/>
      <c r="Z595" s="418"/>
      <c r="AD595" s="248"/>
      <c r="AE595" s="248"/>
      <c r="AF595" s="248"/>
      <c r="AG595" s="248"/>
      <c r="AH595" s="248"/>
      <c r="AI595" s="248"/>
    </row>
    <row r="596" spans="5:35" ht="15" customHeight="1">
      <c r="E596" s="205"/>
      <c r="W596" s="201"/>
      <c r="Y596" s="418"/>
      <c r="Z596" s="418"/>
      <c r="AD596" s="248"/>
      <c r="AE596" s="248"/>
      <c r="AF596" s="248"/>
      <c r="AG596" s="248"/>
      <c r="AH596" s="248"/>
      <c r="AI596" s="248"/>
    </row>
    <row r="597" spans="5:35" ht="15" customHeight="1">
      <c r="E597" s="205"/>
      <c r="W597" s="201"/>
      <c r="Y597" s="418"/>
      <c r="Z597" s="418"/>
      <c r="AD597" s="248"/>
      <c r="AE597" s="248"/>
      <c r="AF597" s="248"/>
      <c r="AG597" s="248"/>
      <c r="AH597" s="248"/>
      <c r="AI597" s="248"/>
    </row>
    <row r="598" spans="5:35">
      <c r="E598" s="205"/>
      <c r="W598" s="201"/>
      <c r="Y598" s="418"/>
      <c r="Z598" s="418"/>
      <c r="AD598" s="248"/>
      <c r="AE598" s="248"/>
      <c r="AF598" s="248"/>
      <c r="AG598" s="248"/>
      <c r="AH598" s="248"/>
      <c r="AI598" s="248"/>
    </row>
    <row r="599" spans="5:35">
      <c r="E599" s="205"/>
      <c r="W599" s="201"/>
      <c r="Y599" s="418"/>
      <c r="Z599" s="418"/>
      <c r="AD599" s="248"/>
      <c r="AE599" s="248"/>
      <c r="AF599" s="248"/>
      <c r="AG599" s="248"/>
      <c r="AH599" s="248"/>
      <c r="AI599" s="248"/>
    </row>
    <row r="600" spans="5:35">
      <c r="E600" s="205"/>
      <c r="W600" s="201"/>
      <c r="Y600" s="418"/>
      <c r="Z600" s="418"/>
      <c r="AD600" s="248"/>
      <c r="AE600" s="248"/>
      <c r="AF600" s="248"/>
      <c r="AG600" s="248"/>
      <c r="AH600" s="248"/>
      <c r="AI600" s="248"/>
    </row>
    <row r="601" spans="5:35">
      <c r="E601" s="205"/>
      <c r="W601" s="201"/>
      <c r="Y601" s="418"/>
      <c r="Z601" s="418"/>
      <c r="AD601" s="248"/>
      <c r="AE601" s="248"/>
      <c r="AF601" s="248"/>
      <c r="AG601" s="248"/>
      <c r="AH601" s="248"/>
      <c r="AI601" s="248"/>
    </row>
    <row r="602" spans="5:35">
      <c r="E602" s="205"/>
      <c r="W602" s="201"/>
      <c r="Y602" s="418"/>
      <c r="Z602" s="418"/>
      <c r="AD602" s="248"/>
      <c r="AE602" s="248"/>
      <c r="AF602" s="248"/>
      <c r="AG602" s="248"/>
      <c r="AH602" s="248"/>
      <c r="AI602" s="248"/>
    </row>
    <row r="603" spans="5:35">
      <c r="E603" s="205"/>
      <c r="W603" s="201"/>
      <c r="Y603" s="418"/>
      <c r="Z603" s="418"/>
      <c r="AD603" s="248"/>
      <c r="AE603" s="248"/>
      <c r="AF603" s="248"/>
      <c r="AG603" s="248"/>
      <c r="AH603" s="248"/>
      <c r="AI603" s="248"/>
    </row>
    <row r="604" spans="5:35">
      <c r="E604" s="205"/>
      <c r="W604" s="201"/>
      <c r="Y604" s="418"/>
      <c r="Z604" s="418"/>
      <c r="AD604" s="248"/>
      <c r="AE604" s="248"/>
      <c r="AF604" s="248"/>
      <c r="AG604" s="248"/>
      <c r="AH604" s="248"/>
      <c r="AI604" s="248"/>
    </row>
    <row r="605" spans="5:35">
      <c r="E605" s="205"/>
      <c r="W605" s="201"/>
      <c r="Y605" s="418"/>
      <c r="Z605" s="418"/>
      <c r="AD605" s="248"/>
      <c r="AE605" s="248"/>
      <c r="AF605" s="248"/>
      <c r="AG605" s="248"/>
      <c r="AH605" s="248"/>
      <c r="AI605" s="248"/>
    </row>
    <row r="606" spans="5:35">
      <c r="E606" s="205"/>
      <c r="W606" s="201"/>
      <c r="Y606" s="418"/>
      <c r="Z606" s="418"/>
      <c r="AD606" s="248"/>
      <c r="AE606" s="248"/>
      <c r="AF606" s="248"/>
      <c r="AG606" s="248"/>
      <c r="AH606" s="248"/>
      <c r="AI606" s="248"/>
    </row>
    <row r="607" spans="5:35">
      <c r="E607" s="205"/>
      <c r="W607" s="201"/>
      <c r="Y607" s="418"/>
      <c r="Z607" s="418"/>
      <c r="AD607" s="248"/>
      <c r="AE607" s="248"/>
      <c r="AF607" s="248"/>
      <c r="AG607" s="248"/>
      <c r="AH607" s="248"/>
      <c r="AI607" s="248"/>
    </row>
    <row r="608" spans="5:35">
      <c r="E608" s="205"/>
      <c r="W608" s="201"/>
      <c r="Y608" s="418"/>
      <c r="Z608" s="418"/>
      <c r="AD608" s="248"/>
      <c r="AE608" s="248"/>
      <c r="AF608" s="248"/>
      <c r="AG608" s="248"/>
      <c r="AH608" s="248"/>
      <c r="AI608" s="248"/>
    </row>
    <row r="609" spans="5:35">
      <c r="E609" s="205"/>
      <c r="W609" s="201"/>
      <c r="Y609" s="418"/>
      <c r="Z609" s="418"/>
      <c r="AD609" s="248"/>
      <c r="AE609" s="248"/>
      <c r="AF609" s="248"/>
      <c r="AG609" s="248"/>
      <c r="AH609" s="248"/>
      <c r="AI609" s="248"/>
    </row>
    <row r="610" spans="5:35">
      <c r="E610" s="205"/>
      <c r="W610" s="201"/>
      <c r="Y610" s="418"/>
      <c r="Z610" s="418"/>
      <c r="AD610" s="248"/>
      <c r="AE610" s="248"/>
      <c r="AF610" s="248"/>
      <c r="AG610" s="248"/>
      <c r="AH610" s="248"/>
      <c r="AI610" s="248"/>
    </row>
    <row r="611" spans="5:35">
      <c r="E611" s="205"/>
      <c r="W611" s="201"/>
      <c r="Y611" s="418"/>
      <c r="Z611" s="418"/>
      <c r="AD611" s="248"/>
      <c r="AE611" s="248"/>
      <c r="AF611" s="248"/>
      <c r="AG611" s="248"/>
      <c r="AH611" s="248"/>
      <c r="AI611" s="248"/>
    </row>
    <row r="612" spans="5:35">
      <c r="E612" s="205"/>
      <c r="W612" s="201"/>
      <c r="Y612" s="418"/>
      <c r="Z612" s="418"/>
      <c r="AD612" s="248"/>
      <c r="AE612" s="248"/>
      <c r="AF612" s="248"/>
      <c r="AG612" s="248"/>
      <c r="AH612" s="248"/>
      <c r="AI612" s="248"/>
    </row>
    <row r="613" spans="5:35">
      <c r="E613" s="205"/>
      <c r="W613" s="201"/>
      <c r="Y613" s="418"/>
      <c r="Z613" s="418"/>
      <c r="AD613" s="248"/>
      <c r="AE613" s="248"/>
      <c r="AF613" s="248"/>
      <c r="AG613" s="248"/>
      <c r="AH613" s="248"/>
      <c r="AI613" s="248"/>
    </row>
    <row r="614" spans="5:35">
      <c r="E614" s="205"/>
      <c r="W614" s="201"/>
      <c r="Y614" s="418"/>
      <c r="Z614" s="418"/>
      <c r="AD614" s="248"/>
      <c r="AE614" s="248"/>
      <c r="AF614" s="248"/>
      <c r="AG614" s="248"/>
      <c r="AH614" s="248"/>
      <c r="AI614" s="248"/>
    </row>
    <row r="615" spans="5:35">
      <c r="E615" s="205"/>
      <c r="W615" s="201"/>
      <c r="Y615" s="418"/>
      <c r="Z615" s="418"/>
      <c r="AD615" s="248"/>
      <c r="AE615" s="248"/>
      <c r="AF615" s="248"/>
      <c r="AG615" s="248"/>
      <c r="AH615" s="248"/>
      <c r="AI615" s="248"/>
    </row>
    <row r="616" spans="5:35">
      <c r="E616" s="205"/>
      <c r="W616" s="201"/>
      <c r="Y616" s="418"/>
      <c r="Z616" s="418"/>
      <c r="AD616" s="248"/>
      <c r="AE616" s="248"/>
      <c r="AF616" s="248"/>
      <c r="AG616" s="248"/>
      <c r="AH616" s="248"/>
      <c r="AI616" s="248"/>
    </row>
    <row r="617" spans="5:35">
      <c r="E617" s="205"/>
      <c r="W617" s="201"/>
      <c r="Y617" s="418"/>
      <c r="Z617" s="418"/>
      <c r="AD617" s="248"/>
      <c r="AE617" s="248"/>
      <c r="AF617" s="248"/>
      <c r="AG617" s="248"/>
      <c r="AH617" s="248"/>
      <c r="AI617" s="248"/>
    </row>
    <row r="618" spans="5:35">
      <c r="E618" s="205"/>
      <c r="W618" s="201"/>
      <c r="Y618" s="418"/>
      <c r="Z618" s="418"/>
      <c r="AD618" s="248"/>
      <c r="AE618" s="248"/>
      <c r="AF618" s="248"/>
      <c r="AG618" s="248"/>
      <c r="AH618" s="248"/>
      <c r="AI618" s="248"/>
    </row>
    <row r="619" spans="5:35">
      <c r="E619" s="205"/>
      <c r="W619" s="201"/>
      <c r="Y619" s="418"/>
      <c r="Z619" s="418"/>
      <c r="AD619" s="248"/>
      <c r="AE619" s="248"/>
      <c r="AF619" s="248"/>
      <c r="AG619" s="248"/>
      <c r="AH619" s="248"/>
      <c r="AI619" s="248"/>
    </row>
    <row r="620" spans="5:35">
      <c r="E620" s="205"/>
      <c r="W620" s="201"/>
      <c r="Y620" s="418"/>
      <c r="Z620" s="418"/>
      <c r="AD620" s="248"/>
      <c r="AE620" s="248"/>
      <c r="AF620" s="248"/>
      <c r="AG620" s="248"/>
      <c r="AH620" s="248"/>
      <c r="AI620" s="248"/>
    </row>
    <row r="621" spans="5:35">
      <c r="E621" s="205"/>
      <c r="W621" s="201"/>
      <c r="Y621" s="418"/>
      <c r="Z621" s="418"/>
      <c r="AD621" s="248"/>
      <c r="AE621" s="248"/>
      <c r="AF621" s="248"/>
      <c r="AG621" s="248"/>
      <c r="AH621" s="248"/>
      <c r="AI621" s="248"/>
    </row>
    <row r="622" spans="5:35">
      <c r="E622" s="205"/>
      <c r="W622" s="201"/>
      <c r="Y622" s="418"/>
      <c r="Z622" s="418"/>
      <c r="AD622" s="248"/>
      <c r="AE622" s="248"/>
      <c r="AF622" s="248"/>
      <c r="AG622" s="248"/>
      <c r="AH622" s="248"/>
      <c r="AI622" s="248"/>
    </row>
    <row r="623" spans="5:35">
      <c r="E623" s="205"/>
      <c r="W623" s="201"/>
      <c r="Y623" s="418"/>
      <c r="Z623" s="418"/>
      <c r="AD623" s="248"/>
      <c r="AE623" s="248"/>
      <c r="AF623" s="248"/>
      <c r="AG623" s="248"/>
      <c r="AH623" s="248"/>
      <c r="AI623" s="248"/>
    </row>
    <row r="624" spans="5:35">
      <c r="E624" s="205"/>
      <c r="W624" s="201"/>
      <c r="Y624" s="418"/>
      <c r="Z624" s="418"/>
      <c r="AD624" s="248"/>
      <c r="AE624" s="248"/>
      <c r="AF624" s="248"/>
      <c r="AG624" s="248"/>
      <c r="AH624" s="248"/>
      <c r="AI624" s="248"/>
    </row>
    <row r="625" spans="5:35">
      <c r="E625" s="205"/>
      <c r="W625" s="201"/>
      <c r="Y625" s="418"/>
      <c r="Z625" s="418"/>
      <c r="AD625" s="248"/>
      <c r="AE625" s="248"/>
      <c r="AF625" s="248"/>
      <c r="AG625" s="248"/>
      <c r="AH625" s="248"/>
      <c r="AI625" s="248"/>
    </row>
    <row r="626" spans="5:35">
      <c r="E626" s="205"/>
      <c r="W626" s="201"/>
      <c r="Y626" s="418"/>
      <c r="Z626" s="418"/>
      <c r="AD626" s="248"/>
      <c r="AE626" s="248"/>
      <c r="AF626" s="248"/>
      <c r="AG626" s="248"/>
      <c r="AH626" s="248"/>
      <c r="AI626" s="248"/>
    </row>
    <row r="627" spans="5:35">
      <c r="E627" s="205"/>
      <c r="W627" s="201"/>
      <c r="Y627" s="418"/>
      <c r="Z627" s="418"/>
      <c r="AD627" s="248"/>
      <c r="AE627" s="248"/>
      <c r="AF627" s="248"/>
      <c r="AG627" s="248"/>
      <c r="AH627" s="248"/>
      <c r="AI627" s="248"/>
    </row>
    <row r="628" spans="5:35">
      <c r="Y628" s="418"/>
      <c r="Z628" s="418"/>
      <c r="AD628" s="248"/>
      <c r="AE628" s="248"/>
      <c r="AF628" s="248"/>
      <c r="AG628" s="248"/>
      <c r="AH628" s="248"/>
      <c r="AI628" s="248"/>
    </row>
    <row r="629" spans="5:35">
      <c r="Y629" s="418"/>
      <c r="Z629" s="418"/>
      <c r="AD629" s="248"/>
      <c r="AE629" s="248"/>
      <c r="AF629" s="248"/>
      <c r="AG629" s="248"/>
      <c r="AH629" s="248"/>
      <c r="AI629" s="248"/>
    </row>
    <row r="630" spans="5:35">
      <c r="Y630" s="418"/>
      <c r="Z630" s="418"/>
      <c r="AD630" s="248"/>
      <c r="AE630" s="248"/>
      <c r="AF630" s="248"/>
      <c r="AG630" s="248"/>
      <c r="AH630" s="248"/>
      <c r="AI630" s="248"/>
    </row>
    <row r="631" spans="5:35">
      <c r="Y631" s="418"/>
      <c r="Z631" s="418"/>
      <c r="AD631" s="248"/>
      <c r="AE631" s="248"/>
      <c r="AF631" s="248"/>
      <c r="AG631" s="248"/>
      <c r="AH631" s="248"/>
      <c r="AI631" s="248"/>
    </row>
    <row r="632" spans="5:35">
      <c r="Y632" s="418"/>
      <c r="Z632" s="418"/>
      <c r="AD632" s="248"/>
      <c r="AE632" s="248"/>
      <c r="AF632" s="248"/>
      <c r="AG632" s="248"/>
      <c r="AH632" s="248"/>
      <c r="AI632" s="248"/>
    </row>
    <row r="633" spans="5:35">
      <c r="Y633" s="418"/>
      <c r="Z633" s="418"/>
      <c r="AD633" s="248"/>
      <c r="AE633" s="248"/>
      <c r="AF633" s="248"/>
      <c r="AG633" s="248"/>
      <c r="AH633" s="248"/>
      <c r="AI633" s="248"/>
    </row>
    <row r="634" spans="5:35">
      <c r="Y634" s="418"/>
      <c r="Z634" s="418"/>
      <c r="AD634" s="248"/>
      <c r="AE634" s="248"/>
      <c r="AF634" s="248"/>
      <c r="AG634" s="248"/>
      <c r="AH634" s="248"/>
      <c r="AI634" s="248"/>
    </row>
    <row r="635" spans="5:35">
      <c r="Y635" s="418"/>
      <c r="Z635" s="418"/>
      <c r="AD635" s="248"/>
      <c r="AE635" s="248"/>
      <c r="AF635" s="248"/>
      <c r="AG635" s="248"/>
      <c r="AH635" s="248"/>
      <c r="AI635" s="248"/>
    </row>
    <row r="636" spans="5:35">
      <c r="Y636" s="418"/>
      <c r="Z636" s="418"/>
      <c r="AD636" s="248"/>
      <c r="AE636" s="248"/>
      <c r="AF636" s="248"/>
      <c r="AG636" s="248"/>
      <c r="AH636" s="248"/>
      <c r="AI636" s="248"/>
    </row>
    <row r="637" spans="5:35">
      <c r="Y637" s="418"/>
      <c r="Z637" s="418"/>
      <c r="AD637" s="248"/>
      <c r="AE637" s="248"/>
      <c r="AF637" s="248"/>
      <c r="AG637" s="248"/>
      <c r="AH637" s="248"/>
      <c r="AI637" s="248"/>
    </row>
    <row r="638" spans="5:35">
      <c r="Y638" s="418"/>
      <c r="Z638" s="418"/>
      <c r="AD638" s="248"/>
      <c r="AE638" s="248"/>
      <c r="AF638" s="248"/>
      <c r="AG638" s="248"/>
      <c r="AH638" s="248"/>
      <c r="AI638" s="248"/>
    </row>
    <row r="639" spans="5:35">
      <c r="Y639" s="418"/>
      <c r="Z639" s="418"/>
      <c r="AD639" s="248"/>
      <c r="AE639" s="248"/>
      <c r="AF639" s="248"/>
      <c r="AG639" s="248"/>
      <c r="AH639" s="248"/>
      <c r="AI639" s="248"/>
    </row>
    <row r="640" spans="5:35">
      <c r="Y640" s="418"/>
      <c r="Z640" s="418"/>
      <c r="AD640" s="248"/>
      <c r="AE640" s="248"/>
      <c r="AF640" s="248"/>
      <c r="AG640" s="248"/>
      <c r="AH640" s="248"/>
      <c r="AI640" s="248"/>
    </row>
    <row r="641" spans="25:35">
      <c r="Y641" s="418"/>
      <c r="Z641" s="418"/>
      <c r="AD641" s="248"/>
      <c r="AE641" s="248"/>
      <c r="AF641" s="248"/>
      <c r="AG641" s="248"/>
      <c r="AH641" s="248"/>
      <c r="AI641" s="248"/>
    </row>
    <row r="642" spans="25:35">
      <c r="Y642" s="418"/>
      <c r="Z642" s="418"/>
      <c r="AD642" s="248"/>
      <c r="AE642" s="248"/>
      <c r="AF642" s="248"/>
      <c r="AG642" s="248"/>
      <c r="AH642" s="248"/>
      <c r="AI642" s="248"/>
    </row>
    <row r="643" spans="25:35">
      <c r="Y643" s="418"/>
      <c r="Z643" s="418"/>
      <c r="AD643" s="248"/>
      <c r="AE643" s="248"/>
      <c r="AF643" s="248"/>
      <c r="AG643" s="248"/>
      <c r="AH643" s="248"/>
      <c r="AI643" s="248"/>
    </row>
    <row r="644" spans="25:35">
      <c r="Y644" s="418"/>
      <c r="Z644" s="418"/>
      <c r="AD644" s="248"/>
      <c r="AE644" s="248"/>
      <c r="AF644" s="248"/>
      <c r="AG644" s="248"/>
      <c r="AH644" s="248"/>
      <c r="AI644" s="248"/>
    </row>
    <row r="645" spans="25:35">
      <c r="Y645" s="418"/>
      <c r="Z645" s="418"/>
      <c r="AD645" s="248"/>
      <c r="AE645" s="248"/>
      <c r="AF645" s="248"/>
      <c r="AG645" s="248"/>
      <c r="AH645" s="248"/>
      <c r="AI645" s="248"/>
    </row>
    <row r="646" spans="25:35">
      <c r="Y646" s="418"/>
      <c r="Z646" s="418"/>
      <c r="AD646" s="248"/>
      <c r="AE646" s="248"/>
      <c r="AF646" s="248"/>
      <c r="AG646" s="248"/>
      <c r="AH646" s="248"/>
      <c r="AI646" s="248"/>
    </row>
    <row r="647" spans="25:35">
      <c r="Y647" s="418"/>
      <c r="Z647" s="418"/>
      <c r="AD647" s="248"/>
      <c r="AE647" s="248"/>
      <c r="AF647" s="248"/>
      <c r="AG647" s="248"/>
      <c r="AH647" s="248"/>
      <c r="AI647" s="248"/>
    </row>
    <row r="648" spans="25:35">
      <c r="Y648" s="418"/>
      <c r="Z648" s="418"/>
      <c r="AD648" s="248"/>
      <c r="AE648" s="248"/>
      <c r="AF648" s="248"/>
      <c r="AG648" s="248"/>
      <c r="AH648" s="248"/>
      <c r="AI648" s="248"/>
    </row>
    <row r="649" spans="25:35">
      <c r="Y649" s="418"/>
      <c r="Z649" s="418"/>
      <c r="AD649" s="248"/>
      <c r="AE649" s="248"/>
      <c r="AF649" s="248"/>
      <c r="AG649" s="248"/>
      <c r="AH649" s="248"/>
      <c r="AI649" s="248"/>
    </row>
    <row r="650" spans="25:35">
      <c r="Y650" s="418"/>
      <c r="Z650" s="418"/>
      <c r="AD650" s="248"/>
      <c r="AE650" s="248"/>
      <c r="AF650" s="248"/>
      <c r="AG650" s="248"/>
      <c r="AH650" s="248"/>
      <c r="AI650" s="248"/>
    </row>
    <row r="651" spans="25:35">
      <c r="Y651" s="418"/>
      <c r="Z651" s="418"/>
      <c r="AD651" s="248"/>
      <c r="AE651" s="248"/>
      <c r="AF651" s="248"/>
      <c r="AG651" s="248"/>
      <c r="AH651" s="248"/>
      <c r="AI651" s="248"/>
    </row>
    <row r="652" spans="25:35">
      <c r="Y652" s="418"/>
      <c r="Z652" s="418"/>
      <c r="AD652" s="248"/>
      <c r="AE652" s="248"/>
      <c r="AF652" s="248"/>
      <c r="AG652" s="248"/>
      <c r="AH652" s="248"/>
      <c r="AI652" s="248"/>
    </row>
    <row r="653" spans="25:35">
      <c r="Y653" s="418"/>
      <c r="Z653" s="418"/>
      <c r="AD653" s="248"/>
      <c r="AE653" s="248"/>
      <c r="AF653" s="248"/>
      <c r="AG653" s="248"/>
      <c r="AH653" s="248"/>
      <c r="AI653" s="248"/>
    </row>
    <row r="654" spans="25:35">
      <c r="Y654" s="418"/>
      <c r="Z654" s="418"/>
      <c r="AD654" s="248"/>
      <c r="AE654" s="248"/>
      <c r="AF654" s="248"/>
      <c r="AG654" s="248"/>
      <c r="AH654" s="248"/>
      <c r="AI654" s="248"/>
    </row>
    <row r="655" spans="25:35">
      <c r="Y655" s="418"/>
      <c r="Z655" s="418"/>
      <c r="AD655" s="248"/>
      <c r="AE655" s="248"/>
      <c r="AF655" s="248"/>
      <c r="AG655" s="248"/>
      <c r="AH655" s="248"/>
      <c r="AI655" s="248"/>
    </row>
    <row r="656" spans="25:35">
      <c r="Y656" s="418"/>
      <c r="Z656" s="418"/>
      <c r="AD656" s="248"/>
      <c r="AE656" s="248"/>
      <c r="AF656" s="248"/>
      <c r="AG656" s="248"/>
      <c r="AH656" s="248"/>
      <c r="AI656" s="248"/>
    </row>
    <row r="657" spans="25:35">
      <c r="Y657" s="418"/>
      <c r="Z657" s="418"/>
      <c r="AD657" s="248"/>
      <c r="AE657" s="248"/>
      <c r="AF657" s="248"/>
      <c r="AG657" s="248"/>
      <c r="AH657" s="248"/>
      <c r="AI657" s="248"/>
    </row>
    <row r="658" spans="25:35">
      <c r="Y658" s="418"/>
      <c r="Z658" s="418"/>
      <c r="AD658" s="248"/>
      <c r="AE658" s="248"/>
      <c r="AF658" s="248"/>
      <c r="AG658" s="248"/>
      <c r="AH658" s="248"/>
      <c r="AI658" s="248"/>
    </row>
    <row r="659" spans="25:35">
      <c r="Y659" s="418"/>
      <c r="Z659" s="418"/>
      <c r="AD659" s="248"/>
      <c r="AE659" s="248"/>
      <c r="AF659" s="248"/>
      <c r="AG659" s="248"/>
      <c r="AH659" s="248"/>
      <c r="AI659" s="248"/>
    </row>
    <row r="660" spans="25:35">
      <c r="Y660" s="418"/>
      <c r="Z660" s="418"/>
      <c r="AD660" s="248"/>
      <c r="AE660" s="248"/>
      <c r="AF660" s="248"/>
      <c r="AG660" s="248"/>
      <c r="AH660" s="248"/>
      <c r="AI660" s="248"/>
    </row>
    <row r="661" spans="25:35">
      <c r="Y661" s="418"/>
      <c r="Z661" s="418"/>
      <c r="AD661" s="248"/>
      <c r="AE661" s="248"/>
      <c r="AF661" s="248"/>
      <c r="AG661" s="248"/>
      <c r="AH661" s="248"/>
      <c r="AI661" s="248"/>
    </row>
    <row r="662" spans="25:35">
      <c r="Y662" s="418"/>
      <c r="Z662" s="418"/>
      <c r="AD662" s="248"/>
      <c r="AE662" s="248"/>
      <c r="AF662" s="248"/>
      <c r="AG662" s="248"/>
      <c r="AH662" s="248"/>
      <c r="AI662" s="248"/>
    </row>
    <row r="663" spans="25:35">
      <c r="Y663" s="418"/>
      <c r="Z663" s="418"/>
      <c r="AD663" s="248"/>
      <c r="AE663" s="248"/>
      <c r="AF663" s="248"/>
      <c r="AG663" s="248"/>
      <c r="AH663" s="248"/>
      <c r="AI663" s="248"/>
    </row>
    <row r="664" spans="25:35">
      <c r="Y664" s="418"/>
      <c r="Z664" s="418"/>
      <c r="AD664" s="248"/>
      <c r="AE664" s="248"/>
      <c r="AF664" s="248"/>
      <c r="AG664" s="248"/>
      <c r="AH664" s="248"/>
      <c r="AI664" s="248"/>
    </row>
    <row r="665" spans="25:35">
      <c r="Y665" s="418"/>
      <c r="Z665" s="418"/>
      <c r="AD665" s="248"/>
      <c r="AE665" s="248"/>
      <c r="AF665" s="248"/>
      <c r="AG665" s="248"/>
      <c r="AH665" s="248"/>
      <c r="AI665" s="248"/>
    </row>
    <row r="666" spans="25:35">
      <c r="Y666" s="418"/>
      <c r="Z666" s="418"/>
      <c r="AD666" s="248"/>
      <c r="AE666" s="248"/>
      <c r="AF666" s="248"/>
      <c r="AG666" s="248"/>
      <c r="AH666" s="248"/>
      <c r="AI666" s="248"/>
    </row>
    <row r="667" spans="25:35">
      <c r="Y667" s="418"/>
      <c r="Z667" s="418"/>
      <c r="AD667" s="248"/>
      <c r="AE667" s="248"/>
      <c r="AF667" s="248"/>
      <c r="AG667" s="248"/>
      <c r="AH667" s="248"/>
      <c r="AI667" s="248"/>
    </row>
    <row r="668" spans="25:35">
      <c r="Y668" s="418"/>
      <c r="Z668" s="418"/>
      <c r="AD668" s="248"/>
      <c r="AE668" s="248"/>
      <c r="AF668" s="248"/>
      <c r="AG668" s="248"/>
      <c r="AH668" s="248"/>
      <c r="AI668" s="248"/>
    </row>
    <row r="669" spans="25:35">
      <c r="Y669" s="418"/>
      <c r="Z669" s="418"/>
      <c r="AD669" s="248"/>
      <c r="AE669" s="248"/>
      <c r="AF669" s="248"/>
      <c r="AG669" s="248"/>
      <c r="AH669" s="248"/>
      <c r="AI669" s="248"/>
    </row>
    <row r="670" spans="25:35">
      <c r="Y670" s="418"/>
      <c r="Z670" s="418"/>
      <c r="AD670" s="248"/>
      <c r="AE670" s="248"/>
      <c r="AF670" s="248"/>
      <c r="AG670" s="248"/>
      <c r="AH670" s="248"/>
      <c r="AI670" s="248"/>
    </row>
    <row r="671" spans="25:35">
      <c r="Y671" s="418"/>
      <c r="Z671" s="418"/>
      <c r="AD671" s="248"/>
      <c r="AE671" s="248"/>
      <c r="AF671" s="248"/>
      <c r="AG671" s="248"/>
      <c r="AH671" s="248"/>
      <c r="AI671" s="248"/>
    </row>
    <row r="672" spans="25:35">
      <c r="Y672" s="418"/>
      <c r="Z672" s="418"/>
      <c r="AD672" s="248"/>
      <c r="AE672" s="248"/>
      <c r="AF672" s="248"/>
      <c r="AG672" s="248"/>
      <c r="AH672" s="248"/>
      <c r="AI672" s="248"/>
    </row>
    <row r="673" spans="25:35">
      <c r="Y673" s="418"/>
      <c r="Z673" s="418"/>
      <c r="AD673" s="248"/>
      <c r="AE673" s="248"/>
      <c r="AF673" s="248"/>
      <c r="AG673" s="248"/>
      <c r="AH673" s="248"/>
      <c r="AI673" s="248"/>
    </row>
    <row r="674" spans="25:35">
      <c r="Y674" s="418"/>
      <c r="Z674" s="418"/>
      <c r="AD674" s="248"/>
      <c r="AE674" s="248"/>
      <c r="AF674" s="248"/>
      <c r="AG674" s="248"/>
      <c r="AH674" s="248"/>
      <c r="AI674" s="248"/>
    </row>
    <row r="675" spans="25:35">
      <c r="Y675" s="418"/>
      <c r="Z675" s="418"/>
      <c r="AD675" s="248"/>
      <c r="AE675" s="248"/>
      <c r="AF675" s="248"/>
      <c r="AG675" s="248"/>
      <c r="AH675" s="248"/>
      <c r="AI675" s="248"/>
    </row>
    <row r="676" spans="25:35">
      <c r="Y676" s="418"/>
      <c r="Z676" s="418"/>
      <c r="AD676" s="248"/>
      <c r="AE676" s="248"/>
      <c r="AF676" s="248"/>
      <c r="AG676" s="248"/>
      <c r="AH676" s="248"/>
      <c r="AI676" s="248"/>
    </row>
    <row r="677" spans="25:35">
      <c r="Y677" s="418"/>
      <c r="Z677" s="418"/>
      <c r="AD677" s="248"/>
      <c r="AE677" s="248"/>
      <c r="AF677" s="248"/>
      <c r="AG677" s="248"/>
      <c r="AH677" s="248"/>
      <c r="AI677" s="248"/>
    </row>
    <row r="678" spans="25:35">
      <c r="Y678" s="418"/>
      <c r="Z678" s="418"/>
      <c r="AD678" s="248"/>
      <c r="AE678" s="248"/>
      <c r="AF678" s="248"/>
      <c r="AG678" s="248"/>
      <c r="AH678" s="248"/>
      <c r="AI678" s="248"/>
    </row>
    <row r="679" spans="25:35">
      <c r="Y679" s="418"/>
      <c r="Z679" s="418"/>
      <c r="AD679" s="248"/>
      <c r="AE679" s="248"/>
      <c r="AF679" s="248"/>
      <c r="AG679" s="248"/>
      <c r="AH679" s="248"/>
      <c r="AI679" s="248"/>
    </row>
    <row r="680" spans="25:35">
      <c r="Y680" s="418"/>
      <c r="Z680" s="418"/>
      <c r="AD680" s="248"/>
      <c r="AE680" s="248"/>
      <c r="AF680" s="248"/>
      <c r="AG680" s="248"/>
      <c r="AH680" s="248"/>
      <c r="AI680" s="248"/>
    </row>
    <row r="681" spans="25:35">
      <c r="Y681" s="418"/>
      <c r="Z681" s="418"/>
      <c r="AD681" s="248"/>
      <c r="AE681" s="248"/>
      <c r="AF681" s="248"/>
      <c r="AG681" s="248"/>
      <c r="AH681" s="248"/>
      <c r="AI681" s="248"/>
    </row>
    <row r="682" spans="25:35">
      <c r="Y682" s="418"/>
      <c r="Z682" s="418"/>
      <c r="AD682" s="248"/>
      <c r="AE682" s="248"/>
      <c r="AF682" s="248"/>
      <c r="AG682" s="248"/>
      <c r="AH682" s="248"/>
      <c r="AI682" s="248"/>
    </row>
    <row r="683" spans="25:35">
      <c r="Y683" s="418"/>
      <c r="Z683" s="418"/>
      <c r="AD683" s="248"/>
      <c r="AE683" s="248"/>
      <c r="AF683" s="248"/>
      <c r="AG683" s="248"/>
      <c r="AH683" s="248"/>
      <c r="AI683" s="248"/>
    </row>
    <row r="684" spans="25:35">
      <c r="Y684" s="418"/>
      <c r="Z684" s="418"/>
      <c r="AD684" s="248"/>
      <c r="AE684" s="248"/>
      <c r="AF684" s="248"/>
      <c r="AG684" s="248"/>
      <c r="AH684" s="248"/>
      <c r="AI684" s="248"/>
    </row>
    <row r="685" spans="25:35">
      <c r="Y685" s="418"/>
      <c r="Z685" s="418"/>
      <c r="AD685" s="248"/>
      <c r="AE685" s="248"/>
      <c r="AF685" s="248"/>
      <c r="AG685" s="248"/>
      <c r="AH685" s="248"/>
      <c r="AI685" s="248"/>
    </row>
    <row r="686" spans="25:35">
      <c r="Y686" s="418"/>
      <c r="Z686" s="418"/>
      <c r="AD686" s="248"/>
      <c r="AE686" s="248"/>
      <c r="AF686" s="248"/>
      <c r="AG686" s="248"/>
      <c r="AH686" s="248"/>
      <c r="AI686" s="248"/>
    </row>
    <row r="687" spans="25:35">
      <c r="Y687" s="418"/>
      <c r="Z687" s="418"/>
      <c r="AD687" s="248"/>
      <c r="AE687" s="248"/>
      <c r="AF687" s="248"/>
      <c r="AG687" s="248"/>
      <c r="AH687" s="248"/>
      <c r="AI687" s="248"/>
    </row>
    <row r="688" spans="25:35">
      <c r="Y688" s="418"/>
      <c r="Z688" s="418"/>
      <c r="AD688" s="248"/>
      <c r="AE688" s="248"/>
      <c r="AF688" s="248"/>
      <c r="AG688" s="248"/>
      <c r="AH688" s="248"/>
      <c r="AI688" s="248"/>
    </row>
    <row r="689" spans="25:35">
      <c r="Y689" s="418"/>
      <c r="Z689" s="418"/>
      <c r="AD689" s="248"/>
      <c r="AE689" s="248"/>
      <c r="AF689" s="248"/>
      <c r="AG689" s="248"/>
      <c r="AH689" s="248"/>
      <c r="AI689" s="248"/>
    </row>
    <row r="690" spans="25:35">
      <c r="Y690" s="418"/>
      <c r="Z690" s="418"/>
      <c r="AD690" s="248"/>
      <c r="AE690" s="248"/>
      <c r="AF690" s="248"/>
      <c r="AG690" s="248"/>
      <c r="AH690" s="248"/>
      <c r="AI690" s="248"/>
    </row>
    <row r="691" spans="25:35">
      <c r="Y691" s="418"/>
      <c r="Z691" s="418"/>
      <c r="AD691" s="248"/>
      <c r="AE691" s="248"/>
      <c r="AF691" s="248"/>
      <c r="AG691" s="248"/>
      <c r="AH691" s="248"/>
      <c r="AI691" s="248"/>
    </row>
    <row r="692" spans="25:35">
      <c r="Y692" s="418"/>
      <c r="Z692" s="418"/>
      <c r="AD692" s="248"/>
      <c r="AE692" s="248"/>
      <c r="AF692" s="248"/>
      <c r="AG692" s="248"/>
      <c r="AH692" s="248"/>
      <c r="AI692" s="248"/>
    </row>
    <row r="693" spans="25:35">
      <c r="Y693" s="418"/>
      <c r="Z693" s="418"/>
      <c r="AD693" s="248"/>
      <c r="AE693" s="248"/>
      <c r="AF693" s="248"/>
      <c r="AG693" s="248"/>
      <c r="AH693" s="248"/>
      <c r="AI693" s="248"/>
    </row>
    <row r="694" spans="25:35">
      <c r="Y694" s="418"/>
      <c r="Z694" s="418"/>
      <c r="AD694" s="248"/>
      <c r="AE694" s="248"/>
      <c r="AF694" s="248"/>
      <c r="AG694" s="248"/>
      <c r="AH694" s="248"/>
      <c r="AI694" s="248"/>
    </row>
    <row r="695" spans="25:35">
      <c r="Y695" s="418"/>
      <c r="Z695" s="418"/>
      <c r="AD695" s="248"/>
      <c r="AE695" s="248"/>
      <c r="AF695" s="248"/>
      <c r="AG695" s="248"/>
      <c r="AH695" s="248"/>
      <c r="AI695" s="248"/>
    </row>
    <row r="696" spans="25:35">
      <c r="Y696" s="418"/>
      <c r="Z696" s="418"/>
      <c r="AD696" s="248"/>
      <c r="AE696" s="248"/>
      <c r="AF696" s="248"/>
      <c r="AG696" s="248"/>
      <c r="AH696" s="248"/>
      <c r="AI696" s="248"/>
    </row>
    <row r="697" spans="25:35">
      <c r="Y697" s="418"/>
      <c r="Z697" s="418"/>
      <c r="AD697" s="248"/>
      <c r="AE697" s="248"/>
      <c r="AF697" s="248"/>
      <c r="AG697" s="248"/>
      <c r="AH697" s="248"/>
      <c r="AI697" s="248"/>
    </row>
    <row r="698" spans="25:35">
      <c r="Y698" s="418"/>
      <c r="Z698" s="418"/>
      <c r="AD698" s="248"/>
      <c r="AE698" s="248"/>
      <c r="AF698" s="248"/>
      <c r="AG698" s="248"/>
      <c r="AH698" s="248"/>
      <c r="AI698" s="248"/>
    </row>
    <row r="699" spans="25:35">
      <c r="Y699" s="418"/>
      <c r="Z699" s="418"/>
      <c r="AD699" s="248"/>
      <c r="AE699" s="248"/>
      <c r="AF699" s="248"/>
      <c r="AG699" s="248"/>
      <c r="AH699" s="248"/>
      <c r="AI699" s="248"/>
    </row>
    <row r="700" spans="25:35">
      <c r="Y700" s="418"/>
      <c r="Z700" s="418"/>
      <c r="AD700" s="248"/>
      <c r="AE700" s="248"/>
      <c r="AF700" s="248"/>
      <c r="AG700" s="248"/>
      <c r="AH700" s="248"/>
      <c r="AI700" s="248"/>
    </row>
    <row r="701" spans="25:35">
      <c r="Y701" s="418"/>
      <c r="Z701" s="418"/>
      <c r="AD701" s="248"/>
      <c r="AE701" s="248"/>
      <c r="AF701" s="248"/>
      <c r="AG701" s="248"/>
      <c r="AH701" s="248"/>
      <c r="AI701" s="248"/>
    </row>
    <row r="702" spans="25:35">
      <c r="Y702" s="418"/>
      <c r="Z702" s="418"/>
      <c r="AD702" s="248"/>
      <c r="AE702" s="248"/>
      <c r="AF702" s="248"/>
      <c r="AG702" s="248"/>
      <c r="AH702" s="248"/>
      <c r="AI702" s="248"/>
    </row>
    <row r="703" spans="25:35">
      <c r="Y703" s="418"/>
      <c r="Z703" s="418"/>
      <c r="AD703" s="248"/>
      <c r="AE703" s="248"/>
      <c r="AF703" s="248"/>
      <c r="AG703" s="248"/>
      <c r="AH703" s="248"/>
      <c r="AI703" s="248"/>
    </row>
    <row r="704" spans="25:35">
      <c r="Y704" s="418"/>
      <c r="Z704" s="418"/>
      <c r="AD704" s="248"/>
      <c r="AE704" s="248"/>
      <c r="AF704" s="248"/>
      <c r="AG704" s="248"/>
      <c r="AH704" s="248"/>
      <c r="AI704" s="248"/>
    </row>
    <row r="705" spans="25:35">
      <c r="Y705" s="418"/>
      <c r="Z705" s="418"/>
      <c r="AD705" s="248"/>
      <c r="AE705" s="248"/>
      <c r="AF705" s="248"/>
      <c r="AG705" s="248"/>
      <c r="AH705" s="248"/>
      <c r="AI705" s="248"/>
    </row>
    <row r="706" spans="25:35">
      <c r="Y706" s="418"/>
      <c r="Z706" s="418"/>
      <c r="AD706" s="248"/>
      <c r="AE706" s="248"/>
      <c r="AF706" s="248"/>
      <c r="AG706" s="248"/>
      <c r="AH706" s="248"/>
      <c r="AI706" s="248"/>
    </row>
    <row r="707" spans="25:35">
      <c r="Y707" s="418"/>
      <c r="Z707" s="418"/>
      <c r="AD707" s="248"/>
      <c r="AE707" s="248"/>
      <c r="AF707" s="248"/>
      <c r="AG707" s="248"/>
      <c r="AH707" s="248"/>
      <c r="AI707" s="248"/>
    </row>
    <row r="708" spans="25:35">
      <c r="Y708" s="418"/>
      <c r="Z708" s="418"/>
      <c r="AD708" s="248"/>
      <c r="AE708" s="248"/>
      <c r="AF708" s="248"/>
      <c r="AG708" s="248"/>
      <c r="AH708" s="248"/>
      <c r="AI708" s="248"/>
    </row>
    <row r="709" spans="25:35">
      <c r="Y709" s="418"/>
      <c r="Z709" s="418"/>
      <c r="AD709" s="248"/>
      <c r="AE709" s="248"/>
      <c r="AF709" s="248"/>
      <c r="AG709" s="248"/>
      <c r="AH709" s="248"/>
      <c r="AI709" s="248"/>
    </row>
    <row r="710" spans="25:35">
      <c r="Y710" s="418"/>
      <c r="Z710" s="418"/>
      <c r="AD710" s="248"/>
      <c r="AE710" s="248"/>
      <c r="AF710" s="248"/>
      <c r="AG710" s="248"/>
      <c r="AH710" s="248"/>
      <c r="AI710" s="248"/>
    </row>
    <row r="711" spans="25:35">
      <c r="Y711" s="418"/>
      <c r="Z711" s="418"/>
      <c r="AD711" s="248"/>
      <c r="AE711" s="248"/>
      <c r="AF711" s="248"/>
      <c r="AG711" s="248"/>
      <c r="AH711" s="248"/>
      <c r="AI711" s="248"/>
    </row>
    <row r="712" spans="25:35">
      <c r="Y712" s="418"/>
      <c r="Z712" s="418"/>
      <c r="AD712" s="248"/>
      <c r="AE712" s="248"/>
      <c r="AF712" s="248"/>
      <c r="AG712" s="248"/>
      <c r="AH712" s="248"/>
      <c r="AI712" s="248"/>
    </row>
    <row r="713" spans="25:35">
      <c r="Y713" s="418"/>
      <c r="Z713" s="418"/>
      <c r="AD713" s="248"/>
      <c r="AE713" s="248"/>
      <c r="AF713" s="248"/>
      <c r="AG713" s="248"/>
      <c r="AH713" s="248"/>
      <c r="AI713" s="248"/>
    </row>
    <row r="714" spans="25:35">
      <c r="Y714" s="418"/>
      <c r="Z714" s="418"/>
      <c r="AD714" s="248"/>
      <c r="AE714" s="248"/>
      <c r="AF714" s="248"/>
      <c r="AG714" s="248"/>
      <c r="AH714" s="248"/>
      <c r="AI714" s="248"/>
    </row>
    <row r="715" spans="25:35">
      <c r="Y715" s="418"/>
      <c r="Z715" s="418"/>
      <c r="AD715" s="248"/>
      <c r="AE715" s="248"/>
      <c r="AF715" s="248"/>
      <c r="AG715" s="248"/>
      <c r="AH715" s="248"/>
      <c r="AI715" s="248"/>
    </row>
    <row r="716" spans="25:35">
      <c r="Y716" s="418"/>
      <c r="Z716" s="418"/>
      <c r="AD716" s="248"/>
      <c r="AE716" s="248"/>
      <c r="AF716" s="248"/>
      <c r="AG716" s="248"/>
      <c r="AH716" s="248"/>
      <c r="AI716" s="248"/>
    </row>
    <row r="717" spans="25:35">
      <c r="Y717" s="418"/>
      <c r="Z717" s="418"/>
      <c r="AD717" s="248"/>
      <c r="AE717" s="248"/>
      <c r="AF717" s="248"/>
      <c r="AG717" s="248"/>
      <c r="AH717" s="248"/>
      <c r="AI717" s="248"/>
    </row>
    <row r="718" spans="25:35">
      <c r="Y718" s="418"/>
      <c r="Z718" s="418"/>
      <c r="AD718" s="248"/>
      <c r="AE718" s="248"/>
      <c r="AF718" s="248"/>
      <c r="AG718" s="248"/>
      <c r="AH718" s="248"/>
      <c r="AI718" s="248"/>
    </row>
    <row r="719" spans="25:35">
      <c r="Y719" s="418"/>
      <c r="Z719" s="418"/>
      <c r="AD719" s="248"/>
      <c r="AE719" s="248"/>
      <c r="AF719" s="248"/>
      <c r="AG719" s="248"/>
      <c r="AH719" s="248"/>
      <c r="AI719" s="248"/>
    </row>
    <row r="720" spans="25:35">
      <c r="Y720" s="418"/>
      <c r="Z720" s="418"/>
      <c r="AD720" s="248"/>
      <c r="AE720" s="248"/>
      <c r="AF720" s="248"/>
      <c r="AG720" s="248"/>
      <c r="AH720" s="248"/>
      <c r="AI720" s="248"/>
    </row>
    <row r="721" spans="25:35">
      <c r="Y721" s="418"/>
      <c r="Z721" s="418"/>
      <c r="AD721" s="248"/>
      <c r="AE721" s="248"/>
      <c r="AF721" s="248"/>
      <c r="AG721" s="248"/>
      <c r="AH721" s="248"/>
      <c r="AI721" s="248"/>
    </row>
    <row r="722" spans="25:35">
      <c r="Y722" s="418"/>
      <c r="Z722" s="418"/>
      <c r="AD722" s="248"/>
      <c r="AE722" s="248"/>
      <c r="AF722" s="248"/>
      <c r="AG722" s="248"/>
      <c r="AH722" s="248"/>
      <c r="AI722" s="248"/>
    </row>
    <row r="723" spans="25:35">
      <c r="Y723" s="418"/>
      <c r="Z723" s="418"/>
      <c r="AD723" s="248"/>
      <c r="AE723" s="248"/>
      <c r="AF723" s="248"/>
      <c r="AG723" s="248"/>
      <c r="AH723" s="248"/>
      <c r="AI723" s="248"/>
    </row>
    <row r="724" spans="25:35">
      <c r="Y724" s="418"/>
      <c r="Z724" s="418"/>
      <c r="AD724" s="248"/>
      <c r="AE724" s="248"/>
      <c r="AF724" s="248"/>
      <c r="AG724" s="248"/>
      <c r="AH724" s="248"/>
      <c r="AI724" s="248"/>
    </row>
    <row r="725" spans="25:35">
      <c r="Y725" s="418"/>
      <c r="Z725" s="418"/>
      <c r="AD725" s="248"/>
      <c r="AE725" s="248"/>
      <c r="AF725" s="248"/>
      <c r="AG725" s="248"/>
      <c r="AH725" s="248"/>
      <c r="AI725" s="248"/>
    </row>
    <row r="726" spans="25:35">
      <c r="Y726" s="418"/>
      <c r="Z726" s="418"/>
      <c r="AD726" s="248"/>
      <c r="AE726" s="248"/>
      <c r="AF726" s="248"/>
      <c r="AG726" s="248"/>
      <c r="AH726" s="248"/>
      <c r="AI726" s="248"/>
    </row>
    <row r="727" spans="25:35">
      <c r="Y727" s="418"/>
      <c r="Z727" s="418"/>
      <c r="AD727" s="248"/>
      <c r="AE727" s="248"/>
      <c r="AF727" s="248"/>
      <c r="AG727" s="248"/>
      <c r="AH727" s="248"/>
      <c r="AI727" s="248"/>
    </row>
    <row r="728" spans="25:35">
      <c r="Y728" s="418"/>
      <c r="Z728" s="418"/>
      <c r="AD728" s="248"/>
      <c r="AE728" s="248"/>
      <c r="AF728" s="248"/>
      <c r="AG728" s="248"/>
      <c r="AH728" s="248"/>
      <c r="AI728" s="248"/>
    </row>
    <row r="729" spans="25:35">
      <c r="Y729" s="418"/>
      <c r="Z729" s="418"/>
      <c r="AD729" s="248"/>
      <c r="AE729" s="248"/>
      <c r="AF729" s="248"/>
      <c r="AG729" s="248"/>
      <c r="AH729" s="248"/>
      <c r="AI729" s="248"/>
    </row>
    <row r="730" spans="25:35">
      <c r="Y730" s="418"/>
      <c r="Z730" s="418"/>
      <c r="AD730" s="248"/>
      <c r="AE730" s="248"/>
      <c r="AF730" s="248"/>
      <c r="AG730" s="248"/>
      <c r="AH730" s="248"/>
      <c r="AI730" s="248"/>
    </row>
    <row r="731" spans="25:35">
      <c r="Y731" s="418"/>
      <c r="Z731" s="418"/>
      <c r="AD731" s="248"/>
      <c r="AE731" s="248"/>
      <c r="AF731" s="248"/>
      <c r="AG731" s="248"/>
      <c r="AH731" s="248"/>
      <c r="AI731" s="248"/>
    </row>
    <row r="732" spans="25:35">
      <c r="Y732" s="418"/>
      <c r="Z732" s="418"/>
      <c r="AD732" s="248"/>
      <c r="AE732" s="248"/>
      <c r="AF732" s="248"/>
      <c r="AG732" s="248"/>
      <c r="AH732" s="248"/>
      <c r="AI732" s="248"/>
    </row>
    <row r="733" spans="25:35">
      <c r="Y733" s="418"/>
      <c r="Z733" s="418"/>
      <c r="AD733" s="248"/>
      <c r="AE733" s="248"/>
      <c r="AF733" s="248"/>
      <c r="AG733" s="248"/>
      <c r="AH733" s="248"/>
      <c r="AI733" s="248"/>
    </row>
    <row r="734" spans="25:35">
      <c r="Y734" s="418"/>
      <c r="Z734" s="418"/>
      <c r="AD734" s="248"/>
      <c r="AE734" s="248"/>
      <c r="AF734" s="248"/>
      <c r="AG734" s="248"/>
      <c r="AH734" s="248"/>
      <c r="AI734" s="248"/>
    </row>
    <row r="735" spans="25:35">
      <c r="Y735" s="418"/>
      <c r="Z735" s="418"/>
      <c r="AD735" s="248"/>
      <c r="AE735" s="248"/>
      <c r="AF735" s="248"/>
      <c r="AG735" s="248"/>
      <c r="AH735" s="248"/>
      <c r="AI735" s="248"/>
    </row>
    <row r="736" spans="25:35">
      <c r="Y736" s="418"/>
      <c r="Z736" s="418"/>
      <c r="AD736" s="248"/>
      <c r="AE736" s="248"/>
      <c r="AF736" s="248"/>
      <c r="AG736" s="248"/>
      <c r="AH736" s="248"/>
      <c r="AI736" s="248"/>
    </row>
    <row r="737" spans="25:35">
      <c r="Y737" s="418"/>
      <c r="Z737" s="418"/>
      <c r="AD737" s="248"/>
      <c r="AE737" s="248"/>
      <c r="AF737" s="248"/>
      <c r="AG737" s="248"/>
      <c r="AH737" s="248"/>
      <c r="AI737" s="248"/>
    </row>
    <row r="738" spans="25:35">
      <c r="Y738" s="418"/>
      <c r="Z738" s="418"/>
      <c r="AD738" s="248"/>
      <c r="AE738" s="248"/>
      <c r="AF738" s="248"/>
      <c r="AG738" s="248"/>
      <c r="AH738" s="248"/>
      <c r="AI738" s="248"/>
    </row>
    <row r="739" spans="25:35">
      <c r="Y739" s="418"/>
      <c r="Z739" s="418"/>
      <c r="AD739" s="248"/>
      <c r="AE739" s="248"/>
      <c r="AF739" s="248"/>
      <c r="AG739" s="248"/>
      <c r="AH739" s="248"/>
      <c r="AI739" s="248"/>
    </row>
    <row r="740" spans="25:35">
      <c r="Y740" s="418"/>
      <c r="Z740" s="418"/>
      <c r="AD740" s="248"/>
      <c r="AE740" s="248"/>
      <c r="AF740" s="248"/>
      <c r="AG740" s="248"/>
      <c r="AH740" s="248"/>
      <c r="AI740" s="248"/>
    </row>
    <row r="741" spans="25:35">
      <c r="Y741" s="418"/>
      <c r="Z741" s="418"/>
      <c r="AD741" s="248"/>
      <c r="AE741" s="248"/>
      <c r="AF741" s="248"/>
      <c r="AG741" s="248"/>
      <c r="AH741" s="248"/>
      <c r="AI741" s="248"/>
    </row>
    <row r="742" spans="25:35">
      <c r="Y742" s="418"/>
      <c r="Z742" s="418"/>
      <c r="AD742" s="248"/>
      <c r="AE742" s="248"/>
      <c r="AF742" s="248"/>
      <c r="AG742" s="248"/>
      <c r="AH742" s="248"/>
      <c r="AI742" s="248"/>
    </row>
    <row r="743" spans="25:35">
      <c r="Y743" s="418"/>
      <c r="Z743" s="418"/>
      <c r="AD743" s="248"/>
      <c r="AE743" s="248"/>
      <c r="AF743" s="248"/>
      <c r="AG743" s="248"/>
      <c r="AH743" s="248"/>
      <c r="AI743" s="248"/>
    </row>
    <row r="744" spans="25:35">
      <c r="Y744" s="418"/>
      <c r="Z744" s="418"/>
      <c r="AD744" s="248"/>
      <c r="AE744" s="248"/>
      <c r="AF744" s="248"/>
      <c r="AG744" s="248"/>
      <c r="AH744" s="248"/>
      <c r="AI744" s="248"/>
    </row>
    <row r="745" spans="25:35">
      <c r="Y745" s="418"/>
      <c r="Z745" s="418"/>
      <c r="AD745" s="248"/>
      <c r="AE745" s="248"/>
      <c r="AF745" s="248"/>
      <c r="AG745" s="248"/>
      <c r="AH745" s="248"/>
      <c r="AI745" s="248"/>
    </row>
    <row r="746" spans="25:35">
      <c r="Y746" s="418"/>
      <c r="Z746" s="418"/>
      <c r="AD746" s="248"/>
      <c r="AE746" s="248"/>
      <c r="AF746" s="248"/>
      <c r="AG746" s="248"/>
      <c r="AH746" s="248"/>
      <c r="AI746" s="248"/>
    </row>
    <row r="747" spans="25:35">
      <c r="Y747" s="418"/>
      <c r="Z747" s="418"/>
      <c r="AD747" s="248"/>
      <c r="AE747" s="248"/>
      <c r="AF747" s="248"/>
      <c r="AG747" s="248"/>
      <c r="AH747" s="248"/>
      <c r="AI747" s="248"/>
    </row>
    <row r="748" spans="25:35">
      <c r="Y748" s="418"/>
      <c r="Z748" s="418"/>
      <c r="AD748" s="248"/>
      <c r="AE748" s="248"/>
      <c r="AF748" s="248"/>
      <c r="AG748" s="248"/>
      <c r="AH748" s="248"/>
      <c r="AI748" s="248"/>
    </row>
    <row r="749" spans="25:35">
      <c r="Y749" s="418"/>
      <c r="Z749" s="418"/>
      <c r="AD749" s="248"/>
      <c r="AE749" s="248"/>
      <c r="AF749" s="248"/>
      <c r="AG749" s="248"/>
      <c r="AH749" s="248"/>
      <c r="AI749" s="248"/>
    </row>
    <row r="750" spans="25:35">
      <c r="Y750" s="418"/>
      <c r="Z750" s="418"/>
      <c r="AD750" s="248"/>
      <c r="AE750" s="248"/>
      <c r="AF750" s="248"/>
      <c r="AG750" s="248"/>
      <c r="AH750" s="248"/>
      <c r="AI750" s="248"/>
    </row>
    <row r="751" spans="25:35">
      <c r="Y751" s="418"/>
      <c r="Z751" s="418"/>
      <c r="AD751" s="248"/>
      <c r="AE751" s="248"/>
      <c r="AF751" s="248"/>
      <c r="AG751" s="248"/>
      <c r="AH751" s="248"/>
      <c r="AI751" s="248"/>
    </row>
    <row r="752" spans="25:35">
      <c r="Y752" s="418"/>
      <c r="Z752" s="418"/>
      <c r="AD752" s="248"/>
      <c r="AE752" s="248"/>
      <c r="AF752" s="248"/>
      <c r="AG752" s="248"/>
      <c r="AH752" s="248"/>
      <c r="AI752" s="248"/>
    </row>
    <row r="753" spans="25:35">
      <c r="Y753" s="418"/>
      <c r="Z753" s="418"/>
      <c r="AD753" s="248"/>
      <c r="AE753" s="248"/>
      <c r="AF753" s="248"/>
      <c r="AG753" s="248"/>
      <c r="AH753" s="248"/>
      <c r="AI753" s="248"/>
    </row>
    <row r="754" spans="25:35">
      <c r="Y754" s="418"/>
      <c r="Z754" s="418"/>
      <c r="AD754" s="248"/>
      <c r="AE754" s="248"/>
      <c r="AF754" s="248"/>
      <c r="AG754" s="248"/>
      <c r="AH754" s="248"/>
      <c r="AI754" s="248"/>
    </row>
    <row r="755" spans="25:35">
      <c r="Y755" s="418"/>
      <c r="Z755" s="418"/>
      <c r="AD755" s="248"/>
      <c r="AE755" s="248"/>
      <c r="AF755" s="248"/>
      <c r="AG755" s="248"/>
      <c r="AH755" s="248"/>
      <c r="AI755" s="248"/>
    </row>
    <row r="756" spans="25:35">
      <c r="Y756" s="418"/>
      <c r="Z756" s="418"/>
      <c r="AD756" s="248"/>
      <c r="AE756" s="248"/>
      <c r="AF756" s="248"/>
      <c r="AG756" s="248"/>
      <c r="AH756" s="248"/>
      <c r="AI756" s="248"/>
    </row>
    <row r="757" spans="25:35">
      <c r="Y757" s="418"/>
      <c r="Z757" s="418"/>
      <c r="AD757" s="248"/>
      <c r="AE757" s="248"/>
      <c r="AF757" s="248"/>
      <c r="AG757" s="248"/>
      <c r="AH757" s="248"/>
      <c r="AI757" s="248"/>
    </row>
    <row r="758" spans="25:35">
      <c r="Y758" s="418"/>
      <c r="Z758" s="418"/>
      <c r="AD758" s="248"/>
      <c r="AE758" s="248"/>
      <c r="AF758" s="248"/>
      <c r="AG758" s="248"/>
      <c r="AH758" s="248"/>
      <c r="AI758" s="248"/>
    </row>
    <row r="759" spans="25:35">
      <c r="Y759" s="418"/>
      <c r="Z759" s="418"/>
      <c r="AD759" s="248"/>
      <c r="AE759" s="248"/>
      <c r="AF759" s="248"/>
      <c r="AG759" s="248"/>
      <c r="AH759" s="248"/>
      <c r="AI759" s="248"/>
    </row>
    <row r="760" spans="25:35">
      <c r="Y760" s="418"/>
      <c r="Z760" s="418"/>
      <c r="AD760" s="248"/>
      <c r="AE760" s="248"/>
      <c r="AF760" s="248"/>
      <c r="AG760" s="248"/>
      <c r="AH760" s="248"/>
      <c r="AI760" s="248"/>
    </row>
    <row r="761" spans="25:35">
      <c r="Y761" s="418"/>
      <c r="Z761" s="418"/>
      <c r="AD761" s="248"/>
      <c r="AE761" s="248"/>
      <c r="AF761" s="248"/>
      <c r="AG761" s="248"/>
      <c r="AH761" s="248"/>
      <c r="AI761" s="248"/>
    </row>
    <row r="762" spans="25:35">
      <c r="Y762" s="418"/>
      <c r="Z762" s="418"/>
      <c r="AD762" s="248"/>
      <c r="AE762" s="248"/>
      <c r="AF762" s="248"/>
      <c r="AG762" s="248"/>
      <c r="AH762" s="248"/>
      <c r="AI762" s="248"/>
    </row>
    <row r="763" spans="25:35">
      <c r="Y763" s="418"/>
      <c r="Z763" s="418"/>
      <c r="AD763" s="248"/>
      <c r="AE763" s="248"/>
      <c r="AF763" s="248"/>
      <c r="AG763" s="248"/>
      <c r="AH763" s="248"/>
      <c r="AI763" s="248"/>
    </row>
    <row r="764" spans="25:35">
      <c r="Y764" s="418"/>
      <c r="Z764" s="418"/>
      <c r="AD764" s="248"/>
      <c r="AE764" s="248"/>
      <c r="AF764" s="248"/>
      <c r="AG764" s="248"/>
      <c r="AH764" s="248"/>
      <c r="AI764" s="248"/>
    </row>
    <row r="765" spans="25:35">
      <c r="Y765" s="418"/>
      <c r="Z765" s="418"/>
      <c r="AD765" s="248"/>
      <c r="AE765" s="248"/>
      <c r="AF765" s="248"/>
      <c r="AG765" s="248"/>
      <c r="AH765" s="248"/>
      <c r="AI765" s="248"/>
    </row>
    <row r="766" spans="25:35">
      <c r="Y766" s="418"/>
      <c r="Z766" s="418"/>
      <c r="AD766" s="248"/>
      <c r="AE766" s="248"/>
      <c r="AF766" s="248"/>
      <c r="AG766" s="248"/>
      <c r="AH766" s="248"/>
      <c r="AI766" s="248"/>
    </row>
    <row r="767" spans="25:35">
      <c r="Y767" s="418"/>
      <c r="Z767" s="418"/>
      <c r="AD767" s="248"/>
      <c r="AE767" s="248"/>
      <c r="AF767" s="248"/>
      <c r="AG767" s="248"/>
      <c r="AH767" s="248"/>
      <c r="AI767" s="248"/>
    </row>
    <row r="768" spans="25:35">
      <c r="Y768" s="418"/>
      <c r="Z768" s="418"/>
      <c r="AD768" s="248"/>
      <c r="AE768" s="248"/>
      <c r="AF768" s="248"/>
      <c r="AG768" s="248"/>
      <c r="AH768" s="248"/>
      <c r="AI768" s="248"/>
    </row>
    <row r="769" spans="25:35">
      <c r="Y769" s="418"/>
      <c r="Z769" s="418"/>
      <c r="AD769" s="248"/>
      <c r="AE769" s="248"/>
      <c r="AF769" s="248"/>
      <c r="AG769" s="248"/>
      <c r="AH769" s="248"/>
      <c r="AI769" s="248"/>
    </row>
    <row r="770" spans="25:35">
      <c r="Y770" s="418"/>
      <c r="Z770" s="418"/>
      <c r="AD770" s="248"/>
      <c r="AE770" s="248"/>
      <c r="AF770" s="248"/>
      <c r="AG770" s="248"/>
      <c r="AH770" s="248"/>
      <c r="AI770" s="248"/>
    </row>
    <row r="771" spans="25:35">
      <c r="Y771" s="418"/>
      <c r="Z771" s="418"/>
      <c r="AD771" s="248"/>
      <c r="AE771" s="248"/>
      <c r="AF771" s="248"/>
      <c r="AG771" s="248"/>
      <c r="AH771" s="248"/>
      <c r="AI771" s="248"/>
    </row>
    <row r="772" spans="25:35">
      <c r="Y772" s="418"/>
      <c r="Z772" s="418"/>
      <c r="AD772" s="248"/>
      <c r="AE772" s="248"/>
      <c r="AF772" s="248"/>
      <c r="AG772" s="248"/>
      <c r="AH772" s="248"/>
      <c r="AI772" s="248"/>
    </row>
    <row r="773" spans="25:35">
      <c r="Y773" s="418"/>
      <c r="Z773" s="418"/>
      <c r="AD773" s="248"/>
      <c r="AE773" s="248"/>
      <c r="AF773" s="248"/>
      <c r="AG773" s="248"/>
      <c r="AH773" s="248"/>
      <c r="AI773" s="248"/>
    </row>
    <row r="774" spans="25:35">
      <c r="Y774" s="418"/>
      <c r="Z774" s="418"/>
      <c r="AD774" s="248"/>
      <c r="AE774" s="248"/>
      <c r="AF774" s="248"/>
      <c r="AG774" s="248"/>
      <c r="AH774" s="248"/>
      <c r="AI774" s="248"/>
    </row>
    <row r="775" spans="25:35">
      <c r="Y775" s="418"/>
      <c r="Z775" s="418"/>
      <c r="AD775" s="248"/>
      <c r="AE775" s="248"/>
      <c r="AF775" s="248"/>
      <c r="AG775" s="248"/>
      <c r="AH775" s="248"/>
      <c r="AI775" s="248"/>
    </row>
    <row r="776" spans="25:35">
      <c r="Y776" s="418"/>
      <c r="Z776" s="418"/>
      <c r="AD776" s="248"/>
      <c r="AE776" s="248"/>
      <c r="AF776" s="248"/>
      <c r="AG776" s="248"/>
      <c r="AH776" s="248"/>
      <c r="AI776" s="248"/>
    </row>
    <row r="777" spans="25:35">
      <c r="Y777" s="418"/>
      <c r="Z777" s="418"/>
      <c r="AD777" s="248"/>
      <c r="AE777" s="248"/>
      <c r="AF777" s="248"/>
      <c r="AG777" s="248"/>
      <c r="AH777" s="248"/>
      <c r="AI777" s="248"/>
    </row>
    <row r="778" spans="25:35">
      <c r="Y778" s="418"/>
      <c r="Z778" s="418"/>
      <c r="AD778" s="248"/>
      <c r="AE778" s="248"/>
      <c r="AF778" s="248"/>
      <c r="AG778" s="248"/>
      <c r="AH778" s="248"/>
      <c r="AI778" s="248"/>
    </row>
    <row r="779" spans="25:35">
      <c r="Y779" s="418"/>
      <c r="Z779" s="418"/>
      <c r="AD779" s="248"/>
      <c r="AE779" s="248"/>
      <c r="AF779" s="248"/>
      <c r="AG779" s="248"/>
      <c r="AH779" s="248"/>
      <c r="AI779" s="248"/>
    </row>
    <row r="780" spans="25:35">
      <c r="Y780" s="418"/>
      <c r="Z780" s="418"/>
      <c r="AD780" s="248"/>
      <c r="AE780" s="248"/>
      <c r="AF780" s="248"/>
      <c r="AG780" s="248"/>
      <c r="AH780" s="248"/>
      <c r="AI780" s="248"/>
    </row>
    <row r="781" spans="25:35">
      <c r="Y781" s="418"/>
      <c r="Z781" s="418"/>
      <c r="AD781" s="248"/>
      <c r="AE781" s="248"/>
      <c r="AF781" s="248"/>
      <c r="AG781" s="248"/>
      <c r="AH781" s="248"/>
      <c r="AI781" s="248"/>
    </row>
    <row r="782" spans="25:35">
      <c r="Y782" s="418"/>
      <c r="Z782" s="418"/>
      <c r="AD782" s="248"/>
      <c r="AE782" s="248"/>
      <c r="AF782" s="248"/>
      <c r="AG782" s="248"/>
      <c r="AH782" s="248"/>
      <c r="AI782" s="248"/>
    </row>
    <row r="783" spans="25:35">
      <c r="Y783" s="418"/>
      <c r="Z783" s="418"/>
      <c r="AD783" s="248"/>
      <c r="AE783" s="248"/>
      <c r="AF783" s="248"/>
      <c r="AG783" s="248"/>
      <c r="AH783" s="248"/>
      <c r="AI783" s="248"/>
    </row>
    <row r="784" spans="25:35">
      <c r="Y784" s="418"/>
      <c r="Z784" s="418"/>
      <c r="AD784" s="248"/>
      <c r="AE784" s="248"/>
      <c r="AF784" s="248"/>
      <c r="AG784" s="248"/>
      <c r="AH784" s="248"/>
      <c r="AI784" s="248"/>
    </row>
    <row r="785" spans="25:35">
      <c r="Y785" s="418"/>
      <c r="Z785" s="418"/>
      <c r="AD785" s="248"/>
      <c r="AE785" s="248"/>
      <c r="AF785" s="248"/>
      <c r="AG785" s="248"/>
      <c r="AH785" s="248"/>
      <c r="AI785" s="248"/>
    </row>
    <row r="786" spans="25:35">
      <c r="Y786" s="418"/>
      <c r="Z786" s="418"/>
      <c r="AD786" s="248"/>
      <c r="AE786" s="248"/>
      <c r="AF786" s="248"/>
      <c r="AG786" s="248"/>
      <c r="AH786" s="248"/>
      <c r="AI786" s="248"/>
    </row>
    <row r="787" spans="25:35">
      <c r="Y787" s="418"/>
      <c r="Z787" s="418"/>
      <c r="AD787" s="248"/>
      <c r="AE787" s="248"/>
      <c r="AF787" s="248"/>
      <c r="AG787" s="248"/>
      <c r="AH787" s="248"/>
      <c r="AI787" s="248"/>
    </row>
    <row r="788" spans="25:35">
      <c r="Y788" s="418"/>
      <c r="Z788" s="418"/>
      <c r="AD788" s="248"/>
      <c r="AE788" s="248"/>
      <c r="AF788" s="248"/>
      <c r="AG788" s="248"/>
      <c r="AH788" s="248"/>
      <c r="AI788" s="248"/>
    </row>
    <row r="789" spans="25:35">
      <c r="Y789" s="418"/>
      <c r="Z789" s="418"/>
      <c r="AD789" s="248"/>
      <c r="AE789" s="248"/>
      <c r="AF789" s="248"/>
      <c r="AG789" s="248"/>
      <c r="AH789" s="248"/>
      <c r="AI789" s="248"/>
    </row>
    <row r="790" spans="25:35">
      <c r="Y790" s="418"/>
      <c r="Z790" s="418"/>
      <c r="AD790" s="248"/>
      <c r="AE790" s="248"/>
      <c r="AF790" s="248"/>
      <c r="AG790" s="248"/>
      <c r="AH790" s="248"/>
      <c r="AI790" s="248"/>
    </row>
    <row r="791" spans="25:35">
      <c r="Y791" s="418"/>
      <c r="Z791" s="418"/>
      <c r="AD791" s="248"/>
      <c r="AE791" s="248"/>
      <c r="AF791" s="248"/>
      <c r="AG791" s="248"/>
      <c r="AH791" s="248"/>
      <c r="AI791" s="248"/>
    </row>
    <row r="792" spans="25:35">
      <c r="Y792" s="418"/>
      <c r="Z792" s="418"/>
      <c r="AD792" s="248"/>
      <c r="AE792" s="248"/>
      <c r="AF792" s="248"/>
      <c r="AG792" s="248"/>
      <c r="AH792" s="248"/>
      <c r="AI792" s="248"/>
    </row>
    <row r="793" spans="25:35">
      <c r="Y793" s="418"/>
      <c r="Z793" s="418"/>
      <c r="AD793" s="248"/>
      <c r="AE793" s="248"/>
      <c r="AF793" s="248"/>
      <c r="AG793" s="248"/>
      <c r="AH793" s="248"/>
      <c r="AI793" s="248"/>
    </row>
    <row r="794" spans="25:35">
      <c r="Y794" s="418"/>
      <c r="Z794" s="418"/>
      <c r="AD794" s="248"/>
      <c r="AE794" s="248"/>
      <c r="AF794" s="248"/>
      <c r="AG794" s="248"/>
      <c r="AH794" s="248"/>
      <c r="AI794" s="248"/>
    </row>
    <row r="795" spans="25:35">
      <c r="Y795" s="418"/>
      <c r="Z795" s="418"/>
      <c r="AD795" s="248"/>
      <c r="AE795" s="248"/>
      <c r="AF795" s="248"/>
      <c r="AG795" s="248"/>
      <c r="AH795" s="248"/>
      <c r="AI795" s="248"/>
    </row>
    <row r="796" spans="25:35">
      <c r="Y796" s="418"/>
      <c r="Z796" s="418"/>
      <c r="AD796" s="248"/>
      <c r="AE796" s="248"/>
      <c r="AF796" s="248"/>
      <c r="AG796" s="248"/>
      <c r="AH796" s="248"/>
      <c r="AI796" s="248"/>
    </row>
    <row r="797" spans="25:35">
      <c r="Y797" s="418"/>
      <c r="Z797" s="418"/>
      <c r="AD797" s="248"/>
      <c r="AE797" s="248"/>
      <c r="AF797" s="248"/>
      <c r="AG797" s="248"/>
      <c r="AH797" s="248"/>
      <c r="AI797" s="248"/>
    </row>
    <row r="798" spans="25:35">
      <c r="Y798" s="418"/>
      <c r="Z798" s="418"/>
      <c r="AD798" s="248"/>
      <c r="AE798" s="248"/>
      <c r="AF798" s="248"/>
      <c r="AG798" s="248"/>
      <c r="AH798" s="248"/>
      <c r="AI798" s="248"/>
    </row>
    <row r="799" spans="25:35">
      <c r="Y799" s="418"/>
      <c r="Z799" s="418"/>
      <c r="AD799" s="248"/>
      <c r="AE799" s="248"/>
      <c r="AF799" s="248"/>
      <c r="AG799" s="248"/>
      <c r="AH799" s="248"/>
      <c r="AI799" s="248"/>
    </row>
    <row r="800" spans="25:35">
      <c r="Y800" s="418"/>
      <c r="Z800" s="418"/>
      <c r="AD800" s="248"/>
      <c r="AE800" s="248"/>
      <c r="AF800" s="248"/>
      <c r="AG800" s="248"/>
      <c r="AH800" s="248"/>
      <c r="AI800" s="248"/>
    </row>
    <row r="801" spans="25:35">
      <c r="Y801" s="418"/>
      <c r="Z801" s="418"/>
      <c r="AD801" s="248"/>
      <c r="AE801" s="248"/>
      <c r="AF801" s="248"/>
      <c r="AG801" s="248"/>
      <c r="AH801" s="248"/>
      <c r="AI801" s="248"/>
    </row>
    <row r="802" spans="25:35">
      <c r="Y802" s="418"/>
      <c r="Z802" s="418"/>
      <c r="AD802" s="248"/>
      <c r="AE802" s="248"/>
      <c r="AF802" s="248"/>
      <c r="AG802" s="248"/>
      <c r="AH802" s="248"/>
      <c r="AI802" s="248"/>
    </row>
    <row r="803" spans="25:35">
      <c r="Y803" s="418"/>
      <c r="Z803" s="418"/>
      <c r="AD803" s="248"/>
      <c r="AE803" s="248"/>
      <c r="AF803" s="248"/>
      <c r="AG803" s="248"/>
      <c r="AH803" s="248"/>
      <c r="AI803" s="248"/>
    </row>
    <row r="804" spans="25:35">
      <c r="Y804" s="418"/>
      <c r="Z804" s="418"/>
      <c r="AD804" s="248"/>
      <c r="AE804" s="248"/>
      <c r="AF804" s="248"/>
      <c r="AG804" s="248"/>
      <c r="AH804" s="248"/>
      <c r="AI804" s="248"/>
    </row>
    <row r="805" spans="25:35">
      <c r="Y805" s="418"/>
      <c r="Z805" s="418"/>
      <c r="AD805" s="248"/>
      <c r="AE805" s="248"/>
      <c r="AF805" s="248"/>
      <c r="AG805" s="248"/>
      <c r="AH805" s="248"/>
      <c r="AI805" s="248"/>
    </row>
    <row r="806" spans="25:35">
      <c r="Y806" s="418"/>
      <c r="Z806" s="418"/>
      <c r="AD806" s="248"/>
      <c r="AE806" s="248"/>
      <c r="AF806" s="248"/>
      <c r="AG806" s="248"/>
      <c r="AH806" s="248"/>
      <c r="AI806" s="248"/>
    </row>
    <row r="807" spans="25:35">
      <c r="Y807" s="418"/>
      <c r="Z807" s="418"/>
      <c r="AD807" s="248"/>
      <c r="AE807" s="248"/>
      <c r="AF807" s="248"/>
      <c r="AG807" s="248"/>
      <c r="AH807" s="248"/>
      <c r="AI807" s="248"/>
    </row>
    <row r="808" spans="25:35">
      <c r="Y808" s="418"/>
      <c r="Z808" s="418"/>
      <c r="AD808" s="248"/>
      <c r="AE808" s="248"/>
      <c r="AF808" s="248"/>
      <c r="AG808" s="248"/>
      <c r="AH808" s="248"/>
      <c r="AI808" s="248"/>
    </row>
    <row r="809" spans="25:35">
      <c r="Y809" s="418"/>
      <c r="Z809" s="418"/>
      <c r="AD809" s="248"/>
      <c r="AE809" s="248"/>
      <c r="AF809" s="248"/>
      <c r="AG809" s="248"/>
      <c r="AH809" s="248"/>
      <c r="AI809" s="248"/>
    </row>
    <row r="810" spans="25:35">
      <c r="Y810" s="418"/>
      <c r="Z810" s="418"/>
      <c r="AD810" s="248"/>
      <c r="AE810" s="248"/>
      <c r="AF810" s="248"/>
      <c r="AG810" s="248"/>
      <c r="AH810" s="248"/>
      <c r="AI810" s="248"/>
    </row>
    <row r="811" spans="25:35">
      <c r="Y811" s="418"/>
      <c r="Z811" s="418"/>
      <c r="AD811" s="248"/>
      <c r="AE811" s="248"/>
      <c r="AF811" s="248"/>
      <c r="AG811" s="248"/>
      <c r="AH811" s="248"/>
      <c r="AI811" s="248"/>
    </row>
    <row r="812" spans="25:35">
      <c r="Y812" s="418"/>
      <c r="Z812" s="418"/>
      <c r="AD812" s="248"/>
      <c r="AE812" s="248"/>
      <c r="AF812" s="248"/>
      <c r="AG812" s="248"/>
      <c r="AH812" s="248"/>
      <c r="AI812" s="248"/>
    </row>
    <row r="813" spans="25:35">
      <c r="Y813" s="418"/>
      <c r="Z813" s="418"/>
      <c r="AD813" s="248"/>
      <c r="AE813" s="248"/>
      <c r="AF813" s="248"/>
      <c r="AG813" s="248"/>
      <c r="AH813" s="248"/>
      <c r="AI813" s="248"/>
    </row>
    <row r="814" spans="25:35">
      <c r="Y814" s="418"/>
      <c r="Z814" s="418"/>
      <c r="AD814" s="248"/>
      <c r="AE814" s="248"/>
      <c r="AF814" s="248"/>
      <c r="AG814" s="248"/>
      <c r="AH814" s="248"/>
      <c r="AI814" s="248"/>
    </row>
    <row r="815" spans="25:35">
      <c r="Y815" s="418"/>
      <c r="Z815" s="418"/>
      <c r="AD815" s="248"/>
      <c r="AE815" s="248"/>
      <c r="AF815" s="248"/>
      <c r="AG815" s="248"/>
      <c r="AH815" s="248"/>
      <c r="AI815" s="248"/>
    </row>
    <row r="816" spans="25:35">
      <c r="Y816" s="418"/>
      <c r="Z816" s="418"/>
      <c r="AD816" s="248"/>
      <c r="AE816" s="248"/>
      <c r="AF816" s="248"/>
      <c r="AG816" s="248"/>
      <c r="AH816" s="248"/>
      <c r="AI816" s="248"/>
    </row>
    <row r="817" spans="25:35">
      <c r="Y817" s="418"/>
      <c r="Z817" s="418"/>
      <c r="AD817" s="248"/>
      <c r="AE817" s="248"/>
      <c r="AF817" s="248"/>
      <c r="AG817" s="248"/>
      <c r="AH817" s="248"/>
      <c r="AI817" s="248"/>
    </row>
    <row r="818" spans="25:35">
      <c r="Y818" s="418"/>
      <c r="Z818" s="418"/>
      <c r="AD818" s="248"/>
      <c r="AE818" s="248"/>
      <c r="AF818" s="248"/>
      <c r="AG818" s="248"/>
      <c r="AH818" s="248"/>
      <c r="AI818" s="248"/>
    </row>
    <row r="819" spans="25:35">
      <c r="Y819" s="418"/>
      <c r="Z819" s="418"/>
      <c r="AD819" s="248"/>
      <c r="AE819" s="248"/>
      <c r="AF819" s="248"/>
      <c r="AG819" s="248"/>
      <c r="AH819" s="248"/>
      <c r="AI819" s="248"/>
    </row>
    <row r="820" spans="25:35">
      <c r="Y820" s="418"/>
      <c r="Z820" s="418"/>
      <c r="AD820" s="248"/>
      <c r="AE820" s="248"/>
      <c r="AF820" s="248"/>
      <c r="AG820" s="248"/>
      <c r="AH820" s="248"/>
      <c r="AI820" s="248"/>
    </row>
    <row r="821" spans="25:35">
      <c r="Y821" s="418"/>
      <c r="Z821" s="418"/>
      <c r="AD821" s="248"/>
      <c r="AE821" s="248"/>
      <c r="AF821" s="248"/>
      <c r="AG821" s="248"/>
      <c r="AH821" s="248"/>
      <c r="AI821" s="248"/>
    </row>
    <row r="822" spans="25:35">
      <c r="Y822" s="418"/>
      <c r="Z822" s="418"/>
      <c r="AD822" s="248"/>
      <c r="AE822" s="248"/>
      <c r="AF822" s="248"/>
      <c r="AG822" s="248"/>
      <c r="AH822" s="248"/>
      <c r="AI822" s="248"/>
    </row>
    <row r="823" spans="25:35">
      <c r="Y823" s="418"/>
      <c r="Z823" s="418"/>
      <c r="AD823" s="248"/>
      <c r="AE823" s="248"/>
      <c r="AF823" s="248"/>
      <c r="AG823" s="248"/>
      <c r="AH823" s="248"/>
      <c r="AI823" s="248"/>
    </row>
    <row r="824" spans="25:35">
      <c r="Y824" s="418"/>
      <c r="Z824" s="418"/>
      <c r="AD824" s="248"/>
      <c r="AE824" s="248"/>
      <c r="AF824" s="248"/>
      <c r="AG824" s="248"/>
      <c r="AH824" s="248"/>
      <c r="AI824" s="248"/>
    </row>
    <row r="825" spans="25:35">
      <c r="Y825" s="418"/>
      <c r="Z825" s="418"/>
      <c r="AD825" s="248"/>
      <c r="AE825" s="248"/>
      <c r="AF825" s="248"/>
      <c r="AG825" s="248"/>
      <c r="AH825" s="248"/>
      <c r="AI825" s="248"/>
    </row>
    <row r="826" spans="25:35">
      <c r="Y826" s="418"/>
      <c r="Z826" s="418"/>
      <c r="AD826" s="248"/>
      <c r="AE826" s="248"/>
      <c r="AF826" s="248"/>
      <c r="AG826" s="248"/>
      <c r="AH826" s="248"/>
      <c r="AI826" s="248"/>
    </row>
    <row r="827" spans="25:35">
      <c r="Y827" s="418"/>
      <c r="Z827" s="418"/>
      <c r="AD827" s="248"/>
      <c r="AE827" s="248"/>
      <c r="AF827" s="248"/>
      <c r="AG827" s="248"/>
      <c r="AH827" s="248"/>
      <c r="AI827" s="248"/>
    </row>
    <row r="828" spans="25:35">
      <c r="Y828" s="418"/>
      <c r="Z828" s="418"/>
      <c r="AD828" s="248"/>
      <c r="AE828" s="248"/>
      <c r="AF828" s="248"/>
      <c r="AG828" s="248"/>
      <c r="AH828" s="248"/>
      <c r="AI828" s="248"/>
    </row>
    <row r="829" spans="25:35">
      <c r="Y829" s="418"/>
      <c r="Z829" s="418"/>
      <c r="AD829" s="248"/>
      <c r="AE829" s="248"/>
      <c r="AF829" s="248"/>
      <c r="AG829" s="248"/>
      <c r="AH829" s="248"/>
      <c r="AI829" s="248"/>
    </row>
    <row r="830" spans="25:35">
      <c r="Y830" s="418"/>
      <c r="Z830" s="418"/>
      <c r="AD830" s="248"/>
      <c r="AE830" s="248"/>
      <c r="AF830" s="248"/>
      <c r="AG830" s="248"/>
      <c r="AH830" s="248"/>
      <c r="AI830" s="248"/>
    </row>
    <row r="831" spans="25:35">
      <c r="Y831" s="418"/>
      <c r="Z831" s="418"/>
      <c r="AD831" s="248"/>
      <c r="AE831" s="248"/>
      <c r="AF831" s="248"/>
      <c r="AG831" s="248"/>
      <c r="AH831" s="248"/>
      <c r="AI831" s="248"/>
    </row>
    <row r="832" spans="25:35">
      <c r="Y832" s="418"/>
      <c r="Z832" s="418"/>
      <c r="AD832" s="248"/>
      <c r="AE832" s="248"/>
      <c r="AF832" s="248"/>
      <c r="AG832" s="248"/>
      <c r="AH832" s="248"/>
      <c r="AI832" s="248"/>
    </row>
    <row r="833" spans="25:35">
      <c r="Y833" s="418"/>
      <c r="Z833" s="418"/>
      <c r="AD833" s="248"/>
      <c r="AE833" s="248"/>
      <c r="AF833" s="248"/>
      <c r="AG833" s="248"/>
      <c r="AH833" s="248"/>
      <c r="AI833" s="248"/>
    </row>
    <row r="834" spans="25:35">
      <c r="Y834" s="418"/>
      <c r="Z834" s="418"/>
      <c r="AD834" s="248"/>
      <c r="AE834" s="248"/>
      <c r="AF834" s="248"/>
      <c r="AG834" s="248"/>
      <c r="AH834" s="248"/>
      <c r="AI834" s="248"/>
    </row>
    <row r="835" spans="25:35">
      <c r="Y835" s="418"/>
      <c r="Z835" s="418"/>
      <c r="AD835" s="248"/>
      <c r="AE835" s="248"/>
      <c r="AF835" s="248"/>
      <c r="AG835" s="248"/>
      <c r="AH835" s="248"/>
      <c r="AI835" s="248"/>
    </row>
    <row r="836" spans="25:35">
      <c r="Y836" s="418"/>
      <c r="Z836" s="418"/>
      <c r="AD836" s="248"/>
      <c r="AE836" s="248"/>
      <c r="AF836" s="248"/>
      <c r="AG836" s="248"/>
      <c r="AH836" s="248"/>
      <c r="AI836" s="248"/>
    </row>
    <row r="837" spans="25:35">
      <c r="Y837" s="418"/>
      <c r="Z837" s="418"/>
      <c r="AD837" s="248"/>
      <c r="AE837" s="248"/>
      <c r="AF837" s="248"/>
      <c r="AG837" s="248"/>
      <c r="AH837" s="248"/>
      <c r="AI837" s="248"/>
    </row>
    <row r="838" spans="25:35">
      <c r="Y838" s="418"/>
      <c r="Z838" s="418"/>
      <c r="AD838" s="248"/>
      <c r="AE838" s="248"/>
      <c r="AF838" s="248"/>
      <c r="AG838" s="248"/>
      <c r="AH838" s="248"/>
      <c r="AI838" s="248"/>
    </row>
    <row r="839" spans="25:35">
      <c r="Y839" s="418"/>
      <c r="Z839" s="418"/>
      <c r="AD839" s="248"/>
      <c r="AE839" s="248"/>
      <c r="AF839" s="248"/>
      <c r="AG839" s="248"/>
      <c r="AH839" s="248"/>
      <c r="AI839" s="248"/>
    </row>
    <row r="840" spans="25:35">
      <c r="Y840" s="418"/>
      <c r="Z840" s="418"/>
      <c r="AD840" s="248"/>
      <c r="AE840" s="248"/>
      <c r="AF840" s="248"/>
      <c r="AG840" s="248"/>
      <c r="AH840" s="248"/>
      <c r="AI840" s="248"/>
    </row>
    <row r="841" spans="25:35">
      <c r="Y841" s="418"/>
      <c r="Z841" s="418"/>
      <c r="AD841" s="248"/>
      <c r="AE841" s="248"/>
      <c r="AF841" s="248"/>
      <c r="AG841" s="248"/>
      <c r="AH841" s="248"/>
      <c r="AI841" s="248"/>
    </row>
    <row r="842" spans="25:35">
      <c r="Y842" s="418"/>
      <c r="Z842" s="418"/>
      <c r="AD842" s="248"/>
      <c r="AE842" s="248"/>
      <c r="AF842" s="248"/>
      <c r="AG842" s="248"/>
      <c r="AH842" s="248"/>
      <c r="AI842" s="248"/>
    </row>
    <row r="843" spans="25:35">
      <c r="Y843" s="418"/>
      <c r="Z843" s="418"/>
      <c r="AD843" s="248"/>
      <c r="AE843" s="248"/>
      <c r="AF843" s="248"/>
      <c r="AG843" s="248"/>
      <c r="AH843" s="248"/>
      <c r="AI843" s="248"/>
    </row>
    <row r="844" spans="25:35">
      <c r="Y844" s="418"/>
      <c r="Z844" s="418"/>
      <c r="AD844" s="248"/>
      <c r="AE844" s="248"/>
      <c r="AF844" s="248"/>
      <c r="AG844" s="248"/>
      <c r="AH844" s="248"/>
      <c r="AI844" s="248"/>
    </row>
    <row r="845" spans="25:35">
      <c r="Y845" s="418"/>
      <c r="Z845" s="418"/>
      <c r="AD845" s="248"/>
      <c r="AE845" s="248"/>
      <c r="AF845" s="248"/>
      <c r="AG845" s="248"/>
      <c r="AH845" s="248"/>
      <c r="AI845" s="248"/>
    </row>
    <row r="846" spans="25:35">
      <c r="Y846" s="418"/>
      <c r="Z846" s="418"/>
      <c r="AD846" s="248"/>
      <c r="AE846" s="248"/>
      <c r="AF846" s="248"/>
      <c r="AG846" s="248"/>
      <c r="AH846" s="248"/>
      <c r="AI846" s="248"/>
    </row>
    <row r="847" spans="25:35">
      <c r="Y847" s="418"/>
      <c r="Z847" s="418"/>
      <c r="AD847" s="248"/>
      <c r="AE847" s="248"/>
      <c r="AF847" s="248"/>
      <c r="AG847" s="248"/>
      <c r="AH847" s="248"/>
      <c r="AI847" s="248"/>
    </row>
    <row r="848" spans="25:35">
      <c r="Y848" s="418"/>
      <c r="Z848" s="418"/>
      <c r="AD848" s="248"/>
      <c r="AE848" s="248"/>
      <c r="AF848" s="248"/>
      <c r="AG848" s="248"/>
      <c r="AH848" s="248"/>
      <c r="AI848" s="248"/>
    </row>
    <row r="849" spans="25:35">
      <c r="Y849" s="418"/>
      <c r="Z849" s="418"/>
      <c r="AD849" s="248"/>
      <c r="AE849" s="248"/>
      <c r="AF849" s="248"/>
      <c r="AG849" s="248"/>
      <c r="AH849" s="248"/>
      <c r="AI849" s="248"/>
    </row>
    <row r="850" spans="25:35">
      <c r="Y850" s="418"/>
      <c r="Z850" s="418"/>
      <c r="AD850" s="248"/>
      <c r="AE850" s="248"/>
      <c r="AF850" s="248"/>
      <c r="AG850" s="248"/>
      <c r="AH850" s="248"/>
      <c r="AI850" s="248"/>
    </row>
    <row r="851" spans="25:35">
      <c r="Y851" s="418"/>
      <c r="Z851" s="418"/>
      <c r="AD851" s="248"/>
      <c r="AE851" s="248"/>
      <c r="AF851" s="248"/>
      <c r="AG851" s="248"/>
      <c r="AH851" s="248"/>
      <c r="AI851" s="248"/>
    </row>
    <row r="852" spans="25:35">
      <c r="Y852" s="418"/>
      <c r="Z852" s="418"/>
      <c r="AD852" s="248"/>
      <c r="AE852" s="248"/>
      <c r="AF852" s="248"/>
      <c r="AG852" s="248"/>
      <c r="AH852" s="248"/>
      <c r="AI852" s="248"/>
    </row>
    <row r="853" spans="25:35">
      <c r="Y853" s="418"/>
      <c r="Z853" s="418"/>
      <c r="AD853" s="248"/>
      <c r="AE853" s="248"/>
      <c r="AF853" s="248"/>
      <c r="AG853" s="248"/>
      <c r="AH853" s="248"/>
      <c r="AI853" s="248"/>
    </row>
    <row r="854" spans="25:35">
      <c r="Y854" s="418"/>
      <c r="Z854" s="418"/>
      <c r="AD854" s="248"/>
      <c r="AE854" s="248"/>
      <c r="AF854" s="248"/>
      <c r="AG854" s="248"/>
      <c r="AH854" s="248"/>
      <c r="AI854" s="248"/>
    </row>
    <row r="855" spans="25:35">
      <c r="Y855" s="418"/>
      <c r="Z855" s="418"/>
      <c r="AD855" s="248"/>
      <c r="AE855" s="248"/>
      <c r="AF855" s="248"/>
      <c r="AG855" s="248"/>
      <c r="AH855" s="248"/>
      <c r="AI855" s="248"/>
    </row>
    <row r="856" spans="25:35">
      <c r="Y856" s="418"/>
      <c r="Z856" s="418"/>
      <c r="AD856" s="248"/>
      <c r="AE856" s="248"/>
      <c r="AF856" s="248"/>
      <c r="AG856" s="248"/>
      <c r="AH856" s="248"/>
      <c r="AI856" s="248"/>
    </row>
    <row r="857" spans="25:35">
      <c r="Y857" s="418"/>
      <c r="Z857" s="418"/>
      <c r="AD857" s="248"/>
      <c r="AE857" s="248"/>
      <c r="AF857" s="248"/>
      <c r="AG857" s="248"/>
      <c r="AH857" s="248"/>
      <c r="AI857" s="248"/>
    </row>
    <row r="858" spans="25:35">
      <c r="Y858" s="418"/>
      <c r="Z858" s="418"/>
      <c r="AD858" s="248"/>
      <c r="AE858" s="248"/>
      <c r="AF858" s="248"/>
      <c r="AG858" s="248"/>
      <c r="AH858" s="248"/>
      <c r="AI858" s="248"/>
    </row>
    <row r="859" spans="25:35">
      <c r="Y859" s="418"/>
      <c r="Z859" s="418"/>
      <c r="AD859" s="248"/>
      <c r="AE859" s="248"/>
      <c r="AF859" s="248"/>
      <c r="AG859" s="248"/>
      <c r="AH859" s="248"/>
      <c r="AI859" s="248"/>
    </row>
    <row r="860" spans="25:35">
      <c r="Y860" s="418"/>
      <c r="Z860" s="418"/>
      <c r="AD860" s="248"/>
      <c r="AE860" s="248"/>
      <c r="AF860" s="248"/>
      <c r="AG860" s="248"/>
      <c r="AH860" s="248"/>
      <c r="AI860" s="248"/>
    </row>
    <row r="861" spans="25:35">
      <c r="Y861" s="418"/>
      <c r="Z861" s="418"/>
      <c r="AD861" s="248"/>
      <c r="AE861" s="248"/>
      <c r="AF861" s="248"/>
      <c r="AG861" s="248"/>
      <c r="AH861" s="248"/>
      <c r="AI861" s="248"/>
    </row>
    <row r="862" spans="25:35">
      <c r="Y862" s="418"/>
      <c r="Z862" s="418"/>
      <c r="AD862" s="248"/>
      <c r="AE862" s="248"/>
      <c r="AF862" s="248"/>
      <c r="AG862" s="248"/>
      <c r="AH862" s="248"/>
      <c r="AI862" s="248"/>
    </row>
    <row r="863" spans="25:35">
      <c r="Y863" s="418"/>
      <c r="Z863" s="418"/>
      <c r="AD863" s="248"/>
      <c r="AE863" s="248"/>
      <c r="AF863" s="248"/>
      <c r="AG863" s="248"/>
      <c r="AH863" s="248"/>
      <c r="AI863" s="248"/>
    </row>
    <row r="864" spans="25:35">
      <c r="Y864" s="418"/>
      <c r="Z864" s="418"/>
      <c r="AD864" s="248"/>
      <c r="AE864" s="248"/>
      <c r="AF864" s="248"/>
      <c r="AG864" s="248"/>
      <c r="AH864" s="248"/>
      <c r="AI864" s="248"/>
    </row>
    <row r="865" spans="25:35">
      <c r="Y865" s="418"/>
      <c r="Z865" s="418"/>
      <c r="AD865" s="248"/>
      <c r="AE865" s="248"/>
      <c r="AF865" s="248"/>
      <c r="AG865" s="248"/>
      <c r="AH865" s="248"/>
      <c r="AI865" s="248"/>
    </row>
    <row r="866" spans="25:35">
      <c r="Y866" s="418"/>
      <c r="Z866" s="418"/>
      <c r="AD866" s="248"/>
      <c r="AE866" s="248"/>
      <c r="AF866" s="248"/>
      <c r="AG866" s="248"/>
      <c r="AH866" s="248"/>
      <c r="AI866" s="248"/>
    </row>
    <row r="867" spans="25:35">
      <c r="Y867" s="418"/>
      <c r="Z867" s="418"/>
      <c r="AD867" s="248"/>
      <c r="AE867" s="248"/>
      <c r="AF867" s="248"/>
      <c r="AG867" s="248"/>
      <c r="AH867" s="248"/>
      <c r="AI867" s="248"/>
    </row>
    <row r="868" spans="25:35">
      <c r="Y868" s="418"/>
      <c r="Z868" s="418"/>
      <c r="AD868" s="248"/>
      <c r="AE868" s="248"/>
      <c r="AF868" s="248"/>
      <c r="AG868" s="248"/>
      <c r="AH868" s="248"/>
      <c r="AI868" s="248"/>
    </row>
    <row r="869" spans="25:35">
      <c r="Y869" s="418"/>
      <c r="Z869" s="418"/>
      <c r="AD869" s="248"/>
      <c r="AE869" s="248"/>
      <c r="AF869" s="248"/>
      <c r="AG869" s="248"/>
      <c r="AH869" s="248"/>
      <c r="AI869" s="248"/>
    </row>
    <row r="870" spans="25:35">
      <c r="Y870" s="418"/>
      <c r="Z870" s="418"/>
      <c r="AD870" s="248"/>
      <c r="AE870" s="248"/>
      <c r="AF870" s="248"/>
      <c r="AG870" s="248"/>
      <c r="AH870" s="248"/>
      <c r="AI870" s="248"/>
    </row>
    <row r="871" spans="25:35">
      <c r="Y871" s="418"/>
      <c r="Z871" s="418"/>
      <c r="AD871" s="248"/>
      <c r="AE871" s="248"/>
      <c r="AF871" s="248"/>
      <c r="AG871" s="248"/>
      <c r="AH871" s="248"/>
      <c r="AI871" s="248"/>
    </row>
    <row r="872" spans="25:35">
      <c r="Y872" s="418"/>
      <c r="Z872" s="418"/>
      <c r="AD872" s="248"/>
      <c r="AE872" s="248"/>
      <c r="AF872" s="248"/>
      <c r="AG872" s="248"/>
      <c r="AH872" s="248"/>
      <c r="AI872" s="248"/>
    </row>
    <row r="873" spans="25:35">
      <c r="Y873" s="418"/>
      <c r="Z873" s="418"/>
      <c r="AD873" s="248"/>
      <c r="AE873" s="248"/>
      <c r="AF873" s="248"/>
      <c r="AG873" s="248"/>
      <c r="AH873" s="248"/>
      <c r="AI873" s="248"/>
    </row>
    <row r="874" spans="25:35">
      <c r="Y874" s="418"/>
      <c r="Z874" s="418"/>
      <c r="AD874" s="248"/>
      <c r="AE874" s="248"/>
      <c r="AF874" s="248"/>
      <c r="AG874" s="248"/>
      <c r="AH874" s="248"/>
      <c r="AI874" s="248"/>
    </row>
    <row r="875" spans="25:35">
      <c r="Y875" s="418"/>
      <c r="Z875" s="418"/>
      <c r="AD875" s="248"/>
      <c r="AE875" s="248"/>
      <c r="AF875" s="248"/>
      <c r="AG875" s="248"/>
      <c r="AH875" s="248"/>
      <c r="AI875" s="248"/>
    </row>
    <row r="876" spans="25:35">
      <c r="Y876" s="418"/>
      <c r="Z876" s="418"/>
      <c r="AD876" s="248"/>
      <c r="AE876" s="248"/>
      <c r="AF876" s="248"/>
      <c r="AG876" s="248"/>
      <c r="AH876" s="248"/>
      <c r="AI876" s="248"/>
    </row>
    <row r="877" spans="25:35">
      <c r="Y877" s="418"/>
      <c r="Z877" s="418"/>
      <c r="AD877" s="248"/>
      <c r="AE877" s="248"/>
      <c r="AF877" s="248"/>
      <c r="AG877" s="248"/>
      <c r="AH877" s="248"/>
      <c r="AI877" s="248"/>
    </row>
    <row r="878" spans="25:35">
      <c r="Y878" s="418"/>
      <c r="Z878" s="418"/>
      <c r="AD878" s="248"/>
      <c r="AE878" s="248"/>
      <c r="AF878" s="248"/>
      <c r="AG878" s="248"/>
      <c r="AH878" s="248"/>
      <c r="AI878" s="248"/>
    </row>
    <row r="879" spans="25:35">
      <c r="Y879" s="418"/>
      <c r="Z879" s="418"/>
      <c r="AD879" s="248"/>
      <c r="AE879" s="248"/>
      <c r="AF879" s="248"/>
      <c r="AG879" s="248"/>
      <c r="AH879" s="248"/>
      <c r="AI879" s="248"/>
    </row>
    <row r="880" spans="25:35">
      <c r="Y880" s="418"/>
      <c r="Z880" s="418"/>
      <c r="AD880" s="248"/>
      <c r="AE880" s="248"/>
      <c r="AF880" s="248"/>
      <c r="AG880" s="248"/>
      <c r="AH880" s="248"/>
      <c r="AI880" s="248"/>
    </row>
    <row r="881" spans="25:26">
      <c r="Y881" s="418"/>
      <c r="Z881" s="418"/>
    </row>
    <row r="882" spans="25:26">
      <c r="Y882" s="418"/>
      <c r="Z882" s="418"/>
    </row>
    <row r="883" spans="25:26">
      <c r="Y883" s="418"/>
      <c r="Z883" s="418"/>
    </row>
    <row r="884" spans="25:26">
      <c r="Y884" s="418"/>
      <c r="Z884" s="418"/>
    </row>
    <row r="885" spans="25:26">
      <c r="Y885" s="418"/>
      <c r="Z885" s="418"/>
    </row>
    <row r="886" spans="25:26">
      <c r="Y886" s="418"/>
      <c r="Z886" s="418"/>
    </row>
    <row r="887" spans="25:26">
      <c r="Y887" s="418"/>
      <c r="Z887" s="418"/>
    </row>
    <row r="888" spans="25:26">
      <c r="Y888" s="418"/>
      <c r="Z888" s="418"/>
    </row>
    <row r="889" spans="25:26">
      <c r="Y889" s="418"/>
      <c r="Z889" s="418"/>
    </row>
    <row r="890" spans="25:26">
      <c r="Y890" s="418"/>
      <c r="Z890" s="418"/>
    </row>
    <row r="891" spans="25:26">
      <c r="Y891" s="418"/>
      <c r="Z891" s="418"/>
    </row>
    <row r="892" spans="25:26">
      <c r="Y892" s="418"/>
      <c r="Z892" s="418"/>
    </row>
    <row r="893" spans="25:26">
      <c r="Y893" s="418"/>
      <c r="Z893" s="418"/>
    </row>
    <row r="894" spans="25:26">
      <c r="Y894" s="418"/>
      <c r="Z894" s="418"/>
    </row>
    <row r="895" spans="25:26">
      <c r="Y895" s="418"/>
      <c r="Z895" s="418"/>
    </row>
    <row r="896" spans="25:26">
      <c r="Y896" s="418"/>
      <c r="Z896" s="418"/>
    </row>
    <row r="897" spans="25:26">
      <c r="Y897" s="418"/>
      <c r="Z897" s="418"/>
    </row>
    <row r="898" spans="25:26">
      <c r="Y898" s="418"/>
      <c r="Z898" s="418"/>
    </row>
    <row r="899" spans="25:26">
      <c r="Y899" s="418"/>
      <c r="Z899" s="418"/>
    </row>
    <row r="900" spans="25:26">
      <c r="Y900" s="418"/>
      <c r="Z900" s="418"/>
    </row>
    <row r="901" spans="25:26">
      <c r="Y901" s="418"/>
      <c r="Z901" s="418"/>
    </row>
    <row r="902" spans="25:26">
      <c r="Y902" s="418"/>
      <c r="Z902" s="418"/>
    </row>
    <row r="903" spans="25:26">
      <c r="Y903" s="418"/>
      <c r="Z903" s="418"/>
    </row>
    <row r="904" spans="25:26">
      <c r="Y904" s="418"/>
      <c r="Z904" s="418"/>
    </row>
    <row r="905" spans="25:26">
      <c r="Y905" s="418"/>
      <c r="Z905" s="418"/>
    </row>
    <row r="906" spans="25:26">
      <c r="Y906" s="418"/>
      <c r="Z906" s="418"/>
    </row>
    <row r="907" spans="25:26">
      <c r="Y907" s="418"/>
      <c r="Z907" s="418"/>
    </row>
    <row r="908" spans="25:26">
      <c r="Y908" s="418"/>
      <c r="Z908" s="418"/>
    </row>
    <row r="909" spans="25:26">
      <c r="Y909" s="418"/>
      <c r="Z909" s="418"/>
    </row>
    <row r="910" spans="25:26">
      <c r="Y910" s="418"/>
      <c r="Z910" s="418"/>
    </row>
  </sheetData>
  <dataValidations count="1">
    <dataValidation allowBlank="1" showInputMessage="1" showErrorMessage="1" sqref="A32:A37" xr:uid="{CE5DBCC7-3FB3-4D3F-B821-686E22790613}"/>
  </dataValidations>
  <hyperlinks>
    <hyperlink ref="A115" r:id="rId1" xr:uid="{696AF0B7-8C6B-4315-99EA-75145AD11374}"/>
    <hyperlink ref="A122" r:id="rId2" xr:uid="{E0588C98-FB53-4314-8DF0-B19688AF390E}"/>
    <hyperlink ref="A184" r:id="rId3" xr:uid="{B5030088-60E4-47F0-A0ED-C1556C59405F}"/>
    <hyperlink ref="A191" r:id="rId4" xr:uid="{417ED6EA-DE7E-4399-B68B-7A2B7A50F2A9}"/>
    <hyperlink ref="A190" r:id="rId5" xr:uid="{7A95C0DD-9FC4-47CD-9BDF-2B712F0A4F49}"/>
    <hyperlink ref="A108" r:id="rId6" xr:uid="{7C44A3AD-B205-4771-B5FD-231FDF6B88CF}"/>
    <hyperlink ref="A176" r:id="rId7" xr:uid="{D0649D90-8B0B-4623-AA0C-03211C403451}"/>
    <hyperlink ref="A179" r:id="rId8" xr:uid="{B392F629-B9DF-4FC2-98FF-0895F900027E}"/>
    <hyperlink ref="A93" r:id="rId9" xr:uid="{2BB534A4-1164-46A7-818C-729FDFA0B9EA}"/>
    <hyperlink ref="A180" r:id="rId10" xr:uid="{89E559EA-087A-42AF-BE1F-30B84A344A20}"/>
    <hyperlink ref="A183" r:id="rId11" xr:uid="{4A338D7B-D02A-48D8-9C3B-FF31125D34A5}"/>
    <hyperlink ref="A185" r:id="rId12" xr:uid="{77382D64-D0F9-4A96-8BDC-5195C628E2C1}"/>
    <hyperlink ref="A91" r:id="rId13" xr:uid="{94B6224A-7CE2-49D0-A32A-04BE45590737}"/>
    <hyperlink ref="A192" r:id="rId14" xr:uid="{0F303237-3CC1-479A-B2A7-C7D8CA3B975C}"/>
    <hyperlink ref="A133" r:id="rId15" xr:uid="{2FEDD422-8C04-4D4F-AB36-F7E09F74AEA6}"/>
    <hyperlink ref="A193" r:id="rId16" xr:uid="{404CE548-DD85-4B2F-B019-6C26FCB03269}"/>
    <hyperlink ref="A100" r:id="rId17" xr:uid="{61526C8E-AC1F-4422-B6E1-F247BC8AA670}"/>
    <hyperlink ref="A134" r:id="rId18" xr:uid="{EFB5CA6B-4808-40DE-91C3-24EEF8C48215}"/>
    <hyperlink ref="A135" r:id="rId19" xr:uid="{75B2F73A-EFCC-4FF9-BD7F-E745E7179AD2}"/>
    <hyperlink ref="A136" r:id="rId20" xr:uid="{EE8AB971-188A-4FF5-AD10-769E3BF92947}"/>
    <hyperlink ref="A48" r:id="rId21" xr:uid="{476EE480-1E58-4814-852D-E54DBE09F41F}"/>
    <hyperlink ref="A49" r:id="rId22" xr:uid="{394087D6-0FE4-4DC0-AD49-18195A5DA8EE}"/>
    <hyperlink ref="A109" r:id="rId23" xr:uid="{37A7F004-6889-41B4-B26A-308746D50507}"/>
    <hyperlink ref="A50" r:id="rId24" xr:uid="{0E421E5C-45BF-40D3-9D27-B510A8AAD0EE}"/>
    <hyperlink ref="A165" r:id="rId25" xr:uid="{0D6866F0-A82F-4497-90EC-2FD8D3BD2735}"/>
    <hyperlink ref="A51" r:id="rId26" xr:uid="{32F7F1D3-F1B2-4CB9-819B-A798F95270DE}"/>
    <hyperlink ref="A52" r:id="rId27" xr:uid="{BC90E622-30C9-4D22-9F65-D07F4BC3E06F}"/>
    <hyperlink ref="A53" r:id="rId28" xr:uid="{E134EBDC-9D4C-41D1-A7E9-5CDFEE0904B7}"/>
    <hyperlink ref="A87" r:id="rId29" xr:uid="{F928FB20-1D60-4253-86B5-5D52D6E5AC5E}"/>
    <hyperlink ref="A54" r:id="rId30" xr:uid="{8398EEC1-72BD-452F-B21E-EF120B075E40}"/>
    <hyperlink ref="A88" r:id="rId31" xr:uid="{06587722-668E-4B9C-B04D-6506125EA36F}"/>
    <hyperlink ref="A55" r:id="rId32" xr:uid="{CFB3DA20-D5A9-4578-BEBA-48D1C4CCA945}"/>
    <hyperlink ref="A137" r:id="rId33" xr:uid="{455F376F-E185-4058-8095-2C993129808A}"/>
    <hyperlink ref="A89" r:id="rId34" xr:uid="{A569379B-090D-4014-9AAC-FE95B2F7DA5C}"/>
    <hyperlink ref="A138" r:id="rId35" xr:uid="{FF84D6DB-4130-4B8A-8F5D-15A02B67B9AB}"/>
    <hyperlink ref="A195" r:id="rId36" xr:uid="{BB9EC1CA-B0AA-4C62-B211-8061D02B168A}"/>
    <hyperlink ref="A139" r:id="rId37" xr:uid="{23AC3AB5-D00D-42BB-B3C4-7305FF5861CA}"/>
    <hyperlink ref="A196" r:id="rId38" xr:uid="{CB5B187F-6B43-4A35-86F5-4B899DB8B477}"/>
    <hyperlink ref="A197" r:id="rId39" xr:uid="{AE68BD5E-5547-4D03-87AC-556815936205}"/>
    <hyperlink ref="A140" r:id="rId40" xr:uid="{67489549-B173-4AB6-A60B-E7622BC3B727}"/>
    <hyperlink ref="A198" r:id="rId41" xr:uid="{51D622CC-747F-47EE-B2E1-007BDF33B128}"/>
    <hyperlink ref="A94" r:id="rId42" xr:uid="{E7F21CDA-C204-4A8B-A0B7-3AEC1FADADFE}"/>
    <hyperlink ref="A141" r:id="rId43" xr:uid="{2935E83B-5C90-4FB0-AAF2-3975F3126673}"/>
    <hyperlink ref="A142" r:id="rId44" xr:uid="{7631A04F-4019-4F41-B581-98DAC44F6C0C}"/>
    <hyperlink ref="A199" r:id="rId45" xr:uid="{4DD8800C-5D65-4A30-BD3E-D4C444ACF184}"/>
    <hyperlink ref="A206" r:id="rId46" xr:uid="{BDC20DFB-C3C3-4086-AE26-0B249B40DCD3}"/>
    <hyperlink ref="A200" r:id="rId47" xr:uid="{AE193E3F-F2B9-4336-93AF-949F86C798E9}"/>
    <hyperlink ref="A143" r:id="rId48" xr:uid="{E14DBE96-A3FE-4D82-BF72-50736F28A2BA}"/>
    <hyperlink ref="A144" r:id="rId49" xr:uid="{37CF96EE-530B-4547-A0BF-07E7C0C95DBE}"/>
    <hyperlink ref="A145" r:id="rId50" xr:uid="{2513105D-B063-4C96-BE03-0DE3924B3716}"/>
    <hyperlink ref="A132" r:id="rId51" xr:uid="{C3C56ACC-3BAE-4E91-B7B3-E791EE2E7E51}"/>
    <hyperlink ref="A203" r:id="rId52" xr:uid="{0F7CA5D6-13DC-407C-9B73-93C186919535}"/>
    <hyperlink ref="A170" r:id="rId53" xr:uid="{46A1ECCC-F142-43A0-A6BB-09E2E13644B2}"/>
    <hyperlink ref="A102" r:id="rId54" xr:uid="{1F4B1918-2D8E-4C2B-827B-E426DA507F4C}"/>
    <hyperlink ref="A201" r:id="rId55" display="9916" xr:uid="{86D20662-233E-4694-8B9C-1B98864D5927}"/>
    <hyperlink ref="A92" r:id="rId56" xr:uid="{C90A22EA-1459-491F-B9B3-961E1D027392}"/>
    <hyperlink ref="A96" r:id="rId57" xr:uid="{766011D8-9500-41A3-B594-F4621D60AF61}"/>
    <hyperlink ref="A202" r:id="rId58" xr:uid="{22790532-C45B-43D8-AF82-365731852A41}"/>
    <hyperlink ref="A194" r:id="rId59" xr:uid="{E063719B-70C6-4F84-8F8C-E729AAE102E7}"/>
    <hyperlink ref="A62" r:id="rId60" xr:uid="{3E1A90A0-C41B-445F-AC5A-9816F2143AFE}"/>
    <hyperlink ref="A147" r:id="rId61" xr:uid="{8D90F690-1FB7-46A6-B08F-2100058C8DCC}"/>
    <hyperlink ref="A148" r:id="rId62" display="11039" xr:uid="{46711A3D-BC95-488A-9F7B-8E0A6BE7156B}"/>
    <hyperlink ref="A149" r:id="rId63" xr:uid="{A7BB33C2-0409-411D-85B0-EB453A90E47B}"/>
    <hyperlink ref="Q207" r:id="rId64" xr:uid="{1885678C-9808-49E5-9EA0-CA85A7836EDC}"/>
    <hyperlink ref="Q151" r:id="rId65" xr:uid="{C9AA02CE-72EA-4369-8537-46D5F3B877EB}"/>
    <hyperlink ref="Q166" r:id="rId66" xr:uid="{07BE7AE6-9CF3-47D9-AB09-3222CACDCC9C}"/>
    <hyperlink ref="Q114" r:id="rId67" xr:uid="{51347D90-7E49-4267-AE0C-5856F5BA7926}"/>
    <hyperlink ref="A105" r:id="rId68" xr:uid="{740E7815-7587-4736-AC54-E94296663CE0}"/>
    <hyperlink ref="A71" r:id="rId69" xr:uid="{7A86F7A8-5982-4D82-A20E-8657448F2C2C}"/>
    <hyperlink ref="A103" r:id="rId70" xr:uid="{D0E97BD9-1CC9-43EB-B23E-A3A5FA047A7C}"/>
    <hyperlink ref="Q128" r:id="rId71" display="https://tecnoaccionsa.sharepoint.com/:w:/s/GAMMA.2024/IQD96kNAde83TKR4nagcaF9KAQ_hUf99DHz0b6ddOhwXql4?e=IlRhoT   https://tecnoaccionsa.sharepoint.com/:w:/s/GAMMA.2024/IQA8cuN34mqXQqamingZSo7FAZ7qR1y5sMJqtEfrhmbRg8s?e=7ITwfs    https://tecnoaccionsa.sharepoint.com/:w:/s/GAMMA.2024/IQAg8dx3M4CST79BvEY914SqARYqlqKCsSusVR-sotEsioI?e=6HO6RR   https://tecnoaccionsa.sharepoint.com/:w:/s/GAMMA.2024/IQAPX6KPnap6Sq8qVQN7gS5NATmX793LnMobo9QD9lqa2Mo?e=bwmESs" xr:uid="{3EF6FD7D-10CE-4CDF-A2C0-433989D252D2}"/>
    <hyperlink ref="A72" r:id="rId72" xr:uid="{532D901F-9C9B-47FB-A6C6-2334C00FB809}"/>
    <hyperlink ref="Q165" r:id="rId73" xr:uid="{703A9011-9CE8-4347-B7C3-4138167E5B56}"/>
    <hyperlink ref="A81" r:id="rId74" xr:uid="{2DB322E8-FDD9-44EE-A7F9-F9D13772AC13}"/>
    <hyperlink ref="Q91" r:id="rId75" xr:uid="{4EE72889-550C-4052-B0BD-12A4A19A85ED}"/>
    <hyperlink ref="Q208" r:id="rId76" xr:uid="{2DDA9962-24A3-4E67-89CD-2A2215453497}"/>
    <hyperlink ref="Q206" r:id="rId77" xr:uid="{1AE2903B-D20E-4F76-B0EC-233D72C6EBA7}"/>
    <hyperlink ref="Q211" r:id="rId78" xr:uid="{112D84FB-B1C6-49FD-8DBC-F64CC5F394EC}"/>
    <hyperlink ref="Q209" r:id="rId79" xr:uid="{B5596C8B-F8C7-43FC-AB3C-78BC5F183114}"/>
    <hyperlink ref="Q210" r:id="rId80" xr:uid="{F003935E-ED86-4146-B52D-0CCAC5C2A8BD}"/>
    <hyperlink ref="Q212" r:id="rId81" xr:uid="{FBEA09AD-D280-4198-BCA0-1641650334B8}"/>
    <hyperlink ref="Q213" r:id="rId82" xr:uid="{73EBBE90-6520-4CD5-A48E-9DAED6B1904C}"/>
    <hyperlink ref="A85" r:id="rId83" xr:uid="{0BBBCC5B-6709-46FE-B54A-78A4538C4E72}"/>
    <hyperlink ref="Q158" r:id="rId84" xr:uid="{E5EA2AEF-EEE2-4B84-B7AF-DC231A0B3C00}"/>
    <hyperlink ref="A160" r:id="rId85" xr:uid="{37C287AA-FF47-4634-9CCA-92BAD09742BC}"/>
    <hyperlink ref="Q88" r:id="rId86" xr:uid="{E02A4F5B-97A6-48E8-8724-EC51703120FA}"/>
    <hyperlink ref="A65" r:id="rId87" xr:uid="{45E0D65D-B4D1-4F13-AA0E-ABC62C5876B8}"/>
    <hyperlink ref="Q89" r:id="rId88" xr:uid="{CF83640A-C315-40AD-8949-8C33F9F50D6E}"/>
    <hyperlink ref="Q95" r:id="rId89" xr:uid="{C6AD57D6-DB8B-4D82-A440-14AD0009BF36}"/>
    <hyperlink ref="P117" r:id="rId90" xr:uid="{0923276E-E8A4-477B-B594-4FE5925D5590}"/>
    <hyperlink ref="A68" r:id="rId91" xr:uid="{1C74E2C3-11B9-4BE8-9CAC-D2FF9037D071}"/>
    <hyperlink ref="Q104" r:id="rId92" xr:uid="{E497ACC1-9448-40D9-B036-A1796A7B37EF}"/>
    <hyperlink ref="Q87" r:id="rId93" xr:uid="{0D7C9A77-6E42-4C58-A23D-C0C97A1FAD75}"/>
    <hyperlink ref="P118" r:id="rId94" xr:uid="{92EC1620-FB29-4C11-BCBF-75E669D2B2F9}"/>
    <hyperlink ref="Q103" r:id="rId95" xr:uid="{8B1302FA-5D3B-457B-88B8-D3E83568FD26}"/>
    <hyperlink ref="Q102" r:id="rId96" xr:uid="{8A6A538D-40FA-475A-B991-F3B1262BA977}"/>
    <hyperlink ref="Q105" r:id="rId97" xr:uid="{49984FF1-523C-4AC1-86A5-43D26B98FE80}"/>
    <hyperlink ref="Q92" r:id="rId98" xr:uid="{D267CB09-86B4-41EE-BB30-CB6CB8C4A494}"/>
    <hyperlink ref="A223" r:id="rId99" xr:uid="{59F35A02-7566-4014-A4F4-F37CAADE852F}"/>
    <hyperlink ref="Q17" r:id="rId100" xr:uid="{475B2707-76DD-494B-ABA7-C4DE11A32A95}"/>
    <hyperlink ref="Q16" r:id="rId101" xr:uid="{60A945F6-2A49-4693-B989-C8A032B841A5}"/>
    <hyperlink ref="Q20" r:id="rId102" xr:uid="{381DF817-E603-4710-8D16-883D64F67C7C}"/>
    <hyperlink ref="Q21" r:id="rId103" xr:uid="{B96D5AD9-EFE8-497C-8848-295CCBA5A660}"/>
    <hyperlink ref="Q23" r:id="rId104" xr:uid="{BFEB1539-6D57-48D4-85AF-B1E47E32F670}"/>
    <hyperlink ref="Q24" r:id="rId105" xr:uid="{AE826F2A-F7D6-4329-A62B-F84A88F970AD}"/>
    <hyperlink ref="Q18" r:id="rId106" xr:uid="{5873C0AA-5894-4B60-86C4-65E5249A8775}"/>
    <hyperlink ref="Q19" r:id="rId107" xr:uid="{9F079F16-039A-4384-97A5-5637BC273D85}"/>
    <hyperlink ref="Q22" r:id="rId108" xr:uid="{F779B3B0-6A8A-4DEB-8734-CB2FE1046F5B}"/>
    <hyperlink ref="Q27" r:id="rId109" xr:uid="{DD9837E4-3889-4992-BD9E-D4C722AD35FD}"/>
    <hyperlink ref="Q25" r:id="rId110" xr:uid="{2C6F3C9F-A2FD-4F19-BC00-09669FF93C7A}"/>
    <hyperlink ref="Q26" r:id="rId111" xr:uid="{76AD2903-BE32-4610-B88D-9F0ADFC4F810}"/>
    <hyperlink ref="Q28" r:id="rId112" xr:uid="{B314DF44-D919-44AC-9858-72FD4C39F414}"/>
    <hyperlink ref="Q29" r:id="rId113" xr:uid="{B934AF52-5F36-49F4-9C86-1A0743A510F6}"/>
    <hyperlink ref="Q30" r:id="rId114" xr:uid="{FB999DEA-8FBC-47EA-8FE5-6CEC8254A2D0}"/>
    <hyperlink ref="Q33" r:id="rId115" xr:uid="{5334F9DE-EDD5-452C-990A-141D5E60E7CA}"/>
    <hyperlink ref="Q32" r:id="rId116" xr:uid="{7625345D-0F8C-4E23-B701-4BA74C44210A}"/>
    <hyperlink ref="Q34" r:id="rId117" xr:uid="{8FC9AECF-AADC-45CB-B1FC-2E6C46BB24AD}"/>
    <hyperlink ref="Q35" r:id="rId118" xr:uid="{D83FA971-E188-4D71-AD9E-92EF18C2D61B}"/>
    <hyperlink ref="Q37" r:id="rId119" xr:uid="{275C3967-EB81-4D54-8911-FC588B6737CA}"/>
    <hyperlink ref="Q36" r:id="rId120" xr:uid="{49A90654-EE4A-46D4-B364-01075B6BADAC}"/>
    <hyperlink ref="Q39" r:id="rId121" xr:uid="{CA084712-F480-4A75-8526-5CA62DC02DAC}"/>
    <hyperlink ref="Q41" r:id="rId122" xr:uid="{20B84AA0-D089-4785-89DD-A07FF026EA99}"/>
    <hyperlink ref="Q42" r:id="rId123" xr:uid="{9C353A0B-D543-42B9-B5A1-D1745CF4123E}"/>
    <hyperlink ref="Q43" r:id="rId124" xr:uid="{15CEFEF8-EF91-4375-B88C-377CC76DAD47}"/>
    <hyperlink ref="Q40" r:id="rId125" xr:uid="{BE4126F4-C8E5-43D9-87D8-48C7D08C86FC}"/>
    <hyperlink ref="Q69" r:id="rId126" xr:uid="{586FBBFF-54FD-44EC-88BF-BB5912CA6F14}"/>
  </hyperlinks>
  <pageMargins left="0.75" right="0.75" top="1" bottom="1" header="0.511811023622047" footer="0.511811023622047"/>
  <pageSetup paperSize="9" orientation="portrait" horizontalDpi="300" verticalDpi="300"/>
  <tableParts count="1">
    <tablePart r:id="rId127"/>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Listas!$A:$A</xm:f>
          </x14:formula1>
          <x14:formula2>
            <xm:f>0</xm:f>
          </x14:formula2>
          <xm:sqref>K1:K1552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3F40-3751-493C-B9E4-30320AF78D09}">
  <dimension ref="B1:O47"/>
  <sheetViews>
    <sheetView workbookViewId="0">
      <selection activeCell="I5" sqref="I5"/>
    </sheetView>
  </sheetViews>
  <sheetFormatPr defaultRowHeight="15"/>
  <cols>
    <col min="1" max="1" width="5.7109375" customWidth="1"/>
    <col min="2" max="2" width="23.7109375" customWidth="1"/>
    <col min="3" max="3" width="4.42578125" bestFit="1" customWidth="1"/>
    <col min="4" max="4" width="5.7109375" customWidth="1"/>
    <col min="5" max="5" width="23" bestFit="1" customWidth="1"/>
    <col min="6" max="6" width="8.5703125" customWidth="1"/>
    <col min="7" max="7" width="5.7109375" customWidth="1"/>
    <col min="8" max="8" width="23" bestFit="1" customWidth="1"/>
    <col min="9" max="9" width="8.7109375" bestFit="1" customWidth="1"/>
    <col min="10" max="10" width="5.7109375" customWidth="1"/>
    <col min="11" max="11" width="24.28515625" bestFit="1" customWidth="1"/>
    <col min="12" max="12" width="6.85546875" bestFit="1" customWidth="1"/>
    <col min="13" max="13" width="5.7109375" customWidth="1"/>
    <col min="14" max="14" width="23" bestFit="1" customWidth="1"/>
    <col min="16" max="16" width="5.7109375" customWidth="1"/>
  </cols>
  <sheetData>
    <row r="1" spans="2:15">
      <c r="B1" s="795" t="s">
        <v>1918</v>
      </c>
      <c r="C1" s="795"/>
      <c r="D1" s="795"/>
      <c r="E1" s="795"/>
      <c r="F1" s="795"/>
      <c r="G1" s="795"/>
      <c r="H1" s="795"/>
      <c r="I1" s="795"/>
      <c r="J1" s="795"/>
      <c r="K1" s="795"/>
      <c r="L1" s="795"/>
      <c r="M1" s="795"/>
      <c r="N1" s="795"/>
      <c r="O1" s="795"/>
    </row>
    <row r="3" spans="2:15">
      <c r="B3" s="203" t="s">
        <v>1919</v>
      </c>
      <c r="C3" s="203">
        <f>COUNTIFS(Backlog!$B:$B,"Mantenimiento Correctivo")</f>
        <v>95</v>
      </c>
      <c r="E3" s="263" t="s">
        <v>1920</v>
      </c>
      <c r="F3" s="203">
        <f>COUNTIFS(Backlog!$B:$B,"Mantenimiento Correctivo",Backlog!$K:$K,"Cerrado")</f>
        <v>48</v>
      </c>
      <c r="H3" s="264" t="s">
        <v>1921</v>
      </c>
      <c r="I3" s="203">
        <f>COUNTIFS(Backlog!$B:$B,"Mantenimiento Correctivo",Backlog!$K:$K,"&lt;&gt;Cerrado")</f>
        <v>47</v>
      </c>
      <c r="K3" s="265" t="s">
        <v>1922</v>
      </c>
      <c r="L3" s="203" cm="1">
        <f t="array" ref="L3">SUM(COUNTIFS(
  Backlog!$B:$B,"Mantenimiento correctivo",
  Backlog!$K:$K,{"Por hacer";"A planificar";"Planificado";"A estimar";"A priorizar"}
))</f>
        <v>39</v>
      </c>
      <c r="N3" s="266" t="s">
        <v>1923</v>
      </c>
      <c r="O3" s="203">
        <f>COUNTIFS(
  Backlog!$B:$B,"Mantenimiento correctivo",
  Backlog!$K:$K,"&lt;&gt;Cerrado",
  Backlog!$K:$K,"&lt;&gt;Por hacer",
  Backlog!$K:$K,"&lt;&gt;A planificar",
  Backlog!$K:$K,"&lt;&gt;Planificado",
  Backlog!$K:$K,"&lt;&gt;A estimar",
  Backlog!$K:$K,"&lt;&gt;A priorizar"
)</f>
        <v>8</v>
      </c>
    </row>
    <row r="4" spans="2:15">
      <c r="B4" s="203" t="s">
        <v>1924</v>
      </c>
      <c r="C4" s="203">
        <f>COUNTIFS(Backlog!$B:$B,"Mantenimiento evolutivo")</f>
        <v>100</v>
      </c>
      <c r="E4" s="263" t="s">
        <v>1925</v>
      </c>
      <c r="F4" s="203">
        <f>COUNTIFS(Backlog!$B:$B,"Mantenimiento evolutivo",Backlog!$K:$K,"Cerrado")</f>
        <v>14</v>
      </c>
      <c r="H4" s="264" t="s">
        <v>1926</v>
      </c>
      <c r="I4" s="203">
        <f>COUNTIFS(Backlog!$B:$B,"Mantenimiento evolutivo",Backlog!$K:$K,"&lt;&gt;Cerrado")</f>
        <v>86</v>
      </c>
      <c r="K4" s="265" t="s">
        <v>1927</v>
      </c>
      <c r="L4" s="203" cm="1">
        <f t="array" ref="L4">SUM(COUNTIFS(
  Backlog!$B:$B,"Mantenimiento evolutivo",
  Backlog!$K:$K,{"Por hacer";"A planificar";"Planificado";"A estimar";"A priorizar"}
))</f>
        <v>71</v>
      </c>
      <c r="N4" s="266" t="s">
        <v>1928</v>
      </c>
      <c r="O4" s="203">
        <f>COUNTIFS(
  Backlog!$B:$B,"Mantenimiento evolutivo",
  Backlog!$K:$K,"&lt;&gt;Cerrado",
  Backlog!$K:$K,"&lt;&gt;Por hacer",
  Backlog!$K:$K,"&lt;&gt;A planificar",
  Backlog!$K:$K,"&lt;&gt;Planificado",
  Backlog!$K:$K,"&lt;&gt;A estimar",
  Backlog!$K:$K,"&lt;&gt;A priorizar"
)</f>
        <v>15</v>
      </c>
    </row>
    <row r="5" spans="2:15">
      <c r="B5" s="203" t="s">
        <v>1929</v>
      </c>
      <c r="C5" s="203">
        <f>COUNTIFS(Backlog!$B:$B,"Mantenimiento preventivo")</f>
        <v>27</v>
      </c>
      <c r="E5" s="263" t="s">
        <v>1930</v>
      </c>
      <c r="F5" s="203">
        <f>COUNTIFS(Backlog!$B:$B,"Mantenimiento preventivo",Backlog!$K:$K,"Cerrado")</f>
        <v>0</v>
      </c>
      <c r="H5" s="264" t="s">
        <v>1931</v>
      </c>
      <c r="I5" s="203">
        <f>COUNTIFS(Backlog!$B:$B,"Mantenimiento preventivo",Backlog!$K:$K,"&lt;&gt;Cerrado")</f>
        <v>27</v>
      </c>
      <c r="K5" s="265" t="s">
        <v>1932</v>
      </c>
      <c r="L5" s="203" cm="1">
        <f t="array" ref="L5">SUM(COUNTIFS(
  Backlog!$B:$B,"Mantenimiento preventivo",
  Backlog!$K:$K,{"Por hacer";"A planificar";"Planificado";"A estimar";"A priorizar"}
))</f>
        <v>24</v>
      </c>
      <c r="N5" s="266" t="s">
        <v>1933</v>
      </c>
      <c r="O5" s="203">
        <f>COUNTIFS(
  Backlog!$B:$B,"Mantenimiento preventivo",
  Backlog!$K:$K,"&lt;&gt;Cerrado",
  Backlog!$K:$K,"&lt;&gt;Por hacer",
  Backlog!$K:$K,"&lt;&gt;A planificar",
  Backlog!$K:$K,"&lt;&gt;Planificado",
  Backlog!$K:$K,"&lt;&gt;A estimar",
  Backlog!$K:$K,"&lt;&gt;A priorizar"
)</f>
        <v>3</v>
      </c>
    </row>
    <row r="6" spans="2:15">
      <c r="B6" s="203" t="s">
        <v>1934</v>
      </c>
      <c r="C6" s="203">
        <f>COUNTIFS(Backlog!$B:$B,"Consulta")</f>
        <v>1</v>
      </c>
      <c r="E6" s="263" t="s">
        <v>1935</v>
      </c>
      <c r="F6" s="203">
        <f>COUNTIFS(Backlog!$B:$B,"Consulta",Backlog!$K:$K,"Cerrado")</f>
        <v>0</v>
      </c>
      <c r="H6" s="264" t="s">
        <v>1936</v>
      </c>
      <c r="I6" s="203">
        <f>COUNTIFS(Backlog!$B:$B,"Consulta",Backlog!$K:$K,"&lt;&gt;Cerrado")</f>
        <v>1</v>
      </c>
      <c r="K6" s="265" t="s">
        <v>1937</v>
      </c>
      <c r="L6" s="203" cm="1">
        <f t="array" ref="L6">SUM(COUNTIFS(
  Backlog!$B:$B,"Consulta",
  Backlog!$K:$K,{"Por hacer";"A planificar";"Planificado";"A estimar";"A priorizar"}
))</f>
        <v>1</v>
      </c>
      <c r="N6" s="266" t="s">
        <v>1933</v>
      </c>
      <c r="O6" s="203">
        <f>COUNTIFS(
  Backlog!$B:$B,"Consulta",
  Backlog!$K:$K,"&lt;&gt;Cerrado",
  Backlog!$K:$K,"&lt;&gt;Por hacer",
  Backlog!$K:$K,"&lt;&gt;A planificar",
  Backlog!$K:$K,"&lt;&gt;Planificado",
  Backlog!$K:$K,"&lt;&gt;A estimar",
  Backlog!$K:$K,"&lt;&gt;A priorizar"
)</f>
        <v>0</v>
      </c>
    </row>
    <row r="8" spans="2:15">
      <c r="B8" s="203" t="s">
        <v>1938</v>
      </c>
      <c r="C8" s="203">
        <f>COUNTIFS(Backlog!$B$3:$B$9912,"&lt;&gt;")</f>
        <v>222</v>
      </c>
      <c r="E8" s="263" t="s">
        <v>1939</v>
      </c>
      <c r="F8" s="203">
        <f>COUNTIFS(Backlog!$B$3:$B$9912,"&lt;&gt;",Backlog!$K$3:$K$9912,"Cerrado")</f>
        <v>62</v>
      </c>
      <c r="H8" s="264" t="s">
        <v>1940</v>
      </c>
      <c r="I8" s="203">
        <f>COUNTIFS(Backlog!$B$3:$B$9912,"&lt;&gt;",Backlog!$K$3:$K$9912,"&lt;&gt;Cerrado")</f>
        <v>160</v>
      </c>
      <c r="K8" s="265" t="s">
        <v>1941</v>
      </c>
      <c r="L8" s="203">
        <f>SUM(
COUNTIFS(Backlog!$B$4:$B$9910,"&lt;&gt;",Backlog!$K$4:$K$9910,"Por hacer"),
COUNTIFS(Backlog!$B$4:$B$9910,"&lt;&gt;",Backlog!$K$4:$K$9910,"A planificar"),
COUNTIFS(Backlog!$B$4:$B$9910,"&lt;&gt;",Backlog!$K$4:$K$9910,"Planificado"),
COUNTIFS(Backlog!$B$4:$B$9910,"&lt;&gt;",Backlog!$K$4:$K$9910,"A estimar"),
COUNTIFS(Backlog!$B$4:$B$9910,"&lt;&gt;",Backlog!$K$4:$K$9910,"A priorizar")
)</f>
        <v>134</v>
      </c>
      <c r="N8" s="266" t="s">
        <v>1942</v>
      </c>
      <c r="O8" s="203">
        <f>COUNTIFS(Backlog!$B$3:$B$9910,"&lt;&gt;",Backlog!$K$3:$K$9910,"&lt;&gt;Cerrado",Backlog!$K$3:$K$9910,"&lt;&gt;Por hacer",
  Backlog!$K$3:$K$9910,"&lt;&gt;A planificar",
  Backlog!$K$3:$K$9910,"&lt;&gt;Planificado",
  Backlog!$K$3:$K$9910,"&lt;&gt;A estimar",
  Backlog!$K$3:$K$9910,"&lt;&gt;A priorizar"
)</f>
        <v>25</v>
      </c>
    </row>
    <row r="10" spans="2:15">
      <c r="B10" s="796" t="s">
        <v>1943</v>
      </c>
      <c r="C10" s="796"/>
      <c r="D10" s="796"/>
      <c r="E10" s="796"/>
      <c r="F10" s="796"/>
      <c r="G10" s="796"/>
      <c r="H10" s="796"/>
      <c r="I10" s="796"/>
      <c r="J10" s="796"/>
      <c r="K10" s="796"/>
      <c r="L10" s="796"/>
      <c r="M10" s="796"/>
      <c r="N10" s="796"/>
      <c r="O10" s="796"/>
    </row>
    <row r="11" spans="2:15" hidden="1"/>
    <row r="13" spans="2:15">
      <c r="B13" s="620" t="s">
        <v>1944</v>
      </c>
      <c r="C13" s="203">
        <f>COUNTIFS(Backlog!$B:$B,"Mantenimiento correctivo",Backlog!$K:$K,"A estimar")</f>
        <v>0</v>
      </c>
      <c r="E13" s="704" t="s">
        <v>1945</v>
      </c>
      <c r="F13" s="203">
        <f>COUNTIFS(Backlog!$B:$B,"Mantenimiento correctivo",Backlog!$K:$K,"A priorizar")</f>
        <v>19</v>
      </c>
      <c r="H13" s="267" t="s">
        <v>1946</v>
      </c>
      <c r="I13" s="203">
        <f>COUNTIFS(Backlog!$B:$B,"Mantenimiento correctivo",Backlog!$K:$K,"A planificar")</f>
        <v>16</v>
      </c>
      <c r="K13" s="255" t="s">
        <v>1947</v>
      </c>
      <c r="L13" s="203">
        <f>COUNTIFS(Backlog!$B:$B,"Mantenimiento correctivo",Backlog!$K:$K,"Planificado")</f>
        <v>4</v>
      </c>
    </row>
    <row r="14" spans="2:15">
      <c r="B14" s="620" t="s">
        <v>1948</v>
      </c>
      <c r="C14" s="203">
        <f>COUNTIFS(Backlog!$B:$B,"Mantenimiento evolutivo",Backlog!$K:$K,"A estimar")</f>
        <v>1</v>
      </c>
      <c r="E14" s="704" t="s">
        <v>1949</v>
      </c>
      <c r="F14" s="203">
        <f>COUNTIFS(Backlog!$B:$B,"Mantenimiento evolutivo",Backlog!$K:$K,"A priorizar")</f>
        <v>54</v>
      </c>
      <c r="H14" s="267" t="s">
        <v>1950</v>
      </c>
      <c r="I14" s="203">
        <f>COUNTIFS(Backlog!$B:$B,"Mantenimiento evolutivo",Backlog!$K:$K,"A planificar")</f>
        <v>16</v>
      </c>
      <c r="K14" s="255" t="s">
        <v>1951</v>
      </c>
      <c r="L14" s="203">
        <f>COUNTIFS(Backlog!$B:$B,"Mantenimiento evolutivo",Backlog!$K:$K,"Planificado")</f>
        <v>0</v>
      </c>
    </row>
    <row r="15" spans="2:15">
      <c r="B15" s="620" t="s">
        <v>1952</v>
      </c>
      <c r="C15" s="203">
        <f>COUNTIFS(Backlog!$B:$B,"Mantenimiento preventivo",Backlog!$K:$K,"A Estimar")</f>
        <v>0</v>
      </c>
      <c r="E15" s="704" t="s">
        <v>1953</v>
      </c>
      <c r="F15" s="203">
        <f>COUNTIFS(Backlog!$B:$B,"Mantenimiento preventivo",Backlog!$K:$K,"A priorizar")</f>
        <v>10</v>
      </c>
      <c r="H15" s="267" t="s">
        <v>1954</v>
      </c>
      <c r="I15" s="203">
        <f>COUNTIFS(Backlog!$B:$B,"Mantenimiento preventivo",Backlog!$K:$K,"A planificar")</f>
        <v>14</v>
      </c>
      <c r="K15" s="255" t="s">
        <v>1955</v>
      </c>
      <c r="L15" s="203">
        <f>COUNTIFS(Backlog!$B:$B,"Mantenimiento preventivo",Backlog!$K:$K,"Planificado")</f>
        <v>0</v>
      </c>
    </row>
    <row r="16" spans="2:15">
      <c r="B16" s="620" t="s">
        <v>1956</v>
      </c>
      <c r="C16" s="203">
        <f>COUNTIFS(Backlog!$B:$B,"Consulta",Backlog!$K:$K,"A Estimar")</f>
        <v>0</v>
      </c>
      <c r="E16" s="704" t="s">
        <v>1957</v>
      </c>
      <c r="F16" s="203">
        <f>COUNTIFS(Backlog!$B:$B,"Consulta",Backlog!$K:$K,"A priorizar")</f>
        <v>1</v>
      </c>
      <c r="H16" s="267" t="s">
        <v>1958</v>
      </c>
      <c r="I16" s="203">
        <f>COUNTIFS(Backlog!$B:$B,"Consulta",Backlog!$K:$K,"A planificar")</f>
        <v>0</v>
      </c>
      <c r="K16" s="255" t="s">
        <v>1959</v>
      </c>
      <c r="L16" s="203">
        <f>COUNTIFS(Backlog!$B:$B,"Consulta",Backlog!$K:$K,"Planificado")</f>
        <v>0</v>
      </c>
    </row>
    <row r="18" spans="2:15">
      <c r="B18" s="620" t="s">
        <v>1960</v>
      </c>
      <c r="C18" s="203">
        <f>COUNTIFS(Backlog!$B$3:$B$9912,"&lt;&gt;",Backlog!$K$3:$K$9912,"A Estimar")</f>
        <v>1</v>
      </c>
      <c r="E18" s="704" t="s">
        <v>1961</v>
      </c>
      <c r="F18" s="203">
        <f>COUNTIFS(Backlog!$B$3:$B$9912,"&lt;&gt;",Backlog!$K$3:$K$9912,"A priorizar")</f>
        <v>84</v>
      </c>
      <c r="H18" s="267" t="s">
        <v>1962</v>
      </c>
      <c r="I18" s="203">
        <f>COUNTIFS(Backlog!$B$3:$B$9912,"&lt;&gt;",Backlog!$K$3:$K$9912,"A planificar")</f>
        <v>46</v>
      </c>
      <c r="K18" s="255" t="s">
        <v>1963</v>
      </c>
      <c r="L18" s="203">
        <f>COUNTIFS(Backlog!$B$3:$B$9912,"&lt;&gt;",Backlog!$K$3:$K$9912,"Planificado")</f>
        <v>4</v>
      </c>
    </row>
    <row r="20" spans="2:15">
      <c r="B20" s="797" t="s">
        <v>1964</v>
      </c>
      <c r="C20" s="797"/>
      <c r="D20" s="797"/>
      <c r="E20" s="797"/>
      <c r="F20" s="797"/>
      <c r="G20" s="797"/>
      <c r="H20" s="797"/>
      <c r="I20" s="797"/>
      <c r="J20" s="797"/>
      <c r="K20" s="797"/>
      <c r="L20" s="797"/>
      <c r="M20" s="797"/>
      <c r="N20" s="797"/>
      <c r="O20" s="797"/>
    </row>
    <row r="22" spans="2:15">
      <c r="B22" s="265" t="s">
        <v>1922</v>
      </c>
      <c r="C22" s="203" cm="1">
        <f t="array" ref="C22">SUM(COUNTIFS(
  Backlog!$B:$B,"Mantenimiento correctivo",
  Backlog!$K:$K,{"Por hacer";"A planificar";"Planificado";"A estimar";"A priorizar"}
))</f>
        <v>39</v>
      </c>
      <c r="E22" s="704" t="s">
        <v>1945</v>
      </c>
      <c r="F22" s="203">
        <f>COUNTIFS(Backlog!$B:$B,"Mantenimiento correctivo",Backlog!$K:$K,"A priorizar")</f>
        <v>19</v>
      </c>
      <c r="H22" s="267" t="s">
        <v>1946</v>
      </c>
      <c r="I22" s="203">
        <f>COUNTIFS(Backlog!$B:$B,"Mantenimiento correctivo",Backlog!$K:$K,"A planificar")</f>
        <v>16</v>
      </c>
      <c r="K22" s="255" t="s">
        <v>1947</v>
      </c>
      <c r="L22" s="203">
        <f>COUNTIFS(Backlog!$B:$B,"Mantenimiento correctivo",Backlog!$K:$K,"Planificado")</f>
        <v>4</v>
      </c>
    </row>
    <row r="23" spans="2:15">
      <c r="B23" s="265" t="s">
        <v>1927</v>
      </c>
      <c r="C23" s="203" cm="1">
        <f t="array" ref="C23">SUM(COUNTIFS(
  Backlog!$B:$B,"Mantenimiento evolutivo",
  Backlog!$K:$K,{"Por hacer";"A planificar";"Planificado";"A estimar";"A priorizar"}
))</f>
        <v>71</v>
      </c>
      <c r="E23" s="704" t="s">
        <v>1949</v>
      </c>
      <c r="F23" s="203">
        <f>COUNTIFS(Backlog!$B:$B,"Mantenimiento evolutivo",Backlog!$K:$K,"A priorizar")</f>
        <v>54</v>
      </c>
      <c r="H23" s="267" t="s">
        <v>1950</v>
      </c>
      <c r="I23" s="203">
        <f>COUNTIFS(Backlog!$B:$B,"Mantenimiento evolutivo",Backlog!$K:$K,"A planificar")</f>
        <v>16</v>
      </c>
      <c r="K23" s="255" t="s">
        <v>1951</v>
      </c>
      <c r="L23" s="203">
        <f>COUNTIFS(Backlog!$B:$B,"Mantenimiento evolutivo",Backlog!$K:$K,"Planificado")</f>
        <v>0</v>
      </c>
    </row>
    <row r="24" spans="2:15">
      <c r="B24" s="265" t="s">
        <v>1932</v>
      </c>
      <c r="C24" s="203" cm="1">
        <f t="array" ref="C24">SUM(COUNTIFS(
  Backlog!$B:$B,"Mantenimiento preventivo",
  Backlog!$K:$K,{"Por hacer";"A planificar";"Planificado";"A estimar";"A priorizar"}
))</f>
        <v>24</v>
      </c>
      <c r="E24" s="704" t="s">
        <v>1953</v>
      </c>
      <c r="F24" s="203">
        <f>COUNTIFS(Backlog!$B:$B,"Mantenimiento preventivo",Backlog!$K:$K,"A priorizar")</f>
        <v>10</v>
      </c>
      <c r="H24" s="267" t="s">
        <v>1954</v>
      </c>
      <c r="I24" s="203">
        <f>COUNTIFS(Backlog!$B:$B,"Mantenimiento preventivo",Backlog!$K:$K,"A planificar")</f>
        <v>14</v>
      </c>
      <c r="K24" s="255" t="s">
        <v>1955</v>
      </c>
      <c r="L24" s="203">
        <f>COUNTIFS(Backlog!$B:$B,"Mantenimiento preventivo",Backlog!$K:$K,"Planificado")</f>
        <v>0</v>
      </c>
    </row>
    <row r="25" spans="2:15">
      <c r="B25" s="265" t="s">
        <v>1937</v>
      </c>
      <c r="C25" s="203" cm="1">
        <f t="array" ref="C25">SUM(COUNTIFS(
  Backlog!$B:$B,"Consulta",
  Backlog!$K:$K,{"Por hacer";"A planificar";"Planificado";"A estimar";"A priorizar"}
))</f>
        <v>1</v>
      </c>
      <c r="E25" s="704" t="s">
        <v>1957</v>
      </c>
      <c r="F25" s="203">
        <f>COUNTIFS(Backlog!$B:$B,"Consulta",Backlog!$K:$K,"A priorizar")</f>
        <v>1</v>
      </c>
      <c r="H25" s="267" t="s">
        <v>1958</v>
      </c>
      <c r="I25" s="203">
        <f>COUNTIFS(Backlog!$B:$B,"Consulta",Backlog!$K:$K,"A planificar")</f>
        <v>0</v>
      </c>
      <c r="K25" s="255" t="s">
        <v>1959</v>
      </c>
      <c r="L25" s="203">
        <f>COUNTIFS(Backlog!$B:$B,"Consulta",Backlog!$K:$K,"Planificado")</f>
        <v>0</v>
      </c>
    </row>
    <row r="27" spans="2:15">
      <c r="B27" s="265" t="s">
        <v>1941</v>
      </c>
      <c r="C27" s="203">
        <f>SUM(
COUNTIFS(Backlog!$B$4:$B$9910,"&lt;&gt;",Backlog!$K$4:$K$9910,"Por hacer"),
COUNTIFS(Backlog!$B$4:$B$9910,"&lt;&gt;",Backlog!$K$4:$K$9910,"A planificar"),
COUNTIFS(Backlog!$B$4:$B$9910,"&lt;&gt;",Backlog!$K$4:$K$9910,"Planificado"),
COUNTIFS(Backlog!$B$4:$B$9910,"&lt;&gt;",Backlog!$K$4:$K$9910,"A estimar"),
COUNTIFS(Backlog!$B$4:$B$9910,"&lt;&gt;",Backlog!$K$4:$K$9910,"A priorizar")
)</f>
        <v>134</v>
      </c>
      <c r="E27" s="704" t="s">
        <v>1961</v>
      </c>
      <c r="F27" s="203">
        <f>COUNTIFS(Backlog!$B$3:$B$9912,"&lt;&gt;",Backlog!$K$3:$K$9912,"A priorizar")</f>
        <v>84</v>
      </c>
      <c r="H27" s="267" t="s">
        <v>1962</v>
      </c>
      <c r="I27" s="203">
        <f>COUNTIFS(Backlog!$B$3:$B$9912,"&lt;&gt;",Backlog!$K$3:$K$9912,"A planificar")</f>
        <v>46</v>
      </c>
      <c r="K27" s="255" t="s">
        <v>1963</v>
      </c>
      <c r="L27" s="203">
        <f>COUNTIFS(Backlog!$B$3:$B$9912,"&lt;&gt;",Backlog!$K$3:$K$9912,"Planificado")</f>
        <v>4</v>
      </c>
    </row>
    <row r="32" spans="2:15">
      <c r="E32" s="268" t="s">
        <v>1965</v>
      </c>
      <c r="F32" s="203" t="e">
        <f>COUNTIFS(Backlog!#REF!,"Error",Backlog!$K:$K,"En análisis Técnico")</f>
        <v>#REF!</v>
      </c>
      <c r="H32" s="268" t="s">
        <v>1966</v>
      </c>
      <c r="I32" s="203" t="e">
        <f>COUNTIFS(Backlog!#REF!,"Error",Backlog!$K:$K,"En análisis funcional")</f>
        <v>#REF!</v>
      </c>
      <c r="K32" s="268" t="s">
        <v>1967</v>
      </c>
      <c r="L32" s="203" t="e">
        <f>COUNTIFS(Backlog!#REF!,"Error",Backlog!$K:$K,"En desarrollo")</f>
        <v>#REF!</v>
      </c>
      <c r="N32" s="269" t="s">
        <v>1968</v>
      </c>
      <c r="O32" s="203" t="e">
        <f>COUNTIFS(Backlog!#REF!,"Error",Backlog!$K:$K,"En Testing")</f>
        <v>#REF!</v>
      </c>
    </row>
    <row r="33" spans="5:15">
      <c r="E33" s="268" t="s">
        <v>1969</v>
      </c>
      <c r="F33" s="203" t="e">
        <f>COUNTIFS(Backlog!#REF!,"Requerimiento",Backlog!$K:$K,"En análisis Técnico")</f>
        <v>#REF!</v>
      </c>
      <c r="H33" s="268" t="s">
        <v>1970</v>
      </c>
      <c r="I33" s="203" t="e">
        <f>COUNTIFS(Backlog!#REF!,"Requerimiento",Backlog!$K:$K,"En análisis funcional")</f>
        <v>#REF!</v>
      </c>
      <c r="K33" s="268" t="s">
        <v>1971</v>
      </c>
      <c r="L33" s="203" t="e">
        <f>COUNTIFS(Backlog!#REF!,"Requerimiento",Backlog!$K:$K,"En desarrollo")</f>
        <v>#REF!</v>
      </c>
      <c r="N33" s="269" t="s">
        <v>1972</v>
      </c>
      <c r="O33" s="203" t="e">
        <f>COUNTIFS(Backlog!#REF!,"Requerimiento",Backlog!$K:$K,"En Testing")</f>
        <v>#REF!</v>
      </c>
    </row>
    <row r="34" spans="5:15">
      <c r="E34" s="268" t="s">
        <v>1973</v>
      </c>
      <c r="F34" s="203" t="e">
        <f>COUNTIFS(Backlog!#REF!,"Req. scripts",Backlog!$K:$K,"En análisis Técnico")</f>
        <v>#REF!</v>
      </c>
      <c r="H34" s="268" t="s">
        <v>1974</v>
      </c>
      <c r="I34" s="203" t="e">
        <f>COUNTIFS(Backlog!#REF!,"Req. scripts",Backlog!$K:$K,"En análisis funcional")</f>
        <v>#REF!</v>
      </c>
      <c r="K34" s="268" t="s">
        <v>1975</v>
      </c>
      <c r="L34" s="203" t="e">
        <f>COUNTIFS(Backlog!#REF!,"Req. scripts",Backlog!$K:$K,"En desarrollo")</f>
        <v>#REF!</v>
      </c>
      <c r="N34" s="269" t="s">
        <v>1976</v>
      </c>
      <c r="O34" s="203" t="e">
        <f>COUNTIFS(Backlog!#REF!,"Req. scripts",Backlog!$K:$K,"En Testing")</f>
        <v>#REF!</v>
      </c>
    </row>
    <row r="35" spans="5:15">
      <c r="E35" s="268" t="s">
        <v>1977</v>
      </c>
      <c r="F35" s="203" t="e">
        <f>COUNTIFS(Backlog!#REF!,"Mantenimiento",Backlog!$K:$K,"En análisis Técnico")</f>
        <v>#REF!</v>
      </c>
      <c r="H35" s="268" t="s">
        <v>1978</v>
      </c>
      <c r="I35" s="203" t="e">
        <f>COUNTIFS(Backlog!#REF!,"Mantenimiento",Backlog!$K:$K,"En análisis funcional")</f>
        <v>#REF!</v>
      </c>
      <c r="K35" s="268" t="s">
        <v>1979</v>
      </c>
      <c r="L35" s="203" t="e">
        <f>COUNTIFS(Backlog!#REF!,"Mantenimiento",Backlog!$K:$K,"En desarrollo")</f>
        <v>#REF!</v>
      </c>
      <c r="N35" s="269" t="s">
        <v>1980</v>
      </c>
      <c r="O35" s="203" t="e">
        <f>COUNTIFS(Backlog!#REF!,"Mantenimiento",Backlog!$K:$K,"En Testing")</f>
        <v>#REF!</v>
      </c>
    </row>
    <row r="36" spans="5:15">
      <c r="E36" s="268" t="s">
        <v>1981</v>
      </c>
      <c r="F36" s="203" t="e">
        <f>COUNTIFS(Backlog!#REF!,"DevOps",Backlog!$K:$K,"En análisis Técnico")</f>
        <v>#REF!</v>
      </c>
      <c r="H36" s="268" t="s">
        <v>1982</v>
      </c>
      <c r="I36" s="203" t="e">
        <f>COUNTIFS(Backlog!#REF!,"DevOps",Backlog!$K:$K,"En análisis funcional")</f>
        <v>#REF!</v>
      </c>
      <c r="K36" s="268" t="s">
        <v>1983</v>
      </c>
      <c r="L36" s="203" t="e">
        <f>COUNTIFS(Backlog!#REF!,"DevOps",Backlog!$K:$K,"En desarrollo")</f>
        <v>#REF!</v>
      </c>
      <c r="N36" s="269" t="s">
        <v>1984</v>
      </c>
      <c r="O36" s="203" t="e">
        <f>COUNTIFS(Backlog!#REF!,"DevOps",Backlog!$K:$K,"En Testing")</f>
        <v>#REF!</v>
      </c>
    </row>
    <row r="38" spans="5:15">
      <c r="E38" s="268" t="s">
        <v>1985</v>
      </c>
      <c r="F38" s="203" t="e">
        <f>COUNTIFS(Backlog!#REF!,"&lt;&gt;",Backlog!$K$4:$K$9910,"En análisis Técnico")</f>
        <v>#REF!</v>
      </c>
      <c r="H38" s="268" t="s">
        <v>1986</v>
      </c>
      <c r="I38" s="203" t="e">
        <f>COUNTIFS(Backlog!#REF!,"&lt;&gt;",Backlog!$K$4:$K$9910,"En análisis funcional")</f>
        <v>#REF!</v>
      </c>
      <c r="K38" s="268" t="s">
        <v>1987</v>
      </c>
      <c r="L38" s="203" t="e">
        <f>COUNTIFS(Backlog!#REF!,"&lt;&gt;",Backlog!$K$4:$K$9910,"En desarrollo")</f>
        <v>#REF!</v>
      </c>
      <c r="N38" s="269" t="s">
        <v>1988</v>
      </c>
      <c r="O38" s="203" t="e">
        <f>COUNTIFS(Backlog!#REF!,"&lt;&gt;",Backlog!$K$4:$K$9910,"En Testing")</f>
        <v>#REF!</v>
      </c>
    </row>
    <row r="41" spans="5:15">
      <c r="E41" s="270" t="s">
        <v>1989</v>
      </c>
      <c r="F41" s="203" t="e">
        <f>COUNTIFS(Backlog!#REF!,"Error",Backlog!$K:$K,"Validar estado")</f>
        <v>#REF!</v>
      </c>
      <c r="H41" s="270" t="s">
        <v>1990</v>
      </c>
      <c r="I41" s="203" t="e">
        <f>COUNTIFS(Backlog!#REF!,"Error",Backlog!$K:$K,"UAT")</f>
        <v>#REF!</v>
      </c>
      <c r="K41" s="270" t="s">
        <v>1991</v>
      </c>
      <c r="L41" s="203" t="e">
        <f>COUNTIFS(Backlog!#REF!,"Error",Backlog!$K:$K,"Para implementar")</f>
        <v>#REF!</v>
      </c>
      <c r="N41" s="270" t="s">
        <v>1992</v>
      </c>
      <c r="O41" s="203" t="e">
        <f>COUNTIFS(Backlog!#REF!,"Error",Backlog!$K:$K,"Implementado")</f>
        <v>#REF!</v>
      </c>
    </row>
    <row r="42" spans="5:15">
      <c r="E42" s="270" t="s">
        <v>1993</v>
      </c>
      <c r="F42" s="203" t="e">
        <f>COUNTIFS(Backlog!#REF!,"Requerimiento",Backlog!$K:$K,"Validar estado")</f>
        <v>#REF!</v>
      </c>
      <c r="H42" s="270" t="s">
        <v>1994</v>
      </c>
      <c r="I42" s="203" t="e">
        <f>COUNTIFS(Backlog!#REF!,"Requerimiento",Backlog!$K:$K,"UAT")</f>
        <v>#REF!</v>
      </c>
      <c r="K42" s="270" t="s">
        <v>1995</v>
      </c>
      <c r="L42" s="203" t="e">
        <f>COUNTIFS(Backlog!#REF!,"Requerimiento",Backlog!$K:$K,"Para implementar")</f>
        <v>#REF!</v>
      </c>
      <c r="N42" s="270" t="s">
        <v>1996</v>
      </c>
      <c r="O42" s="203" t="e">
        <f>COUNTIFS(Backlog!#REF!,"Requerimiento",Backlog!$K:$K,"Implementado")</f>
        <v>#REF!</v>
      </c>
    </row>
    <row r="43" spans="5:15">
      <c r="E43" s="270" t="s">
        <v>1997</v>
      </c>
      <c r="F43" s="203" t="e">
        <f>COUNTIFS(Backlog!#REF!,"Req. scripts",Backlog!$K:$K,"Validar estado")</f>
        <v>#REF!</v>
      </c>
      <c r="H43" s="270" t="s">
        <v>1998</v>
      </c>
      <c r="I43" s="203" t="e">
        <f>COUNTIFS(Backlog!#REF!,"Req. scripts",Backlog!$K:$K,"UAT")</f>
        <v>#REF!</v>
      </c>
      <c r="K43" s="270" t="s">
        <v>1999</v>
      </c>
      <c r="L43" s="203" t="e">
        <f>COUNTIFS(Backlog!#REF!,"Req. scripts",Backlog!$K:$K,"Para implementar")</f>
        <v>#REF!</v>
      </c>
      <c r="N43" s="270" t="s">
        <v>2000</v>
      </c>
      <c r="O43" s="203" t="e">
        <f>COUNTIFS(Backlog!#REF!,"Req. scripts",Backlog!$K:$K,"Implementado")</f>
        <v>#REF!</v>
      </c>
    </row>
    <row r="44" spans="5:15">
      <c r="E44" s="270" t="s">
        <v>2001</v>
      </c>
      <c r="F44" s="203" t="e">
        <f>COUNTIFS(Backlog!#REF!,"Mantenimiento",Backlog!$K:$K,"Validar estado")</f>
        <v>#REF!</v>
      </c>
      <c r="H44" s="270" t="s">
        <v>2002</v>
      </c>
      <c r="I44" s="203" t="e">
        <f>COUNTIFS(Backlog!#REF!,"Mantenimiento",Backlog!$K:$K,"UAT")</f>
        <v>#REF!</v>
      </c>
      <c r="K44" s="270" t="s">
        <v>2003</v>
      </c>
      <c r="L44" s="203" t="e">
        <f>COUNTIFS(Backlog!#REF!,"Mantenimiento",Backlog!$K:$K,"Para implementar")</f>
        <v>#REF!</v>
      </c>
      <c r="N44" s="270" t="s">
        <v>2004</v>
      </c>
      <c r="O44" s="203" t="e">
        <f>COUNTIFS(Backlog!#REF!,"Mantenimiento",Backlog!$K:$K,"Implementado")</f>
        <v>#REF!</v>
      </c>
    </row>
    <row r="45" spans="5:15">
      <c r="E45" s="270" t="s">
        <v>2005</v>
      </c>
      <c r="F45" s="203" t="e">
        <f>COUNTIFS(Backlog!#REF!,"DevOps",Backlog!$K:$K,"Implementado")</f>
        <v>#REF!</v>
      </c>
      <c r="H45" s="270" t="s">
        <v>2006</v>
      </c>
      <c r="I45" s="203" t="e">
        <f>COUNTIFS(Backlog!#REF!,"DevOps",Backlog!$K:$K,"UAT")</f>
        <v>#REF!</v>
      </c>
      <c r="K45" s="270" t="s">
        <v>2007</v>
      </c>
      <c r="L45" s="203" t="e">
        <f>COUNTIFS(Backlog!#REF!,"DevOps",Backlog!$K:$K,"Para implementar")</f>
        <v>#REF!</v>
      </c>
      <c r="N45" s="270" t="s">
        <v>2008</v>
      </c>
      <c r="O45" s="203" t="e">
        <f>COUNTIFS(Backlog!#REF!,"DevOps",Backlog!$K:$K,"Implementado")</f>
        <v>#REF!</v>
      </c>
    </row>
    <row r="47" spans="5:15">
      <c r="E47" s="270" t="s">
        <v>2009</v>
      </c>
      <c r="F47" s="203" t="e">
        <f>COUNTIFS(Backlog!#REF!,"&lt;&gt;",Backlog!$K$4:$K$9910,"Validar estado")</f>
        <v>#REF!</v>
      </c>
      <c r="H47" s="270" t="s">
        <v>2010</v>
      </c>
      <c r="I47" s="203" t="e">
        <f>COUNTIFS(Backlog!#REF!,"&lt;&gt;",Backlog!$K$4:$K$9910,"UAT")</f>
        <v>#REF!</v>
      </c>
      <c r="K47" s="270" t="s">
        <v>2011</v>
      </c>
      <c r="L47" s="203" t="e">
        <f>COUNTIFS(Backlog!#REF!,"&lt;&gt;",Backlog!$K$4:$K$9910,"Para implementar")</f>
        <v>#REF!</v>
      </c>
      <c r="N47" s="270" t="s">
        <v>2012</v>
      </c>
      <c r="O47" s="203" t="e">
        <f>COUNTIFS(Backlog!#REF!,"&lt;&gt;",Backlog!$K$4:$K$9910,"Implementado")</f>
        <v>#REF!</v>
      </c>
    </row>
  </sheetData>
  <mergeCells count="3">
    <mergeCell ref="B1:O1"/>
    <mergeCell ref="B10:O10"/>
    <mergeCell ref="B20:O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9145-3474-480A-A812-B2CD7A8E08A3}">
  <dimension ref="C1:M8"/>
  <sheetViews>
    <sheetView workbookViewId="0">
      <selection activeCell="L8" sqref="L8"/>
    </sheetView>
  </sheetViews>
  <sheetFormatPr defaultRowHeight="15"/>
  <cols>
    <col min="3" max="3" width="23" bestFit="1" customWidth="1"/>
    <col min="4" max="4" width="4.42578125" bestFit="1" customWidth="1"/>
    <col min="6" max="6" width="20.5703125" bestFit="1" customWidth="1"/>
    <col min="7" max="7" width="5.42578125" bestFit="1" customWidth="1"/>
    <col min="9" max="9" width="20.5703125" bestFit="1" customWidth="1"/>
    <col min="12" max="12" width="20.5703125" bestFit="1" customWidth="1"/>
  </cols>
  <sheetData>
    <row r="1" spans="3:13">
      <c r="C1" s="389" t="s">
        <v>2013</v>
      </c>
      <c r="D1" s="389"/>
      <c r="F1" s="798" t="s">
        <v>2014</v>
      </c>
      <c r="G1" s="798"/>
      <c r="I1" s="798" t="s">
        <v>2015</v>
      </c>
      <c r="J1" s="798"/>
      <c r="L1" s="798" t="s">
        <v>2016</v>
      </c>
      <c r="M1" s="798"/>
    </row>
    <row r="3" spans="3:13">
      <c r="C3" s="390" t="s">
        <v>2017</v>
      </c>
      <c r="D3" s="391">
        <f>COUNTIFS(Backlog!$B:$B,"Mantenimiento correctivo",Backlog!$K:$K,"&lt;&gt;Cerrado")</f>
        <v>47</v>
      </c>
      <c r="F3" s="320" t="s">
        <v>2018</v>
      </c>
      <c r="G3" s="391">
        <f>SUMIFS(Backlog!$S:$S,Backlog!$B:$B,"Mantenimiento correctivo",Backlog!$K:$K,"&lt;&gt;Cerrado")</f>
        <v>1099</v>
      </c>
      <c r="I3" s="268" t="s">
        <v>1437</v>
      </c>
      <c r="J3" s="391">
        <v>160</v>
      </c>
      <c r="L3" s="390" t="s">
        <v>2017</v>
      </c>
      <c r="M3" s="391">
        <f>+G3/$J$8</f>
        <v>4.5791666666666666</v>
      </c>
    </row>
    <row r="4" spans="3:13">
      <c r="C4" s="390" t="s">
        <v>2019</v>
      </c>
      <c r="D4" s="391">
        <f>COUNTIFS(Backlog!$B:$B,"Mantenimiento evolutivo",Backlog!$K:$K,"&lt;&gt;Cerrado")</f>
        <v>86</v>
      </c>
      <c r="F4" s="320" t="s">
        <v>2020</v>
      </c>
      <c r="G4" s="391">
        <f>SUMIFS(Backlog!$S:$S,Backlog!$B:$B,"Mantenimiento evolutivo",Backlog!$K:$K,"&lt;&gt;Cerrado")</f>
        <v>4487</v>
      </c>
      <c r="I4" s="268" t="s">
        <v>1459</v>
      </c>
      <c r="J4" s="391">
        <v>80</v>
      </c>
      <c r="L4" s="390" t="s">
        <v>2019</v>
      </c>
      <c r="M4" s="391">
        <f>+G4/$J$8</f>
        <v>18.695833333333333</v>
      </c>
    </row>
    <row r="5" spans="3:13">
      <c r="C5" s="390" t="s">
        <v>2021</v>
      </c>
      <c r="D5" s="391">
        <f>COUNTIFS(Backlog!$B:$B,"Mantenimiento preventivo",Backlog!$K:$K,"&lt;&gt;Cerrado")</f>
        <v>27</v>
      </c>
      <c r="F5" s="320" t="s">
        <v>2022</v>
      </c>
      <c r="G5" s="391">
        <f>SUMIFS(Backlog!$S:$S,Backlog!$B:$B,"Mantenimiento preventivo",Backlog!$K:$K,"&lt;&gt;Cerrado")</f>
        <v>64</v>
      </c>
      <c r="I5" s="268" t="s">
        <v>2023</v>
      </c>
      <c r="J5" s="391">
        <v>0</v>
      </c>
      <c r="L5" s="390" t="s">
        <v>2021</v>
      </c>
      <c r="M5" s="391">
        <f>+G5/$J$8</f>
        <v>0.26666666666666666</v>
      </c>
    </row>
    <row r="6" spans="3:13">
      <c r="C6" s="390" t="s">
        <v>2024</v>
      </c>
      <c r="D6" s="391">
        <f>COUNTIFS(Backlog!$B:$B,"Consulta",Backlog!$K:$K,"&lt;&gt;Cerrado")</f>
        <v>1</v>
      </c>
      <c r="F6" s="320" t="s">
        <v>2025</v>
      </c>
      <c r="G6" s="391">
        <f>SUMIFS(Backlog!$S:$S,Backlog!$B:$B,"Consulta",Backlog!$K:$K,"&lt;&gt;Cerrado")</f>
        <v>0</v>
      </c>
      <c r="I6" s="268"/>
      <c r="J6" s="391">
        <f>SUMIFS(Backlog!$S:$S,Backlog!$B:$B,"Consulta",Backlog!$K:$K,"&lt;&gt;Cerrado")</f>
        <v>0</v>
      </c>
      <c r="L6" s="390" t="s">
        <v>2024</v>
      </c>
      <c r="M6" s="391">
        <f>+G6/$J$8</f>
        <v>0</v>
      </c>
    </row>
    <row r="7" spans="3:13">
      <c r="D7" s="392"/>
      <c r="G7" s="392"/>
      <c r="J7" s="392"/>
      <c r="M7" s="392"/>
    </row>
    <row r="8" spans="3:13">
      <c r="C8" s="390" t="s">
        <v>1940</v>
      </c>
      <c r="D8" s="391">
        <f>COUNTIFS(Backlog!$B$4:$B$9910,"&lt;&gt;",Backlog!$K$4:$K$9910,"&lt;&gt;Cerrado")</f>
        <v>159</v>
      </c>
      <c r="F8" s="320" t="s">
        <v>2026</v>
      </c>
      <c r="G8" s="391">
        <f>SUMIFS(Backlog!$S$4:$S$9910,Backlog!$B$4:$B$9910,"&lt;&gt;",Backlog!$K$4:$K$9910,"&lt;&gt;Cerrado")</f>
        <v>5650</v>
      </c>
      <c r="I8" s="268" t="s">
        <v>2026</v>
      </c>
      <c r="J8" s="391">
        <f>SUM(J3:J6)</f>
        <v>240</v>
      </c>
      <c r="L8" s="390" t="s">
        <v>1940</v>
      </c>
      <c r="M8" s="391">
        <f>SUM(M3:M6)</f>
        <v>23.541666666666664</v>
      </c>
    </row>
  </sheetData>
  <mergeCells count="3">
    <mergeCell ref="F1:G1"/>
    <mergeCell ref="I1:J1"/>
    <mergeCell ref="L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8EE14-86C9-4029-8ECB-E86B7EA2A8C2}">
  <dimension ref="A1:R18"/>
  <sheetViews>
    <sheetView workbookViewId="0">
      <selection activeCell="C5" sqref="C5"/>
    </sheetView>
  </sheetViews>
  <sheetFormatPr defaultRowHeight="15"/>
  <cols>
    <col min="2" max="2" width="19.42578125" bestFit="1" customWidth="1"/>
    <col min="3" max="3" width="8.7109375" bestFit="1" customWidth="1"/>
    <col min="5" max="5" width="19.42578125" bestFit="1" customWidth="1"/>
    <col min="8" max="8" width="15.42578125" bestFit="1" customWidth="1"/>
  </cols>
  <sheetData>
    <row r="1" spans="1:18">
      <c r="A1" s="799" t="s">
        <v>2027</v>
      </c>
      <c r="B1" s="799"/>
      <c r="C1" s="799"/>
      <c r="D1" s="799"/>
      <c r="E1" s="799"/>
      <c r="F1" s="799"/>
      <c r="G1" s="799"/>
      <c r="H1" s="799"/>
      <c r="I1" s="799"/>
      <c r="J1" s="799"/>
      <c r="K1" s="799"/>
      <c r="L1" s="799"/>
      <c r="M1" s="799"/>
      <c r="N1" s="799"/>
      <c r="O1" s="799"/>
      <c r="P1" s="799"/>
      <c r="Q1" s="799"/>
      <c r="R1" s="799"/>
    </row>
    <row r="4" spans="1:18">
      <c r="B4" s="203" t="s">
        <v>1938</v>
      </c>
      <c r="C4" s="203">
        <f>COUNTIF(Backlog[Estado],"&lt;&gt;")</f>
        <v>223</v>
      </c>
    </row>
    <row r="5" spans="1:18">
      <c r="B5" s="291" t="s">
        <v>2028</v>
      </c>
      <c r="C5" s="291">
        <f>COUNTIF(Backlog[Estado],"Cerrado")</f>
        <v>62</v>
      </c>
    </row>
    <row r="6" spans="1:18">
      <c r="B6" s="203" t="s">
        <v>2029</v>
      </c>
      <c r="C6" s="203">
        <f>COUNTIFS(Backlog[Estado],"&lt;&gt;Cerrado",Backlog[Estado],"&lt;&gt;")</f>
        <v>161</v>
      </c>
    </row>
    <row r="9" spans="1:18">
      <c r="B9" s="203" t="s">
        <v>2030</v>
      </c>
      <c r="C9" s="203">
        <f ca="1">COUNTIF(Backlog[En_plazo],"En plazo")</f>
        <v>0</v>
      </c>
    </row>
    <row r="10" spans="1:18">
      <c r="B10" s="203" t="s">
        <v>2031</v>
      </c>
      <c r="C10" s="203">
        <f ca="1">COUNTIF(Backlog[En_plazo],"Fuera de plazo")</f>
        <v>0</v>
      </c>
    </row>
    <row r="11" spans="1:18">
      <c r="B11" s="203" t="s">
        <v>2032</v>
      </c>
      <c r="C11" s="290">
        <f ca="1">IFERROR(C9/(C9+C10),0)</f>
        <v>0</v>
      </c>
    </row>
    <row r="14" spans="1:18">
      <c r="B14" s="203" t="s">
        <v>3</v>
      </c>
      <c r="C14" s="203">
        <f>COUNTIF(Backlog[Fase],"Por hacer")</f>
        <v>125</v>
      </c>
    </row>
    <row r="15" spans="1:18">
      <c r="B15" s="203" t="s">
        <v>144</v>
      </c>
      <c r="C15" s="203">
        <f>COUNTIF(Backlog[Fase],"En curso")</f>
        <v>10</v>
      </c>
    </row>
    <row r="16" spans="1:18">
      <c r="B16" s="203" t="s">
        <v>1108</v>
      </c>
      <c r="C16" s="203">
        <f>COUNTIF(Backlog[Fase],"Implementación")</f>
        <v>9</v>
      </c>
    </row>
    <row r="17" spans="2:3">
      <c r="B17" s="291" t="s">
        <v>16</v>
      </c>
      <c r="C17" s="291">
        <f>COUNTIF(Backlog[Fase],"Cerrado")</f>
        <v>57</v>
      </c>
    </row>
    <row r="18" spans="2:3">
      <c r="B18" s="203" t="s">
        <v>1109</v>
      </c>
      <c r="C18" s="203">
        <f>SUM(C14:C17)</f>
        <v>201</v>
      </c>
    </row>
  </sheetData>
  <mergeCells count="1">
    <mergeCell ref="A1:R1"/>
  </mergeCells>
  <conditionalFormatting sqref="C11">
    <cfRule type="cellIs" dxfId="16" priority="3" operator="lessThan">
      <formula>0.7</formula>
    </cfRule>
  </conditionalFormatting>
  <conditionalFormatting sqref="C11">
    <cfRule type="cellIs" dxfId="15" priority="2" operator="greaterThanOrEqual">
      <formula>0.9%</formula>
    </cfRule>
  </conditionalFormatting>
  <conditionalFormatting sqref="C11">
    <cfRule type="cellIs" dxfId="14" priority="1" operator="between">
      <formula>0.7%</formula>
      <formula>0.9%</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00A1-C153-408B-BDCE-86C4E324F7F0}">
  <dimension ref="A1:O16"/>
  <sheetViews>
    <sheetView workbookViewId="0">
      <selection activeCell="B6" sqref="B2:B6"/>
    </sheetView>
  </sheetViews>
  <sheetFormatPr defaultRowHeight="15"/>
  <cols>
    <col min="1" max="1" width="19.28515625" bestFit="1" customWidth="1"/>
    <col min="2" max="2" width="15.42578125" bestFit="1" customWidth="1"/>
    <col min="3" max="3" width="5.7109375" customWidth="1"/>
    <col min="4" max="4" width="11.7109375" bestFit="1" customWidth="1"/>
    <col min="5" max="5" width="11.28515625" bestFit="1" customWidth="1"/>
    <col min="6" max="6" width="5.7109375" customWidth="1"/>
    <col min="7" max="7" width="14.85546875" bestFit="1" customWidth="1"/>
    <col min="8" max="8" width="13.5703125" bestFit="1" customWidth="1"/>
    <col min="9" max="9" width="5.7109375" customWidth="1"/>
    <col min="10" max="10" width="20" bestFit="1" customWidth="1"/>
    <col min="11" max="11" width="10.140625" bestFit="1" customWidth="1"/>
    <col min="12" max="12" width="16" bestFit="1" customWidth="1"/>
    <col min="13" max="13" width="5.7109375" customWidth="1"/>
    <col min="14" max="14" width="17.85546875" bestFit="1" customWidth="1"/>
    <col min="16" max="16" width="5.7109375" customWidth="1"/>
  </cols>
  <sheetData>
    <row r="1" spans="1:15">
      <c r="A1" t="s">
        <v>0</v>
      </c>
      <c r="B1" t="s">
        <v>1113</v>
      </c>
      <c r="D1" t="s">
        <v>45</v>
      </c>
      <c r="E1" t="s">
        <v>2033</v>
      </c>
      <c r="G1" t="s">
        <v>34</v>
      </c>
      <c r="H1" t="s">
        <v>2034</v>
      </c>
      <c r="J1" t="s">
        <v>2035</v>
      </c>
      <c r="K1" t="s">
        <v>2036</v>
      </c>
      <c r="L1" t="s">
        <v>2037</v>
      </c>
      <c r="N1" t="s">
        <v>2038</v>
      </c>
      <c r="O1" t="s">
        <v>2039</v>
      </c>
    </row>
    <row r="2" spans="1:15">
      <c r="A2" t="s">
        <v>3</v>
      </c>
      <c r="B2" t="s">
        <v>3</v>
      </c>
      <c r="D2" t="s">
        <v>2040</v>
      </c>
      <c r="E2">
        <v>1</v>
      </c>
      <c r="G2" t="s">
        <v>171</v>
      </c>
      <c r="H2" t="s">
        <v>171</v>
      </c>
      <c r="J2" t="s">
        <v>2041</v>
      </c>
      <c r="K2" t="s">
        <v>55</v>
      </c>
      <c r="L2" t="s">
        <v>235</v>
      </c>
      <c r="N2" t="s">
        <v>2042</v>
      </c>
    </row>
    <row r="3" spans="1:15">
      <c r="A3" t="s">
        <v>26</v>
      </c>
      <c r="B3" t="s">
        <v>3</v>
      </c>
      <c r="D3" t="s">
        <v>2043</v>
      </c>
      <c r="E3">
        <v>2</v>
      </c>
      <c r="G3" t="s">
        <v>2044</v>
      </c>
      <c r="H3" t="s">
        <v>2045</v>
      </c>
      <c r="J3" t="s">
        <v>593</v>
      </c>
      <c r="K3" t="s">
        <v>2045</v>
      </c>
      <c r="L3" t="s">
        <v>2046</v>
      </c>
      <c r="N3" t="s">
        <v>2047</v>
      </c>
    </row>
    <row r="4" spans="1:15">
      <c r="A4" t="s">
        <v>28</v>
      </c>
      <c r="B4" t="s">
        <v>3</v>
      </c>
      <c r="D4" t="s">
        <v>1127</v>
      </c>
      <c r="E4">
        <v>7</v>
      </c>
      <c r="G4" t="s">
        <v>1125</v>
      </c>
      <c r="H4" t="s">
        <v>2048</v>
      </c>
      <c r="J4" t="s">
        <v>2049</v>
      </c>
      <c r="K4" t="s">
        <v>297</v>
      </c>
      <c r="L4" t="s">
        <v>1163</v>
      </c>
    </row>
    <row r="5" spans="1:15">
      <c r="A5" t="s">
        <v>30</v>
      </c>
      <c r="B5" t="s">
        <v>3</v>
      </c>
      <c r="D5" t="s">
        <v>1393</v>
      </c>
      <c r="E5">
        <v>15</v>
      </c>
      <c r="G5" t="s">
        <v>2050</v>
      </c>
      <c r="H5" t="s">
        <v>2048</v>
      </c>
      <c r="J5" t="s">
        <v>202</v>
      </c>
      <c r="K5" t="s">
        <v>55</v>
      </c>
      <c r="L5" t="s">
        <v>2051</v>
      </c>
    </row>
    <row r="6" spans="1:15">
      <c r="A6" t="s">
        <v>32</v>
      </c>
      <c r="B6" t="s">
        <v>3</v>
      </c>
      <c r="D6" t="s">
        <v>1503</v>
      </c>
      <c r="E6">
        <v>30</v>
      </c>
      <c r="J6" t="s">
        <v>916</v>
      </c>
      <c r="K6" t="s">
        <v>55</v>
      </c>
      <c r="L6" t="s">
        <v>2052</v>
      </c>
    </row>
    <row r="7" spans="1:15">
      <c r="A7" t="s">
        <v>5</v>
      </c>
      <c r="B7" t="s">
        <v>144</v>
      </c>
      <c r="J7" t="s">
        <v>859</v>
      </c>
      <c r="K7" t="s">
        <v>2053</v>
      </c>
      <c r="L7" t="s">
        <v>2054</v>
      </c>
    </row>
    <row r="8" spans="1:15">
      <c r="A8" t="s">
        <v>7</v>
      </c>
      <c r="B8" t="s">
        <v>144</v>
      </c>
    </row>
    <row r="9" spans="1:15">
      <c r="A9" t="s">
        <v>8</v>
      </c>
      <c r="B9" t="s">
        <v>144</v>
      </c>
    </row>
    <row r="10" spans="1:15">
      <c r="A10" t="s">
        <v>2055</v>
      </c>
      <c r="B10" t="s">
        <v>144</v>
      </c>
    </row>
    <row r="11" spans="1:15">
      <c r="A11" t="s">
        <v>12</v>
      </c>
      <c r="B11" t="s">
        <v>144</v>
      </c>
    </row>
    <row r="12" spans="1:15">
      <c r="A12" t="s">
        <v>14</v>
      </c>
      <c r="B12" t="s">
        <v>1108</v>
      </c>
    </row>
    <row r="13" spans="1:15">
      <c r="A13" t="s">
        <v>2056</v>
      </c>
      <c r="B13" t="s">
        <v>1108</v>
      </c>
    </row>
    <row r="14" spans="1:15">
      <c r="A14" t="s">
        <v>24</v>
      </c>
      <c r="B14" t="s">
        <v>1108</v>
      </c>
    </row>
    <row r="15" spans="1:15">
      <c r="A15" t="s">
        <v>16</v>
      </c>
      <c r="B15" t="s">
        <v>16</v>
      </c>
    </row>
    <row r="16" spans="1:15">
      <c r="A16" t="s">
        <v>18</v>
      </c>
      <c r="B16" t="s">
        <v>16</v>
      </c>
    </row>
  </sheetData>
  <pageMargins left="0.7" right="0.7" top="0.75" bottom="0.75" header="0.3" footer="0.3"/>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46"/>
  <sheetViews>
    <sheetView showGridLines="0" topLeftCell="B1" zoomScaleNormal="100" workbookViewId="0">
      <selection activeCell="Q5" sqref="Q5"/>
    </sheetView>
  </sheetViews>
  <sheetFormatPr defaultColWidth="9.140625" defaultRowHeight="14.25"/>
  <cols>
    <col min="1" max="1" width="2.7109375" style="128" customWidth="1"/>
    <col min="2" max="2" width="3.28515625" style="128" customWidth="1"/>
    <col min="3" max="3" width="15.28515625" style="128" customWidth="1"/>
    <col min="4" max="4" width="3.28515625" style="128" customWidth="1"/>
    <col min="5" max="5" width="15.28515625" style="128" customWidth="1"/>
    <col min="6" max="6" width="3.28515625" style="128" customWidth="1"/>
    <col min="7" max="7" width="15.28515625" style="128" customWidth="1"/>
    <col min="8" max="8" width="3.28515625" style="128" customWidth="1"/>
    <col min="9" max="9" width="15.28515625" style="128" customWidth="1"/>
    <col min="10" max="10" width="3.28515625" style="128" customWidth="1"/>
    <col min="11" max="11" width="15.28515625" style="128" customWidth="1"/>
    <col min="12" max="12" width="3.28515625" style="128" customWidth="1"/>
    <col min="13" max="13" width="15.28515625" style="128" customWidth="1"/>
    <col min="14" max="14" width="3.28515625" style="128" customWidth="1"/>
    <col min="15" max="15" width="15.28515625" style="128" customWidth="1"/>
    <col min="16" max="16" width="2.7109375" style="128" customWidth="1"/>
    <col min="17" max="17" width="9.140625" style="127"/>
    <col min="18" max="18" width="11" style="128" bestFit="1" customWidth="1"/>
    <col min="19" max="1024" width="9.140625" style="128"/>
  </cols>
  <sheetData>
    <row r="1" spans="1:18" ht="18.75">
      <c r="B1" s="129"/>
      <c r="O1" s="130"/>
    </row>
    <row r="2" spans="1:18">
      <c r="B2" s="131"/>
    </row>
    <row r="3" spans="1:18" ht="15" customHeight="1"/>
    <row r="4" spans="1:18" ht="34.5">
      <c r="A4" s="132"/>
      <c r="B4" s="133"/>
      <c r="C4" s="134"/>
      <c r="D4" s="134"/>
      <c r="E4" s="135"/>
      <c r="F4" s="800">
        <v>45962</v>
      </c>
      <c r="G4" s="800"/>
      <c r="H4" s="800"/>
      <c r="I4" s="800"/>
      <c r="J4" s="800"/>
      <c r="K4" s="800"/>
      <c r="L4" s="135"/>
      <c r="M4" s="134"/>
      <c r="N4" s="134"/>
      <c r="O4" s="136"/>
    </row>
    <row r="5" spans="1:18" ht="15.75">
      <c r="A5" s="132"/>
      <c r="B5" s="801" t="s">
        <v>2057</v>
      </c>
      <c r="C5" s="801"/>
      <c r="D5" s="802" t="s">
        <v>2058</v>
      </c>
      <c r="E5" s="802"/>
      <c r="F5" s="802" t="s">
        <v>2059</v>
      </c>
      <c r="G5" s="802"/>
      <c r="H5" s="802" t="s">
        <v>2060</v>
      </c>
      <c r="I5" s="802"/>
      <c r="J5" s="802" t="s">
        <v>2061</v>
      </c>
      <c r="K5" s="802"/>
      <c r="L5" s="802" t="s">
        <v>2062</v>
      </c>
      <c r="M5" s="802"/>
      <c r="N5" s="803" t="s">
        <v>2063</v>
      </c>
      <c r="O5" s="803"/>
    </row>
    <row r="6" spans="1:18" ht="15.75" customHeight="1">
      <c r="A6" s="132"/>
      <c r="B6" s="220"/>
      <c r="C6" s="221"/>
      <c r="D6" s="218">
        <f>+B6+1</f>
        <v>1</v>
      </c>
      <c r="E6" s="222"/>
      <c r="F6" s="218">
        <f>+D6+1</f>
        <v>2</v>
      </c>
      <c r="G6" s="222"/>
      <c r="H6" s="218">
        <f t="shared" ref="H6" si="0">+F6+1</f>
        <v>3</v>
      </c>
      <c r="I6" s="222"/>
      <c r="J6" s="218">
        <f t="shared" ref="J6" si="1">+H6+1</f>
        <v>4</v>
      </c>
      <c r="K6" s="222"/>
      <c r="L6" s="218">
        <f t="shared" ref="L6" si="2">+J6+1</f>
        <v>5</v>
      </c>
      <c r="M6" s="222"/>
      <c r="N6" s="218">
        <f t="shared" ref="N6" si="3">+L6+1</f>
        <v>6</v>
      </c>
      <c r="O6" s="219"/>
    </row>
    <row r="7" spans="1:18" ht="14.25" customHeight="1">
      <c r="A7" s="132"/>
      <c r="B7" s="819"/>
      <c r="C7" s="820"/>
      <c r="D7" s="821"/>
      <c r="E7" s="822"/>
      <c r="F7" s="821"/>
      <c r="G7" s="823"/>
      <c r="H7" s="821"/>
      <c r="I7" s="823"/>
      <c r="J7" s="821"/>
      <c r="K7" s="823"/>
      <c r="L7" s="821"/>
      <c r="M7" s="823"/>
      <c r="N7" s="804"/>
      <c r="O7" s="805"/>
      <c r="Q7" s="241"/>
      <c r="R7" s="137" t="s">
        <v>808</v>
      </c>
    </row>
    <row r="8" spans="1:18" ht="14.25" customHeight="1">
      <c r="A8" s="132"/>
      <c r="B8" s="819"/>
      <c r="C8" s="820"/>
      <c r="D8" s="821"/>
      <c r="E8" s="822"/>
      <c r="F8" s="821"/>
      <c r="G8" s="823"/>
      <c r="H8" s="821"/>
      <c r="I8" s="823"/>
      <c r="J8" s="821"/>
      <c r="K8" s="823"/>
      <c r="L8" s="821"/>
      <c r="M8" s="823"/>
      <c r="N8" s="821"/>
      <c r="O8" s="824"/>
    </row>
    <row r="9" spans="1:18" ht="14.25" customHeight="1">
      <c r="A9" s="132"/>
      <c r="B9" s="819"/>
      <c r="C9" s="820"/>
      <c r="D9" s="821"/>
      <c r="E9" s="822"/>
      <c r="F9" s="821"/>
      <c r="G9" s="823"/>
      <c r="H9" s="821"/>
      <c r="I9" s="823"/>
      <c r="J9" s="821"/>
      <c r="K9" s="823"/>
      <c r="L9" s="821"/>
      <c r="M9" s="823"/>
      <c r="N9" s="821"/>
      <c r="O9" s="824"/>
      <c r="Q9" s="239"/>
      <c r="R9" s="137" t="s">
        <v>144</v>
      </c>
    </row>
    <row r="10" spans="1:18" ht="14.25" customHeight="1">
      <c r="A10" s="132"/>
      <c r="B10" s="819"/>
      <c r="C10" s="820"/>
      <c r="D10" s="821"/>
      <c r="E10" s="822"/>
      <c r="F10" s="821"/>
      <c r="G10" s="823"/>
      <c r="H10" s="821"/>
      <c r="I10" s="823"/>
      <c r="J10" s="821"/>
      <c r="K10" s="823"/>
      <c r="L10" s="821"/>
      <c r="M10" s="823"/>
      <c r="N10" s="821"/>
      <c r="O10" s="824"/>
    </row>
    <row r="11" spans="1:18" ht="15">
      <c r="A11" s="132"/>
      <c r="B11" s="825"/>
      <c r="C11" s="826"/>
      <c r="D11" s="827"/>
      <c r="E11" s="828"/>
      <c r="F11" s="827"/>
      <c r="G11" s="829"/>
      <c r="H11" s="827"/>
      <c r="I11" s="829"/>
      <c r="J11" s="827"/>
      <c r="K11" s="829"/>
      <c r="L11" s="827"/>
      <c r="M11" s="829"/>
      <c r="N11" s="827"/>
      <c r="O11" s="830"/>
      <c r="Q11" s="240"/>
      <c r="R11" s="137" t="s">
        <v>12</v>
      </c>
    </row>
    <row r="12" spans="1:18" ht="15.75" customHeight="1">
      <c r="A12" s="132"/>
      <c r="B12" s="220">
        <f>+N6+1</f>
        <v>7</v>
      </c>
      <c r="C12" s="221"/>
      <c r="D12" s="218">
        <f>+B12+1</f>
        <v>8</v>
      </c>
      <c r="E12" s="222"/>
      <c r="F12" s="218">
        <f>+D12+1</f>
        <v>9</v>
      </c>
      <c r="G12" s="222"/>
      <c r="H12" s="218">
        <f t="shared" ref="H12" si="4">+F12+1</f>
        <v>10</v>
      </c>
      <c r="I12" s="222"/>
      <c r="J12" s="218">
        <f t="shared" ref="J12" si="5">+H12+1</f>
        <v>11</v>
      </c>
      <c r="K12" s="222"/>
      <c r="L12" s="218">
        <f t="shared" ref="L12" si="6">+J12+1</f>
        <v>12</v>
      </c>
      <c r="M12" s="222"/>
      <c r="N12" s="218">
        <f t="shared" ref="N12" si="7">+L12+1</f>
        <v>13</v>
      </c>
      <c r="O12" s="219"/>
      <c r="R12" s="138"/>
    </row>
    <row r="13" spans="1:18" ht="14.25" customHeight="1">
      <c r="A13" s="132"/>
      <c r="B13" s="819"/>
      <c r="C13" s="820"/>
      <c r="D13" s="821"/>
      <c r="E13" s="822"/>
      <c r="F13" s="821"/>
      <c r="G13" s="823"/>
      <c r="H13" s="821"/>
      <c r="I13" s="823"/>
      <c r="J13" s="821"/>
      <c r="K13" s="823"/>
      <c r="L13" s="821"/>
      <c r="M13" s="823"/>
      <c r="N13" s="804"/>
      <c r="O13" s="805"/>
      <c r="Q13" s="237"/>
      <c r="R13" s="137" t="s">
        <v>16</v>
      </c>
    </row>
    <row r="14" spans="1:18" ht="15" customHeight="1">
      <c r="A14" s="132"/>
      <c r="B14" s="819"/>
      <c r="C14" s="820"/>
      <c r="D14" s="821"/>
      <c r="E14" s="822"/>
      <c r="F14" s="821"/>
      <c r="G14" s="823"/>
      <c r="H14" s="821"/>
      <c r="I14" s="823"/>
      <c r="J14" s="821"/>
      <c r="K14" s="823"/>
      <c r="L14" s="821"/>
      <c r="M14" s="823"/>
      <c r="N14" s="821"/>
      <c r="O14" s="824"/>
      <c r="R14" s="138"/>
    </row>
    <row r="15" spans="1:18" ht="15" customHeight="1">
      <c r="A15" s="132"/>
      <c r="B15" s="819"/>
      <c r="C15" s="820"/>
      <c r="D15" s="821"/>
      <c r="E15" s="822"/>
      <c r="F15" s="821"/>
      <c r="G15" s="823"/>
      <c r="H15" s="821"/>
      <c r="I15" s="823"/>
      <c r="J15" s="821"/>
      <c r="K15" s="823"/>
      <c r="L15" s="821"/>
      <c r="M15" s="823"/>
      <c r="N15" s="821"/>
      <c r="O15" s="824"/>
      <c r="Q15" s="237"/>
      <c r="R15" s="137" t="s">
        <v>18</v>
      </c>
    </row>
    <row r="16" spans="1:18" s="138" customFormat="1" ht="15" customHeight="1">
      <c r="A16" s="132"/>
      <c r="B16" s="819"/>
      <c r="C16" s="820"/>
      <c r="D16" s="821"/>
      <c r="E16" s="822"/>
      <c r="F16" s="821"/>
      <c r="G16" s="823"/>
      <c r="H16" s="821"/>
      <c r="I16" s="823"/>
      <c r="J16" s="821"/>
      <c r="K16" s="823"/>
      <c r="L16" s="821"/>
      <c r="M16" s="823"/>
      <c r="N16" s="821"/>
      <c r="O16" s="824"/>
      <c r="P16" s="128"/>
      <c r="Q16" s="127"/>
    </row>
    <row r="17" spans="1:18" s="138" customFormat="1" ht="15">
      <c r="A17" s="132"/>
      <c r="B17" s="825"/>
      <c r="C17" s="826"/>
      <c r="D17" s="827"/>
      <c r="E17" s="828"/>
      <c r="F17" s="827"/>
      <c r="G17" s="829"/>
      <c r="H17" s="827"/>
      <c r="I17" s="829"/>
      <c r="J17" s="827"/>
      <c r="K17" s="829"/>
      <c r="L17" s="827"/>
      <c r="M17" s="829"/>
      <c r="N17" s="827"/>
      <c r="O17" s="830"/>
      <c r="P17" s="128"/>
      <c r="Q17" s="238"/>
      <c r="R17" s="137" t="s">
        <v>20</v>
      </c>
    </row>
    <row r="18" spans="1:18" s="138" customFormat="1" ht="15">
      <c r="A18" s="132"/>
      <c r="B18" s="220">
        <f>+N12+1</f>
        <v>14</v>
      </c>
      <c r="C18" s="221"/>
      <c r="D18" s="218">
        <f>+B18+1</f>
        <v>15</v>
      </c>
      <c r="E18" s="222"/>
      <c r="F18" s="218">
        <f>+D18+1</f>
        <v>16</v>
      </c>
      <c r="G18" s="222"/>
      <c r="H18" s="218">
        <f t="shared" ref="H18" si="8">+F18+1</f>
        <v>17</v>
      </c>
      <c r="I18" s="222"/>
      <c r="J18" s="218">
        <f t="shared" ref="J18" si="9">+H18+1</f>
        <v>18</v>
      </c>
      <c r="K18" s="222"/>
      <c r="L18" s="218">
        <f t="shared" ref="L18" si="10">+J18+1</f>
        <v>19</v>
      </c>
      <c r="M18" s="222"/>
      <c r="N18" s="218">
        <f t="shared" ref="N18" si="11">+L18+1</f>
        <v>20</v>
      </c>
      <c r="O18" s="219"/>
      <c r="P18" s="128"/>
      <c r="Q18" s="127"/>
    </row>
    <row r="19" spans="1:18" s="138" customFormat="1" ht="15" customHeight="1">
      <c r="A19" s="132"/>
      <c r="B19" s="819"/>
      <c r="C19" s="820"/>
      <c r="D19" s="821"/>
      <c r="E19" s="822"/>
      <c r="F19" s="821"/>
      <c r="G19" s="823"/>
      <c r="H19" s="821"/>
      <c r="I19" s="823"/>
      <c r="J19" s="821"/>
      <c r="K19" s="823"/>
      <c r="L19" s="821"/>
      <c r="M19" s="823"/>
      <c r="N19" s="804"/>
      <c r="O19" s="805"/>
      <c r="P19" s="128"/>
      <c r="Q19" s="127"/>
    </row>
    <row r="20" spans="1:18" s="138" customFormat="1" ht="15" customHeight="1">
      <c r="A20" s="132"/>
      <c r="B20" s="819"/>
      <c r="C20" s="820"/>
      <c r="D20" s="821"/>
      <c r="E20" s="822"/>
      <c r="F20" s="821"/>
      <c r="G20" s="823"/>
      <c r="H20" s="821"/>
      <c r="I20" s="823"/>
      <c r="J20" s="821"/>
      <c r="K20" s="823"/>
      <c r="L20" s="821"/>
      <c r="M20" s="823"/>
      <c r="N20" s="821"/>
      <c r="O20" s="824"/>
      <c r="P20" s="128"/>
      <c r="Q20" s="127"/>
    </row>
    <row r="21" spans="1:18" s="138" customFormat="1" ht="15" customHeight="1">
      <c r="A21" s="132"/>
      <c r="B21" s="819"/>
      <c r="C21" s="820"/>
      <c r="D21" s="821"/>
      <c r="E21" s="822"/>
      <c r="F21" s="821"/>
      <c r="G21" s="823"/>
      <c r="H21" s="821"/>
      <c r="I21" s="823"/>
      <c r="J21" s="821"/>
      <c r="K21" s="823"/>
      <c r="L21" s="821"/>
      <c r="M21" s="823"/>
      <c r="N21" s="821"/>
      <c r="O21" s="824"/>
      <c r="P21" s="128"/>
      <c r="Q21" s="127"/>
    </row>
    <row r="22" spans="1:18" s="138" customFormat="1" ht="15" customHeight="1">
      <c r="A22" s="132"/>
      <c r="B22" s="819"/>
      <c r="C22" s="820"/>
      <c r="D22" s="821"/>
      <c r="E22" s="822"/>
      <c r="F22" s="821"/>
      <c r="G22" s="823"/>
      <c r="H22" s="821"/>
      <c r="I22" s="823"/>
      <c r="J22" s="821"/>
      <c r="K22" s="823"/>
      <c r="L22" s="821"/>
      <c r="M22" s="823"/>
      <c r="N22" s="821"/>
      <c r="O22" s="824"/>
      <c r="P22" s="128"/>
      <c r="Q22" s="127"/>
    </row>
    <row r="23" spans="1:18" s="138" customFormat="1" ht="15" customHeight="1">
      <c r="A23" s="132"/>
      <c r="B23" s="825"/>
      <c r="C23" s="826"/>
      <c r="D23" s="827"/>
      <c r="E23" s="828"/>
      <c r="F23" s="827"/>
      <c r="G23" s="829"/>
      <c r="H23" s="827"/>
      <c r="I23" s="829"/>
      <c r="J23" s="827"/>
      <c r="K23" s="829"/>
      <c r="L23" s="827"/>
      <c r="M23" s="829"/>
      <c r="N23" s="827"/>
      <c r="O23" s="830"/>
      <c r="P23" s="128"/>
      <c r="Q23" s="127"/>
    </row>
    <row r="24" spans="1:18" s="138" customFormat="1" ht="15">
      <c r="A24" s="132"/>
      <c r="B24" s="220">
        <f>+N18+1</f>
        <v>21</v>
      </c>
      <c r="C24" s="221"/>
      <c r="D24" s="218">
        <f>+B24+1</f>
        <v>22</v>
      </c>
      <c r="E24" s="222"/>
      <c r="F24" s="218">
        <f>+D24+1</f>
        <v>23</v>
      </c>
      <c r="G24" s="222"/>
      <c r="H24" s="218">
        <f t="shared" ref="H24" si="12">+F24+1</f>
        <v>24</v>
      </c>
      <c r="I24" s="222"/>
      <c r="J24" s="218">
        <f t="shared" ref="J24" si="13">+H24+1</f>
        <v>25</v>
      </c>
      <c r="K24" s="222"/>
      <c r="L24" s="218">
        <f t="shared" ref="L24" si="14">+J24+1</f>
        <v>26</v>
      </c>
      <c r="M24" s="222"/>
      <c r="N24" s="218">
        <f t="shared" ref="N24" si="15">+L24+1</f>
        <v>27</v>
      </c>
      <c r="O24" s="219"/>
      <c r="P24" s="128"/>
      <c r="Q24" s="127"/>
    </row>
    <row r="25" spans="1:18" s="138" customFormat="1" ht="15" customHeight="1">
      <c r="A25" s="132"/>
      <c r="B25" s="819"/>
      <c r="C25" s="820"/>
      <c r="D25" s="821"/>
      <c r="E25" s="822"/>
      <c r="F25" s="821"/>
      <c r="G25" s="823"/>
      <c r="H25" s="821"/>
      <c r="I25" s="823"/>
      <c r="J25" s="821"/>
      <c r="K25" s="823"/>
      <c r="L25" s="821"/>
      <c r="M25" s="823"/>
      <c r="N25" s="804"/>
      <c r="O25" s="805"/>
      <c r="P25" s="128"/>
      <c r="Q25" s="127"/>
    </row>
    <row r="26" spans="1:18" s="138" customFormat="1" ht="15" customHeight="1">
      <c r="A26" s="132"/>
      <c r="B26" s="819"/>
      <c r="C26" s="820"/>
      <c r="D26" s="821"/>
      <c r="E26" s="822"/>
      <c r="F26" s="821"/>
      <c r="G26" s="823"/>
      <c r="H26" s="821"/>
      <c r="I26" s="823"/>
      <c r="J26" s="821"/>
      <c r="K26" s="823"/>
      <c r="L26" s="821"/>
      <c r="M26" s="823"/>
      <c r="N26" s="821"/>
      <c r="O26" s="824"/>
      <c r="P26" s="128"/>
      <c r="Q26" s="127"/>
    </row>
    <row r="27" spans="1:18" s="138" customFormat="1" ht="15" customHeight="1">
      <c r="A27" s="132"/>
      <c r="B27" s="819"/>
      <c r="C27" s="820"/>
      <c r="D27" s="821"/>
      <c r="E27" s="822"/>
      <c r="F27" s="821"/>
      <c r="G27" s="823"/>
      <c r="H27" s="821"/>
      <c r="I27" s="823"/>
      <c r="J27" s="821"/>
      <c r="K27" s="823"/>
      <c r="L27" s="821"/>
      <c r="M27" s="823"/>
      <c r="N27" s="821"/>
      <c r="O27" s="824"/>
      <c r="P27" s="128"/>
      <c r="Q27" s="127"/>
    </row>
    <row r="28" spans="1:18" s="138" customFormat="1" ht="15" customHeight="1">
      <c r="A28" s="132"/>
      <c r="B28" s="819"/>
      <c r="C28" s="820"/>
      <c r="D28" s="821"/>
      <c r="E28" s="822"/>
      <c r="F28" s="821"/>
      <c r="G28" s="823"/>
      <c r="H28" s="821"/>
      <c r="I28" s="823"/>
      <c r="J28" s="821"/>
      <c r="K28" s="823"/>
      <c r="L28" s="821"/>
      <c r="M28" s="823"/>
      <c r="N28" s="821"/>
      <c r="O28" s="824"/>
      <c r="P28" s="128"/>
      <c r="Q28" s="127"/>
    </row>
    <row r="29" spans="1:18" s="138" customFormat="1" ht="15" customHeight="1">
      <c r="A29" s="132"/>
      <c r="B29" s="825"/>
      <c r="C29" s="826"/>
      <c r="D29" s="827"/>
      <c r="E29" s="828"/>
      <c r="F29" s="827"/>
      <c r="G29" s="829"/>
      <c r="H29" s="827"/>
      <c r="I29" s="829"/>
      <c r="J29" s="827"/>
      <c r="K29" s="829"/>
      <c r="L29" s="827"/>
      <c r="M29" s="829"/>
      <c r="N29" s="827"/>
      <c r="O29" s="830"/>
      <c r="P29" s="128"/>
      <c r="Q29" s="127"/>
    </row>
    <row r="30" spans="1:18" s="138" customFormat="1" ht="15">
      <c r="A30" s="132"/>
      <c r="B30" s="223">
        <f>+N24+1</f>
        <v>28</v>
      </c>
      <c r="C30" s="224"/>
      <c r="D30" s="225">
        <f>+B30+1</f>
        <v>29</v>
      </c>
      <c r="E30" s="226"/>
      <c r="F30" s="225">
        <f>+D30+1</f>
        <v>30</v>
      </c>
      <c r="G30" s="226"/>
      <c r="H30" s="225"/>
      <c r="I30" s="227"/>
      <c r="J30" s="228"/>
      <c r="K30" s="227"/>
      <c r="L30" s="228"/>
      <c r="M30" s="227"/>
      <c r="N30" s="228"/>
      <c r="O30" s="227"/>
      <c r="P30" s="128"/>
      <c r="Q30" s="127"/>
    </row>
    <row r="31" spans="1:18" s="138" customFormat="1" ht="15" customHeight="1">
      <c r="A31" s="132"/>
      <c r="B31" s="831"/>
      <c r="C31" s="832"/>
      <c r="D31" s="806"/>
      <c r="E31" s="807"/>
      <c r="F31" s="808"/>
      <c r="G31" s="809"/>
      <c r="H31" s="810"/>
      <c r="I31" s="811"/>
      <c r="J31" s="812"/>
      <c r="K31" s="811"/>
      <c r="L31" s="813"/>
      <c r="M31" s="814"/>
      <c r="N31" s="833"/>
      <c r="O31" s="834"/>
      <c r="P31" s="128"/>
      <c r="Q31" s="127"/>
    </row>
    <row r="32" spans="1:18" s="138" customFormat="1" ht="15" customHeight="1">
      <c r="A32" s="132"/>
      <c r="B32" s="831"/>
      <c r="C32" s="832"/>
      <c r="D32" s="815"/>
      <c r="E32" s="816"/>
      <c r="F32" s="808"/>
      <c r="G32" s="809"/>
      <c r="H32" s="831"/>
      <c r="I32" s="835"/>
      <c r="J32" s="836"/>
      <c r="K32" s="835"/>
      <c r="L32" s="813"/>
      <c r="M32" s="814"/>
      <c r="N32" s="833"/>
      <c r="O32" s="834"/>
      <c r="P32" s="128"/>
      <c r="Q32" s="127"/>
    </row>
    <row r="33" spans="1:17" s="138" customFormat="1" ht="15">
      <c r="A33" s="132"/>
      <c r="B33" s="831"/>
      <c r="C33" s="832"/>
      <c r="D33" s="831"/>
      <c r="E33" s="837"/>
      <c r="F33" s="808"/>
      <c r="G33" s="809"/>
      <c r="H33" s="831"/>
      <c r="I33" s="835"/>
      <c r="J33" s="836"/>
      <c r="K33" s="835"/>
      <c r="L33" s="838"/>
      <c r="M33" s="839"/>
      <c r="N33" s="833"/>
      <c r="O33" s="834"/>
      <c r="P33" s="128"/>
      <c r="Q33" s="127"/>
    </row>
    <row r="34" spans="1:17" s="138" customFormat="1" ht="15">
      <c r="A34" s="132"/>
      <c r="B34" s="831"/>
      <c r="C34" s="832"/>
      <c r="D34" s="840"/>
      <c r="E34" s="837"/>
      <c r="F34" s="817"/>
      <c r="G34" s="809"/>
      <c r="H34" s="840"/>
      <c r="I34" s="835"/>
      <c r="J34" s="841"/>
      <c r="K34" s="835"/>
      <c r="L34" s="838"/>
      <c r="M34" s="839"/>
      <c r="N34" s="833"/>
      <c r="O34" s="842"/>
      <c r="P34" s="128"/>
      <c r="Q34" s="127"/>
    </row>
    <row r="35" spans="1:17" s="138" customFormat="1" ht="15">
      <c r="A35" s="132"/>
      <c r="B35" s="843"/>
      <c r="C35" s="844"/>
      <c r="D35" s="845"/>
      <c r="E35" s="846"/>
      <c r="F35" s="843"/>
      <c r="G35" s="846"/>
      <c r="H35" s="845"/>
      <c r="I35" s="847"/>
      <c r="J35" s="848"/>
      <c r="K35" s="847"/>
      <c r="L35" s="849"/>
      <c r="M35" s="850"/>
      <c r="N35" s="851"/>
      <c r="O35" s="852"/>
      <c r="P35" s="128"/>
      <c r="Q35" s="127"/>
    </row>
    <row r="36" spans="1:17" s="138" customFormat="1" ht="15">
      <c r="A36" s="132"/>
      <c r="B36" s="132"/>
      <c r="C36" s="132"/>
      <c r="D36" s="132"/>
      <c r="E36" s="132"/>
      <c r="F36" s="132"/>
      <c r="G36" s="132"/>
      <c r="H36" s="132"/>
      <c r="I36" s="132"/>
      <c r="J36" s="132"/>
      <c r="K36" s="132"/>
      <c r="L36" s="132"/>
      <c r="M36" s="132"/>
      <c r="N36" s="132"/>
      <c r="O36" s="132"/>
      <c r="P36" s="132"/>
      <c r="Q36" s="127"/>
    </row>
    <row r="37" spans="1:17" s="138" customFormat="1">
      <c r="A37" s="132"/>
      <c r="B37" s="132"/>
      <c r="C37" s="132"/>
      <c r="D37" s="132"/>
      <c r="E37" s="132"/>
      <c r="F37" s="132"/>
      <c r="G37" s="132"/>
      <c r="H37" s="132"/>
      <c r="I37" s="132"/>
      <c r="J37" s="132"/>
      <c r="K37" s="132"/>
      <c r="L37" s="132"/>
      <c r="M37" s="132"/>
      <c r="N37" s="132"/>
      <c r="O37" s="132"/>
      <c r="P37" s="132"/>
      <c r="Q37" s="127"/>
    </row>
    <row r="38" spans="1:17" s="138" customFormat="1">
      <c r="A38" s="132"/>
      <c r="B38" s="132"/>
      <c r="C38" s="132"/>
      <c r="D38" s="132"/>
      <c r="E38" s="132"/>
      <c r="F38" s="132"/>
      <c r="G38" s="132"/>
      <c r="H38" s="132"/>
      <c r="I38" s="132"/>
      <c r="J38" s="132"/>
      <c r="K38" s="132"/>
      <c r="L38" s="132"/>
      <c r="M38" s="132"/>
      <c r="N38" s="132"/>
      <c r="O38" s="132"/>
      <c r="P38" s="132"/>
      <c r="Q38" s="127"/>
    </row>
    <row r="39" spans="1:17" s="138" customFormat="1">
      <c r="A39" s="132"/>
      <c r="B39" s="132"/>
      <c r="C39" s="132"/>
      <c r="D39" s="132"/>
      <c r="E39" s="132"/>
      <c r="F39" s="132"/>
      <c r="G39" s="132"/>
      <c r="H39" s="132"/>
      <c r="I39" s="132"/>
      <c r="J39" s="132"/>
      <c r="K39" s="132"/>
      <c r="L39" s="132"/>
      <c r="M39" s="132"/>
      <c r="N39" s="132"/>
      <c r="O39" s="132"/>
      <c r="P39" s="132"/>
      <c r="Q39" s="127"/>
    </row>
    <row r="40" spans="1:17" s="138" customFormat="1">
      <c r="A40" s="132"/>
      <c r="B40" s="132"/>
      <c r="C40" s="132"/>
      <c r="D40" s="132"/>
      <c r="E40" s="132"/>
      <c r="F40" s="132"/>
      <c r="G40" s="132"/>
      <c r="H40" s="132"/>
      <c r="I40" s="132"/>
      <c r="J40" s="132"/>
      <c r="K40" s="132"/>
      <c r="L40" s="132"/>
      <c r="M40" s="132"/>
      <c r="N40" s="132"/>
      <c r="O40" s="132"/>
      <c r="P40" s="132"/>
      <c r="Q40" s="127"/>
    </row>
    <row r="41" spans="1:17" s="138" customFormat="1">
      <c r="A41" s="132"/>
      <c r="B41" s="132"/>
      <c r="C41" s="132"/>
      <c r="D41" s="132"/>
      <c r="E41" s="132"/>
      <c r="F41" s="132"/>
      <c r="G41" s="132"/>
      <c r="H41" s="132"/>
      <c r="I41" s="132"/>
      <c r="J41" s="132"/>
      <c r="K41" s="132"/>
      <c r="L41" s="132"/>
      <c r="M41" s="132"/>
      <c r="N41" s="132"/>
      <c r="O41" s="132"/>
      <c r="P41" s="132"/>
      <c r="Q41" s="127"/>
    </row>
    <row r="42" spans="1:17" s="138" customFormat="1">
      <c r="A42" s="132"/>
      <c r="B42" s="132"/>
      <c r="C42" s="132"/>
      <c r="D42" s="132"/>
      <c r="E42" s="132"/>
      <c r="F42" s="132"/>
      <c r="G42" s="132"/>
      <c r="H42" s="132"/>
      <c r="I42" s="132"/>
      <c r="J42" s="132"/>
      <c r="K42" s="132"/>
      <c r="L42" s="132"/>
      <c r="M42" s="132"/>
      <c r="N42" s="132"/>
      <c r="O42" s="132"/>
      <c r="P42" s="132"/>
      <c r="Q42" s="127"/>
    </row>
    <row r="43" spans="1:17" s="138" customFormat="1">
      <c r="A43" s="132"/>
      <c r="B43" s="132"/>
      <c r="C43" s="132"/>
      <c r="D43" s="132"/>
      <c r="E43" s="132"/>
      <c r="F43" s="132"/>
      <c r="G43" s="132"/>
      <c r="H43" s="132"/>
      <c r="I43" s="132"/>
      <c r="J43" s="132"/>
      <c r="K43" s="132"/>
      <c r="L43" s="132"/>
      <c r="M43" s="132"/>
      <c r="N43" s="132"/>
      <c r="O43" s="132"/>
      <c r="P43" s="132"/>
      <c r="Q43" s="127"/>
    </row>
    <row r="44" spans="1:17" s="138" customFormat="1">
      <c r="A44" s="132"/>
      <c r="B44" s="132"/>
      <c r="C44" s="132"/>
      <c r="D44" s="132"/>
      <c r="E44" s="132"/>
      <c r="F44" s="132"/>
      <c r="G44" s="132"/>
      <c r="H44" s="132"/>
      <c r="I44" s="132"/>
      <c r="J44" s="132"/>
      <c r="K44" s="132"/>
      <c r="L44" s="132"/>
      <c r="M44" s="132"/>
      <c r="N44" s="132"/>
      <c r="O44" s="132"/>
      <c r="P44" s="132"/>
      <c r="Q44" s="127"/>
    </row>
    <row r="45" spans="1:17" s="138" customFormat="1">
      <c r="A45" s="132"/>
      <c r="B45" s="132"/>
      <c r="C45" s="132"/>
      <c r="D45" s="132"/>
      <c r="E45" s="132"/>
      <c r="F45" s="132"/>
      <c r="G45" s="132"/>
      <c r="H45" s="132"/>
      <c r="I45" s="132"/>
      <c r="J45" s="132"/>
      <c r="K45" s="132"/>
      <c r="L45" s="132"/>
      <c r="M45" s="132"/>
      <c r="N45" s="132"/>
      <c r="O45" s="132"/>
      <c r="P45" s="132"/>
      <c r="Q45" s="127"/>
    </row>
    <row r="46" spans="1:17" s="138" customFormat="1">
      <c r="A46" s="132"/>
      <c r="B46" s="132"/>
      <c r="C46" s="132"/>
      <c r="D46" s="132"/>
      <c r="E46" s="132"/>
      <c r="F46" s="132"/>
      <c r="G46" s="132"/>
      <c r="H46" s="132"/>
      <c r="I46" s="132"/>
      <c r="J46" s="132"/>
      <c r="K46" s="132"/>
      <c r="L46" s="132"/>
      <c r="M46" s="132"/>
      <c r="N46" s="132"/>
      <c r="O46" s="132"/>
      <c r="P46" s="132"/>
      <c r="Q46" s="127"/>
    </row>
  </sheetData>
  <mergeCells count="183">
    <mergeCell ref="B34:C34"/>
    <mergeCell ref="D34:E34"/>
    <mergeCell ref="F34:G34"/>
    <mergeCell ref="H34:I34"/>
    <mergeCell ref="J34:K34"/>
    <mergeCell ref="L34:M34"/>
    <mergeCell ref="N34:O34"/>
    <mergeCell ref="B35:C35"/>
    <mergeCell ref="D35:E35"/>
    <mergeCell ref="F35:G35"/>
    <mergeCell ref="H35:I35"/>
    <mergeCell ref="J35:K35"/>
    <mergeCell ref="L35:M35"/>
    <mergeCell ref="N35:O35"/>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B29:C29"/>
    <mergeCell ref="D29:E29"/>
    <mergeCell ref="F29:G29"/>
    <mergeCell ref="H29:I29"/>
    <mergeCell ref="J29:K29"/>
    <mergeCell ref="L29:M29"/>
    <mergeCell ref="N29:O29"/>
    <mergeCell ref="B31:C31"/>
    <mergeCell ref="D31:E31"/>
    <mergeCell ref="F31:G31"/>
    <mergeCell ref="H31:I31"/>
    <mergeCell ref="J31:K31"/>
    <mergeCell ref="L31:M31"/>
    <mergeCell ref="N31:O31"/>
    <mergeCell ref="B27:C27"/>
    <mergeCell ref="D27:E27"/>
    <mergeCell ref="F27:G27"/>
    <mergeCell ref="H27:I27"/>
    <mergeCell ref="J27:K27"/>
    <mergeCell ref="L27:M27"/>
    <mergeCell ref="N27:O27"/>
    <mergeCell ref="B28:C28"/>
    <mergeCell ref="D28:E28"/>
    <mergeCell ref="F28:G28"/>
    <mergeCell ref="H28:I28"/>
    <mergeCell ref="J28:K28"/>
    <mergeCell ref="L28:M28"/>
    <mergeCell ref="N28:O28"/>
    <mergeCell ref="B25:C25"/>
    <mergeCell ref="D25:E25"/>
    <mergeCell ref="F25:G25"/>
    <mergeCell ref="H25:I25"/>
    <mergeCell ref="J25:K25"/>
    <mergeCell ref="L25:M25"/>
    <mergeCell ref="N25:O25"/>
    <mergeCell ref="B26:C26"/>
    <mergeCell ref="D26:E26"/>
    <mergeCell ref="F26:G26"/>
    <mergeCell ref="H26:I26"/>
    <mergeCell ref="J26:K26"/>
    <mergeCell ref="L26:M26"/>
    <mergeCell ref="N26:O26"/>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B20:C20"/>
    <mergeCell ref="D20:E20"/>
    <mergeCell ref="F20:G20"/>
    <mergeCell ref="H20:I20"/>
    <mergeCell ref="J20:K20"/>
    <mergeCell ref="L20:M20"/>
    <mergeCell ref="N20:O20"/>
    <mergeCell ref="B21:C21"/>
    <mergeCell ref="D21:E21"/>
    <mergeCell ref="F21:G21"/>
    <mergeCell ref="H21:I21"/>
    <mergeCell ref="J21:K21"/>
    <mergeCell ref="L21:M21"/>
    <mergeCell ref="N21:O21"/>
    <mergeCell ref="B17:C17"/>
    <mergeCell ref="D17:E17"/>
    <mergeCell ref="F17:G17"/>
    <mergeCell ref="H17:I17"/>
    <mergeCell ref="J17:K17"/>
    <mergeCell ref="L17:M17"/>
    <mergeCell ref="N17:O17"/>
    <mergeCell ref="B19:C19"/>
    <mergeCell ref="D19:E19"/>
    <mergeCell ref="F19:G19"/>
    <mergeCell ref="H19:I19"/>
    <mergeCell ref="J19:K19"/>
    <mergeCell ref="L19:M19"/>
    <mergeCell ref="N19:O19"/>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0:C10"/>
    <mergeCell ref="D10:E10"/>
    <mergeCell ref="F10:G10"/>
    <mergeCell ref="H10:I10"/>
    <mergeCell ref="J10:K10"/>
    <mergeCell ref="L10:M10"/>
    <mergeCell ref="N10:O10"/>
    <mergeCell ref="B11:C11"/>
    <mergeCell ref="D11:E11"/>
    <mergeCell ref="F11:G11"/>
    <mergeCell ref="H11:I11"/>
    <mergeCell ref="J11:K11"/>
    <mergeCell ref="L11:M11"/>
    <mergeCell ref="N11:O11"/>
    <mergeCell ref="B8:C8"/>
    <mergeCell ref="D8:E8"/>
    <mergeCell ref="F8:G8"/>
    <mergeCell ref="H8:I8"/>
    <mergeCell ref="J8:K8"/>
    <mergeCell ref="L8:M8"/>
    <mergeCell ref="N8:O8"/>
    <mergeCell ref="B9:C9"/>
    <mergeCell ref="D9:E9"/>
    <mergeCell ref="F9:G9"/>
    <mergeCell ref="H9:I9"/>
    <mergeCell ref="J9:K9"/>
    <mergeCell ref="L9:M9"/>
    <mergeCell ref="N9:O9"/>
    <mergeCell ref="F4:K4"/>
    <mergeCell ref="B5:C5"/>
    <mergeCell ref="D5:E5"/>
    <mergeCell ref="F5:G5"/>
    <mergeCell ref="H5:I5"/>
    <mergeCell ref="J5:K5"/>
    <mergeCell ref="L5:M5"/>
    <mergeCell ref="N5:O5"/>
    <mergeCell ref="B7:C7"/>
    <mergeCell ref="D7:E7"/>
    <mergeCell ref="F7:G7"/>
    <mergeCell ref="H7:I7"/>
    <mergeCell ref="J7:K7"/>
    <mergeCell ref="L7:M7"/>
    <mergeCell ref="N7:O7"/>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4"/>
  <sheetViews>
    <sheetView zoomScaleNormal="100" workbookViewId="0">
      <pane xSplit="3" ySplit="1" topLeftCell="X2" activePane="bottomRight" state="frozen"/>
      <selection pane="bottomRight" activeCell="X1" sqref="X1"/>
      <selection pane="bottomLeft" activeCell="A2" sqref="A2"/>
      <selection pane="topRight" activeCell="D1" sqref="D1"/>
    </sheetView>
  </sheetViews>
  <sheetFormatPr defaultColWidth="8.7109375" defaultRowHeight="14.25"/>
  <cols>
    <col min="1" max="1" width="14.5703125" customWidth="1"/>
    <col min="2" max="2" width="9.5703125" customWidth="1"/>
    <col min="3" max="3" width="17.85546875" customWidth="1"/>
    <col min="4" max="4" width="76" customWidth="1"/>
    <col min="5" max="5" width="36.85546875" customWidth="1"/>
    <col min="6" max="6" width="10.42578125" customWidth="1"/>
    <col min="7" max="7" width="17" customWidth="1"/>
    <col min="8" max="8" width="18" customWidth="1"/>
    <col min="9" max="9" width="8.85546875" customWidth="1"/>
    <col min="10" max="10" width="18.7109375" customWidth="1"/>
    <col min="11" max="11" width="11.7109375" customWidth="1"/>
    <col min="12" max="12" width="8.5703125" customWidth="1"/>
    <col min="13" max="13" width="19.28515625" customWidth="1"/>
    <col min="14" max="14" width="13.7109375" customWidth="1"/>
    <col min="15" max="15" width="19.85546875" customWidth="1"/>
    <col min="16" max="16" width="19.85546875" style="104" customWidth="1"/>
    <col min="17" max="17" width="11.42578125" customWidth="1"/>
    <col min="18" max="18" width="21.7109375" customWidth="1"/>
    <col min="19" max="19" width="26.28515625" customWidth="1"/>
    <col min="20" max="20" width="23" customWidth="1"/>
    <col min="21" max="21" width="18" customWidth="1"/>
    <col min="22" max="22" width="16" customWidth="1"/>
    <col min="23" max="23" width="14.5703125" customWidth="1"/>
    <col min="24" max="24" width="21.140625" customWidth="1"/>
    <col min="25" max="25" width="13.140625" customWidth="1"/>
    <col min="26" max="26" width="10.28515625" customWidth="1"/>
    <col min="27" max="27" width="12" customWidth="1"/>
    <col min="28" max="30" width="11.42578125" customWidth="1"/>
    <col min="31" max="31" width="13.140625" customWidth="1"/>
    <col min="32" max="32" width="14.5703125" customWidth="1"/>
    <col min="33" max="34" width="11.42578125" customWidth="1"/>
  </cols>
  <sheetData>
    <row r="1" spans="1:34" ht="57.75">
      <c r="A1" s="105" t="s">
        <v>34</v>
      </c>
      <c r="B1" s="106" t="s">
        <v>35</v>
      </c>
      <c r="C1" s="107" t="s">
        <v>36</v>
      </c>
      <c r="D1" s="139" t="s">
        <v>39</v>
      </c>
      <c r="E1" s="140" t="s">
        <v>1</v>
      </c>
      <c r="F1" s="105" t="s">
        <v>40</v>
      </c>
      <c r="G1" s="105" t="s">
        <v>41</v>
      </c>
      <c r="H1" s="105" t="s">
        <v>42</v>
      </c>
      <c r="I1" s="105" t="s">
        <v>43</v>
      </c>
      <c r="J1" s="105" t="s">
        <v>44</v>
      </c>
      <c r="K1" s="105" t="s">
        <v>45</v>
      </c>
      <c r="L1" s="108" t="s">
        <v>1097</v>
      </c>
      <c r="M1" s="105" t="s">
        <v>0</v>
      </c>
      <c r="N1" s="105" t="s">
        <v>2064</v>
      </c>
      <c r="O1" s="105" t="s">
        <v>2065</v>
      </c>
      <c r="P1" s="105" t="s">
        <v>2066</v>
      </c>
      <c r="Q1" s="141" t="s">
        <v>1099</v>
      </c>
      <c r="R1" s="107" t="s">
        <v>1100</v>
      </c>
      <c r="S1" s="109" t="s">
        <v>1101</v>
      </c>
      <c r="T1" s="109" t="s">
        <v>1102</v>
      </c>
      <c r="U1" s="110" t="s">
        <v>2045</v>
      </c>
      <c r="V1" s="110" t="s">
        <v>2067</v>
      </c>
      <c r="W1" s="110" t="s">
        <v>2068</v>
      </c>
      <c r="X1" s="110" t="s">
        <v>2069</v>
      </c>
      <c r="Y1" s="111" t="s">
        <v>2070</v>
      </c>
      <c r="Z1" s="112" t="s">
        <v>2053</v>
      </c>
      <c r="AA1" s="113" t="s">
        <v>2045</v>
      </c>
      <c r="AB1" s="114" t="s">
        <v>2071</v>
      </c>
      <c r="AC1" s="114" t="s">
        <v>2072</v>
      </c>
      <c r="AD1" s="114" t="s">
        <v>2073</v>
      </c>
      <c r="AE1" s="113" t="s">
        <v>2074</v>
      </c>
      <c r="AF1" s="113" t="s">
        <v>2075</v>
      </c>
      <c r="AG1" s="115" t="s">
        <v>2076</v>
      </c>
      <c r="AH1" s="116" t="s">
        <v>2077</v>
      </c>
    </row>
    <row r="2" spans="1:34" ht="15">
      <c r="A2" s="117"/>
      <c r="B2" s="120"/>
      <c r="C2" s="142"/>
      <c r="D2" s="143"/>
      <c r="E2" s="144"/>
      <c r="F2" s="120"/>
      <c r="G2" s="120"/>
      <c r="H2" s="145"/>
      <c r="I2" s="146"/>
      <c r="J2" s="120"/>
      <c r="K2" s="120"/>
      <c r="L2" s="147"/>
      <c r="M2" s="120"/>
      <c r="N2" s="120"/>
      <c r="O2" s="120"/>
      <c r="P2" s="148"/>
      <c r="Q2" s="149"/>
      <c r="R2" s="142"/>
      <c r="S2" s="85"/>
      <c r="T2" s="85"/>
      <c r="U2" s="145"/>
      <c r="V2" s="145"/>
      <c r="W2" s="150"/>
      <c r="X2" s="85"/>
      <c r="Y2" s="14"/>
      <c r="Z2" s="151"/>
      <c r="AA2" s="85"/>
      <c r="AB2" s="85"/>
      <c r="AC2" s="85"/>
      <c r="AD2" s="85"/>
      <c r="AE2" s="85"/>
      <c r="AF2" s="85"/>
      <c r="AG2" s="85"/>
      <c r="AH2" s="14"/>
    </row>
    <row r="3" spans="1:34" ht="15">
      <c r="A3" s="117"/>
      <c r="B3" s="152"/>
      <c r="C3" s="142"/>
      <c r="D3" s="153"/>
      <c r="E3" s="144"/>
      <c r="F3" s="120"/>
      <c r="G3" s="120"/>
      <c r="H3" s="120"/>
      <c r="I3" s="120"/>
      <c r="J3" s="120"/>
      <c r="K3" s="120"/>
      <c r="L3" s="147"/>
      <c r="M3" s="120"/>
      <c r="N3" s="120"/>
      <c r="O3" s="120"/>
      <c r="P3" s="148"/>
      <c r="Q3" s="148"/>
      <c r="R3" s="142"/>
      <c r="S3" s="154"/>
      <c r="T3" s="85"/>
      <c r="U3" s="120"/>
      <c r="V3" s="120"/>
      <c r="W3" s="85"/>
      <c r="X3" s="85"/>
      <c r="Y3" s="85"/>
      <c r="Z3" s="85"/>
      <c r="AA3" s="85"/>
      <c r="AB3" s="85"/>
      <c r="AC3" s="85"/>
      <c r="AD3" s="85"/>
      <c r="AE3" s="85"/>
      <c r="AF3" s="85"/>
      <c r="AG3" s="85"/>
      <c r="AH3" s="14"/>
    </row>
    <row r="4" spans="1:34" ht="15">
      <c r="A4" s="155"/>
      <c r="B4" s="156"/>
      <c r="C4" s="118"/>
      <c r="D4" s="153"/>
      <c r="E4" s="125"/>
      <c r="F4" s="121"/>
      <c r="G4" s="121"/>
      <c r="H4" s="121"/>
      <c r="I4" s="121"/>
      <c r="J4" s="121"/>
      <c r="K4" s="121"/>
      <c r="L4" s="123"/>
      <c r="M4" s="121"/>
      <c r="N4" s="121"/>
      <c r="O4" s="157"/>
      <c r="P4" s="158"/>
      <c r="Q4" s="158"/>
      <c r="R4" s="118"/>
      <c r="S4" s="125"/>
      <c r="T4" s="125"/>
      <c r="U4" s="121"/>
      <c r="V4" s="121"/>
      <c r="W4" s="159"/>
      <c r="X4" s="159"/>
      <c r="Y4" s="14"/>
      <c r="Z4" s="14"/>
      <c r="AA4" s="14"/>
      <c r="AB4" s="14"/>
      <c r="AC4" s="14"/>
      <c r="AD4" s="14"/>
      <c r="AE4" s="14"/>
      <c r="AF4" s="14"/>
      <c r="AG4" s="159"/>
      <c r="AH4" s="159"/>
    </row>
    <row r="5" spans="1:34" ht="15">
      <c r="A5" s="117"/>
      <c r="B5" s="160"/>
      <c r="C5" s="118"/>
      <c r="D5" s="119"/>
      <c r="E5" s="119"/>
      <c r="F5" s="121"/>
      <c r="G5" s="120"/>
      <c r="H5" s="121"/>
      <c r="I5" s="121"/>
      <c r="J5" s="121"/>
      <c r="K5" s="121"/>
      <c r="L5" s="123"/>
      <c r="M5" s="121"/>
      <c r="N5" s="121"/>
      <c r="O5" s="121"/>
      <c r="P5" s="158"/>
      <c r="Q5" s="158"/>
      <c r="R5" s="118"/>
      <c r="S5" s="16"/>
      <c r="T5" s="16"/>
      <c r="U5" s="121"/>
      <c r="V5" s="121"/>
      <c r="W5" s="14"/>
      <c r="X5" s="14"/>
      <c r="Y5" s="14"/>
      <c r="Z5" s="161"/>
      <c r="AA5" s="161"/>
      <c r="AB5" s="161"/>
      <c r="AC5" s="161"/>
      <c r="AD5" s="161"/>
      <c r="AE5" s="161"/>
      <c r="AF5" s="161"/>
      <c r="AG5" s="14"/>
      <c r="AH5" s="14"/>
    </row>
    <row r="6" spans="1:34" ht="15">
      <c r="A6" s="117"/>
      <c r="B6" s="156"/>
      <c r="C6" s="118"/>
      <c r="D6" s="162"/>
      <c r="E6" s="162"/>
      <c r="F6" s="121"/>
      <c r="G6" s="121"/>
      <c r="H6" s="121"/>
      <c r="I6" s="121"/>
      <c r="J6" s="121"/>
      <c r="K6" s="121"/>
      <c r="L6" s="121"/>
      <c r="M6" s="121"/>
      <c r="N6" s="163"/>
      <c r="O6" s="164"/>
      <c r="P6" s="165"/>
      <c r="Q6" s="165"/>
      <c r="R6" s="118"/>
      <c r="S6" s="166"/>
      <c r="T6" s="49"/>
      <c r="U6" s="164"/>
      <c r="V6" s="164"/>
      <c r="W6" s="50"/>
      <c r="X6" s="50"/>
      <c r="Y6" s="14"/>
      <c r="Z6" s="167"/>
      <c r="AA6" s="167"/>
      <c r="AB6" s="167"/>
      <c r="AC6" s="167"/>
      <c r="AD6" s="167"/>
      <c r="AE6" s="167"/>
      <c r="AF6" s="167"/>
      <c r="AG6" s="50"/>
      <c r="AH6" s="50"/>
    </row>
    <row r="7" spans="1:34" ht="15">
      <c r="A7" s="168"/>
      <c r="B7" s="160"/>
      <c r="C7" s="142"/>
      <c r="D7" s="169"/>
      <c r="E7" s="170"/>
      <c r="F7" s="164"/>
      <c r="G7" s="121"/>
      <c r="H7" s="120"/>
      <c r="I7" s="164"/>
      <c r="J7" s="171"/>
      <c r="K7" s="164"/>
      <c r="L7" s="172"/>
      <c r="M7" s="121"/>
      <c r="N7" s="121"/>
      <c r="O7" s="121"/>
      <c r="P7" s="158"/>
      <c r="Q7" s="158"/>
      <c r="R7" s="118"/>
      <c r="S7" s="16"/>
      <c r="T7" s="16"/>
      <c r="U7" s="121"/>
      <c r="V7" s="121"/>
      <c r="W7" s="14"/>
      <c r="X7" s="14"/>
      <c r="Y7" s="14"/>
      <c r="Z7" s="161"/>
      <c r="AA7" s="161"/>
      <c r="AB7" s="161"/>
      <c r="AC7" s="161"/>
      <c r="AD7" s="161"/>
      <c r="AE7" s="161"/>
      <c r="AF7" s="161"/>
      <c r="AG7" s="14"/>
      <c r="AH7" s="14"/>
    </row>
    <row r="8" spans="1:34" ht="15">
      <c r="A8" s="173"/>
      <c r="B8" s="160"/>
      <c r="C8" s="118"/>
      <c r="D8" s="162"/>
      <c r="E8" s="16"/>
      <c r="F8" s="164"/>
      <c r="G8" s="121"/>
      <c r="H8" s="174"/>
      <c r="I8" s="164"/>
      <c r="J8" s="171"/>
      <c r="K8" s="164"/>
      <c r="L8" s="163"/>
      <c r="M8" s="121"/>
      <c r="N8" s="121"/>
      <c r="O8" s="121"/>
      <c r="P8" s="158"/>
      <c r="Q8" s="158"/>
      <c r="R8" s="118"/>
      <c r="S8" s="125"/>
      <c r="T8" s="16"/>
      <c r="U8" s="175"/>
      <c r="V8" s="175"/>
      <c r="W8" s="14"/>
      <c r="X8" s="14"/>
      <c r="Y8" s="161"/>
      <c r="Z8" s="161"/>
      <c r="AA8" s="161"/>
      <c r="AB8" s="161"/>
      <c r="AC8" s="161"/>
      <c r="AD8" s="161"/>
      <c r="AE8" s="161"/>
      <c r="AF8" s="161"/>
      <c r="AG8" s="14"/>
      <c r="AH8" s="14"/>
    </row>
    <row r="9" spans="1:34" ht="15">
      <c r="A9" s="155"/>
      <c r="B9" s="160"/>
      <c r="C9" s="118"/>
      <c r="D9" s="153"/>
      <c r="E9" s="154"/>
      <c r="F9" s="120"/>
      <c r="G9" s="120"/>
      <c r="H9" s="175"/>
      <c r="I9" s="121"/>
      <c r="J9" s="121"/>
      <c r="K9" s="121"/>
      <c r="L9" s="121"/>
      <c r="M9" s="176"/>
      <c r="N9" s="120"/>
      <c r="O9" s="121"/>
      <c r="P9" s="177"/>
      <c r="Q9" s="177"/>
      <c r="R9" s="118"/>
      <c r="S9" s="125"/>
      <c r="T9" s="16"/>
      <c r="U9" s="175"/>
      <c r="V9" s="178"/>
      <c r="W9" s="14"/>
      <c r="X9" s="14"/>
      <c r="Y9" s="14"/>
      <c r="Z9" s="161"/>
      <c r="AA9" s="161"/>
      <c r="AB9" s="161"/>
      <c r="AC9" s="161"/>
      <c r="AD9" s="161"/>
      <c r="AE9" s="161"/>
      <c r="AF9" s="161"/>
      <c r="AG9" s="85"/>
      <c r="AH9" s="14"/>
    </row>
    <row r="10" spans="1:34" ht="15">
      <c r="A10" s="155"/>
      <c r="B10" s="160"/>
      <c r="C10" s="118"/>
      <c r="D10" s="153"/>
      <c r="E10" s="154"/>
      <c r="F10" s="120"/>
      <c r="G10" s="120"/>
      <c r="H10" s="175"/>
      <c r="I10" s="121"/>
      <c r="J10" s="121"/>
      <c r="K10" s="121"/>
      <c r="L10" s="121"/>
      <c r="M10" s="120"/>
      <c r="N10" s="120"/>
      <c r="O10" s="121"/>
      <c r="P10" s="177"/>
      <c r="Q10" s="177"/>
      <c r="R10" s="118"/>
      <c r="S10" s="125"/>
      <c r="T10" s="16"/>
      <c r="U10" s="175"/>
      <c r="V10" s="178"/>
      <c r="W10" s="14"/>
      <c r="X10" s="14"/>
      <c r="Y10" s="14"/>
      <c r="Z10" s="161"/>
      <c r="AA10" s="161"/>
      <c r="AB10" s="161"/>
      <c r="AC10" s="161"/>
      <c r="AD10" s="161"/>
      <c r="AE10" s="161"/>
      <c r="AF10" s="161"/>
      <c r="AG10" s="85"/>
      <c r="AH10" s="14"/>
    </row>
    <row r="11" spans="1:34" ht="15">
      <c r="A11" s="179"/>
      <c r="B11" s="180"/>
      <c r="C11" s="181"/>
      <c r="D11" s="182"/>
      <c r="E11" s="182"/>
      <c r="F11" s="183"/>
      <c r="G11" s="183"/>
      <c r="H11" s="184"/>
      <c r="I11" s="184"/>
      <c r="J11" s="184"/>
      <c r="K11" s="184"/>
      <c r="L11" s="185"/>
      <c r="M11" s="183"/>
      <c r="N11" s="183"/>
      <c r="O11" s="184"/>
      <c r="P11" s="186"/>
      <c r="Q11" s="186"/>
      <c r="R11" s="181"/>
      <c r="S11" s="54"/>
      <c r="T11" s="54"/>
      <c r="U11" s="184"/>
      <c r="V11" s="187"/>
      <c r="W11" s="55"/>
      <c r="X11" s="55"/>
      <c r="Y11" s="55"/>
      <c r="Z11" s="188"/>
      <c r="AA11" s="188"/>
      <c r="AB11" s="188"/>
      <c r="AC11" s="188"/>
      <c r="AD11" s="188"/>
      <c r="AE11" s="188"/>
      <c r="AF11" s="188"/>
      <c r="AG11" s="189"/>
      <c r="AH11" s="55"/>
    </row>
    <row r="12" spans="1:34" ht="28.5" customHeight="1">
      <c r="A12" s="155"/>
      <c r="B12" s="160"/>
      <c r="C12" s="118"/>
      <c r="D12" s="162"/>
      <c r="E12" s="119"/>
      <c r="F12" s="121"/>
      <c r="G12" s="121"/>
      <c r="H12" s="121"/>
      <c r="I12" s="121"/>
      <c r="J12" s="121"/>
      <c r="K12" s="121"/>
      <c r="L12" s="123"/>
      <c r="M12" s="121"/>
      <c r="N12" s="121"/>
      <c r="O12" s="120"/>
      <c r="P12" s="818"/>
      <c r="Q12" s="818"/>
      <c r="R12" s="124"/>
      <c r="S12" s="16"/>
      <c r="T12" s="16"/>
      <c r="U12" s="121"/>
      <c r="V12" s="121"/>
      <c r="W12" s="14"/>
      <c r="X12" s="14"/>
      <c r="Y12" s="55"/>
      <c r="Z12" s="161"/>
      <c r="AA12" s="161"/>
      <c r="AB12" s="161"/>
      <c r="AC12" s="161"/>
      <c r="AD12" s="161"/>
      <c r="AE12" s="161"/>
      <c r="AF12" s="188"/>
      <c r="AG12" s="14"/>
      <c r="AH12" s="14"/>
    </row>
    <row r="13" spans="1:34" ht="15">
      <c r="A13" s="117"/>
      <c r="B13" s="121"/>
      <c r="C13" s="142"/>
      <c r="D13" s="16"/>
      <c r="E13" s="86"/>
      <c r="F13" s="122"/>
      <c r="G13" s="121"/>
      <c r="H13" s="121"/>
      <c r="I13" s="121"/>
      <c r="J13" s="121"/>
      <c r="K13" s="121"/>
      <c r="L13" s="121"/>
      <c r="M13" s="121"/>
      <c r="N13" s="121"/>
      <c r="O13" s="121"/>
      <c r="P13" s="165"/>
      <c r="Q13" s="165"/>
      <c r="R13" s="190"/>
      <c r="S13" s="16"/>
      <c r="T13" s="16"/>
      <c r="U13" s="122"/>
      <c r="V13" s="126"/>
      <c r="W13" s="14"/>
      <c r="X13" s="14"/>
      <c r="Y13" s="14"/>
      <c r="Z13" s="14"/>
      <c r="AA13" s="85"/>
      <c r="AB13" s="85"/>
      <c r="AC13" s="85"/>
      <c r="AD13" s="85"/>
      <c r="AE13" s="14"/>
      <c r="AF13" s="14"/>
      <c r="AG13" s="14"/>
      <c r="AH13" s="14"/>
    </row>
    <row r="14" spans="1:34" ht="15">
      <c r="A14" s="117"/>
      <c r="B14" s="121"/>
      <c r="C14" s="142"/>
      <c r="D14" s="16"/>
      <c r="E14" s="86"/>
      <c r="F14" s="122"/>
      <c r="G14" s="121"/>
      <c r="H14" s="121"/>
      <c r="I14" s="121"/>
      <c r="J14" s="121"/>
      <c r="K14" s="121"/>
      <c r="L14" s="121"/>
      <c r="M14" s="121"/>
      <c r="N14" s="121"/>
      <c r="O14" s="121"/>
      <c r="P14" s="148"/>
      <c r="Q14" s="148"/>
      <c r="R14" s="118"/>
      <c r="S14" s="16"/>
      <c r="T14" s="16"/>
      <c r="U14" s="122"/>
      <c r="V14" s="126"/>
      <c r="W14" s="14"/>
      <c r="X14" s="14"/>
      <c r="Y14" s="14"/>
      <c r="Z14" s="14"/>
      <c r="AA14" s="85"/>
      <c r="AB14" s="85"/>
      <c r="AC14" s="85"/>
      <c r="AD14" s="85"/>
      <c r="AE14" s="14"/>
      <c r="AF14" s="14"/>
      <c r="AG14" s="14"/>
      <c r="AH14" s="14"/>
    </row>
  </sheetData>
  <autoFilter ref="A1:AH14" xr:uid="{00000000-0009-0000-0000-000004000000}"/>
  <mergeCells count="1">
    <mergeCell ref="P12:Q12"/>
  </mergeCell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Listas!$A:$A</xm:f>
          </x14:formula1>
          <x14:formula2>
            <xm:f>0</xm:f>
          </x14:formula2>
          <xm:sqref>M1:M14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B898-8ACF-4320-903D-02014D596D28}">
  <dimension ref="A1:Q1754"/>
  <sheetViews>
    <sheetView workbookViewId="0">
      <selection activeCell="C6" sqref="C6"/>
    </sheetView>
  </sheetViews>
  <sheetFormatPr defaultRowHeight="15"/>
  <cols>
    <col min="1" max="1" width="10.42578125" customWidth="1"/>
    <col min="2" max="2" width="12.42578125" customWidth="1"/>
    <col min="3" max="3" width="16" bestFit="1" customWidth="1"/>
    <col min="4" max="4" width="18.7109375" bestFit="1" customWidth="1"/>
    <col min="5" max="5" width="15" bestFit="1" customWidth="1"/>
    <col min="6" max="6" width="14.85546875" bestFit="1" customWidth="1"/>
    <col min="7" max="7" width="7.28515625" bestFit="1" customWidth="1"/>
    <col min="8" max="8" width="19.28515625" bestFit="1" customWidth="1"/>
    <col min="9" max="9" width="11.85546875" customWidth="1"/>
    <col min="10" max="11" width="12.28515625" customWidth="1"/>
    <col min="12" max="12" width="20.140625" customWidth="1"/>
    <col min="13" max="13" width="13.42578125" bestFit="1" customWidth="1"/>
  </cols>
  <sheetData>
    <row r="1" spans="1:17" ht="15.75" customHeight="1">
      <c r="A1" s="297" t="s">
        <v>2078</v>
      </c>
      <c r="B1" s="276" t="s">
        <v>1090</v>
      </c>
      <c r="C1" s="294" t="s">
        <v>2079</v>
      </c>
      <c r="D1" s="277" t="s">
        <v>40</v>
      </c>
      <c r="E1" s="277" t="s">
        <v>41</v>
      </c>
      <c r="F1" s="277" t="s">
        <v>43</v>
      </c>
      <c r="G1" s="296" t="s">
        <v>1097</v>
      </c>
      <c r="H1" s="295" t="s">
        <v>0</v>
      </c>
      <c r="I1" s="292" t="s">
        <v>2065</v>
      </c>
      <c r="J1" s="293" t="s">
        <v>1099</v>
      </c>
      <c r="K1" s="292" t="s">
        <v>1100</v>
      </c>
      <c r="L1" s="352" t="s">
        <v>2067</v>
      </c>
      <c r="M1" s="352" t="s">
        <v>2080</v>
      </c>
      <c r="N1" s="248"/>
      <c r="O1" s="248"/>
      <c r="P1" s="248"/>
      <c r="Q1" s="248"/>
    </row>
    <row r="2" spans="1:17" ht="15.75" hidden="1" customHeight="1">
      <c r="A2" s="307" t="e">
        <f>#REF!</f>
        <v>#REF!</v>
      </c>
      <c r="B2" s="243" t="str">
        <f>Backlog[[#This Row],[Clave del caso]]</f>
        <v>16613</v>
      </c>
      <c r="C2" s="243" t="e">
        <f>#REF!</f>
        <v>#REF!</v>
      </c>
      <c r="D2" s="243">
        <f>Backlog[[#This Row],[Cliente que solicita]]</f>
        <v>0</v>
      </c>
      <c r="E2" s="243" t="str">
        <f>Backlog[[#This Row],[Componente]]</f>
        <v>Gamma</v>
      </c>
      <c r="F2" s="243">
        <f>Backlog[[#This Row],[Area responsable de traccionar]]</f>
        <v>0</v>
      </c>
      <c r="G2" s="243">
        <f>Backlog[[#This Row],[OP]]</f>
        <v>0</v>
      </c>
      <c r="H2" s="243" t="str">
        <f>Backlog[[#This Row],[Estado]]</f>
        <v>Para implementar</v>
      </c>
      <c r="I2" s="317" t="str">
        <f>IF(Backlog[[#This Row],[Fecha Requerida en Producción]]="","",Backlog[[#This Row],[Fecha Requerida en Producción]])</f>
        <v/>
      </c>
      <c r="J2" s="317" t="str">
        <f>IF(Backlog[[#This Row],[Fecha comprometida (para UAT)]]="","",Backlog[[#This Row],[Fecha comprometida (para UAT)]])</f>
        <v/>
      </c>
      <c r="K2" s="229" t="str">
        <f>IF(Backlog[[#This Row],[Fecha Real de Cierre]]="","",Backlog[[#This Row],[Fecha Real de Cierre]])</f>
        <v/>
      </c>
      <c r="L2" s="229" t="str">
        <f>IF(Backlog[[#This Row],[Fecha Real de Cierre]]="","",Backlog[[#This Row],[Fecha Real de Cierre]])</f>
        <v/>
      </c>
      <c r="M2" s="229" t="str">
        <f>IF(Backlog[[#This Row],[Fecha Real de Cierre]]="","",Backlog[[#This Row],[Fecha Real de Cierre]])</f>
        <v/>
      </c>
      <c r="N2" s="248"/>
      <c r="O2" s="248"/>
      <c r="P2" s="248"/>
      <c r="Q2" s="248"/>
    </row>
    <row r="3" spans="1:17" ht="15.75" hidden="1" customHeight="1">
      <c r="A3" s="307" t="e">
        <f>#REF!</f>
        <v>#REF!</v>
      </c>
      <c r="B3" s="243" t="str">
        <f>Backlog[[#This Row],[Clave del caso]]</f>
        <v>GAMMA-817 SF16721</v>
      </c>
      <c r="C3" s="243" t="e">
        <f>#REF!</f>
        <v>#REF!</v>
      </c>
      <c r="D3" s="243" t="str">
        <f>Backlog[[#This Row],[Cliente que solicita]]</f>
        <v>La Pampa</v>
      </c>
      <c r="E3" s="243" t="str">
        <f>Backlog[[#This Row],[Componente]]</f>
        <v>Saaservice</v>
      </c>
      <c r="F3" s="243" t="str">
        <f>Backlog[[#This Row],[Area responsable de traccionar]]</f>
        <v>Mantenimiento</v>
      </c>
      <c r="G3" s="243">
        <f>Backlog[[#This Row],[OP]]</f>
        <v>0</v>
      </c>
      <c r="H3" s="243" t="str">
        <f>Backlog[[#This Row],[Estado]]</f>
        <v>Planificado</v>
      </c>
      <c r="I3" s="317" t="str">
        <f>IF(Backlog[[#This Row],[Fecha Requerida en Producción]]="","",Backlog[[#This Row],[Fecha Requerida en Producción]])</f>
        <v/>
      </c>
      <c r="J3" s="317" t="str">
        <f>IF(Backlog[[#This Row],[Fecha comprometida (para UAT)]]="","",Backlog[[#This Row],[Fecha comprometida (para UAT)]])</f>
        <v/>
      </c>
      <c r="K3" s="229" t="str">
        <f>IF(Backlog[[#This Row],[Fecha Real de Cierre]]="","",Backlog[[#This Row],[Fecha Real de Cierre]])</f>
        <v/>
      </c>
      <c r="L3" s="229" t="str">
        <f>IF(Backlog[[#This Row],[Fecha Real de Cierre]]="","",Backlog[[#This Row],[Fecha Real de Cierre]])</f>
        <v/>
      </c>
      <c r="M3" s="229" t="str">
        <f>IF(Backlog[[#This Row],[Fecha Real de Cierre]]="","",Backlog[[#This Row],[Fecha Real de Cierre]])</f>
        <v/>
      </c>
      <c r="N3" s="248"/>
      <c r="O3" s="248"/>
      <c r="P3" s="248"/>
      <c r="Q3" s="248"/>
    </row>
    <row r="4" spans="1:17" ht="15.75" hidden="1" customHeight="1">
      <c r="A4" s="309" t="e">
        <f>#REF!</f>
        <v>#REF!</v>
      </c>
      <c r="B4" s="234" t="str">
        <f>Backlog[[#This Row],[Clave del caso]]</f>
        <v>GAMMA-746 SF16529</v>
      </c>
      <c r="C4" s="235" t="e">
        <f>#REF!</f>
        <v>#REF!</v>
      </c>
      <c r="D4" s="234">
        <f>Backlog[[#This Row],[Cliente que solicita]]</f>
        <v>0</v>
      </c>
      <c r="E4" s="234" t="str">
        <f>Backlog[[#This Row],[Componente]]</f>
        <v>Gamma</v>
      </c>
      <c r="F4" s="234">
        <f>Backlog[[#This Row],[Area responsable de traccionar]]</f>
        <v>0</v>
      </c>
      <c r="G4" s="234">
        <f>Backlog[[#This Row],[OP]]</f>
        <v>0</v>
      </c>
      <c r="H4" s="234" t="str">
        <f>Backlog[[#This Row],[Estado]]</f>
        <v>A planificar</v>
      </c>
      <c r="I4" s="316" t="str">
        <f>IF(Backlog[[#This Row],[Fecha Requerida en Producción]]="","",Backlog[[#This Row],[Fecha Requerida en Producción]])</f>
        <v/>
      </c>
      <c r="J4" s="316" t="str">
        <f>IF(Backlog[[#This Row],[Fecha comprometida (para UAT)]]="","",Backlog[[#This Row],[Fecha comprometida (para UAT)]])</f>
        <v/>
      </c>
      <c r="K4" s="217" t="str">
        <f>IF(Backlog[[#This Row],[Fecha Real de Cierre]]="","",Backlog[[#This Row],[Fecha Real de Cierre]])</f>
        <v/>
      </c>
      <c r="L4" s="217" t="str">
        <f>IF(Backlog[[#This Row],[Fecha Real de Cierre]]="","",Backlog[[#This Row],[Fecha Real de Cierre]])</f>
        <v/>
      </c>
      <c r="M4" s="217" t="str">
        <f>IF(Backlog[[#This Row],[Fecha Real de Cierre]]="","",Backlog[[#This Row],[Fecha Real de Cierre]])</f>
        <v/>
      </c>
      <c r="N4" s="249"/>
      <c r="O4" s="249"/>
      <c r="P4" s="249"/>
      <c r="Q4" s="249"/>
    </row>
    <row r="5" spans="1:17" ht="15.75" hidden="1" customHeight="1">
      <c r="A5" s="307" t="e">
        <f>#REF!</f>
        <v>#REF!</v>
      </c>
      <c r="B5" s="243" t="str">
        <f>Backlog[[#This Row],[Clave del caso]]</f>
        <v>GAMMA-747 SF16530</v>
      </c>
      <c r="C5" s="303" t="e">
        <f>#REF!</f>
        <v>#REF!</v>
      </c>
      <c r="D5" s="243">
        <f>Backlog[[#This Row],[Cliente que solicita]]</f>
        <v>0</v>
      </c>
      <c r="E5" s="243" t="str">
        <f>Backlog[[#This Row],[Componente]]</f>
        <v>Gamma</v>
      </c>
      <c r="F5" s="243">
        <f>Backlog[[#This Row],[Area responsable de traccionar]]</f>
        <v>0</v>
      </c>
      <c r="G5" s="243">
        <f>Backlog[[#This Row],[OP]]</f>
        <v>0</v>
      </c>
      <c r="H5" s="243" t="str">
        <f>Backlog[[#This Row],[Estado]]</f>
        <v>A planificar</v>
      </c>
      <c r="I5" s="317" t="str">
        <f>IF(Backlog[[#This Row],[Fecha Requerida en Producción]]="","",Backlog[[#This Row],[Fecha Requerida en Producción]])</f>
        <v/>
      </c>
      <c r="J5" s="317" t="str">
        <f>IF(Backlog[[#This Row],[Fecha comprometida (para UAT)]]="","",Backlog[[#This Row],[Fecha comprometida (para UAT)]])</f>
        <v/>
      </c>
      <c r="K5" s="229" t="str">
        <f>IF(Backlog[[#This Row],[Fecha Real de Cierre]]="","",Backlog[[#This Row],[Fecha Real de Cierre]])</f>
        <v/>
      </c>
      <c r="L5" s="229" t="str">
        <f>IF(Backlog[[#This Row],[Fecha Real de Cierre]]="","",Backlog[[#This Row],[Fecha Real de Cierre]])</f>
        <v/>
      </c>
      <c r="M5" s="229" t="str">
        <f>IF(Backlog[[#This Row],[Fecha Real de Cierre]]="","",Backlog[[#This Row],[Fecha Real de Cierre]])</f>
        <v/>
      </c>
      <c r="N5" s="248"/>
      <c r="O5" s="248"/>
      <c r="P5" s="248"/>
      <c r="Q5" s="248"/>
    </row>
    <row r="6" spans="1:17" ht="15.75" customHeight="1">
      <c r="A6" s="355" t="e">
        <f>#REF!</f>
        <v>#REF!</v>
      </c>
      <c r="B6" s="354" t="str">
        <f>Backlog[[#This Row],[Clave del caso]]</f>
        <v>GAMMA-748 SF16531</v>
      </c>
      <c r="C6" s="356" t="e">
        <f>#REF!</f>
        <v>#REF!</v>
      </c>
      <c r="D6" s="354">
        <f>Backlog[[#This Row],[Cliente que solicita]]</f>
        <v>0</v>
      </c>
      <c r="E6" s="354" t="str">
        <f>Backlog[[#This Row],[Componente]]</f>
        <v>Gamma</v>
      </c>
      <c r="F6" s="354">
        <f>Backlog[[#This Row],[Area responsable de traccionar]]</f>
        <v>0</v>
      </c>
      <c r="G6" s="354">
        <f>Backlog[[#This Row],[OP]]</f>
        <v>0</v>
      </c>
      <c r="H6" s="354" t="str">
        <f>Backlog[[#This Row],[Estado]]</f>
        <v>A planificar</v>
      </c>
      <c r="I6" s="357">
        <f>Backlog[[#This Row],[Fecha Requerida en Producción]]</f>
        <v>0</v>
      </c>
      <c r="J6" s="358" t="str">
        <f>IF(Backlog[[#This Row],[Fecha comprometida (para UAT)]]="","",Backlog[[#This Row],[Fecha comprometida (para UAT)]])</f>
        <v/>
      </c>
      <c r="K6" s="359" t="str">
        <f>IF(Backlog[[#This Row],[Fecha Real de Cierre]]="","",Backlog[[#This Row],[Fecha Real de Cierre]])</f>
        <v/>
      </c>
      <c r="L6" s="360">
        <f>Backlog[[#This Row],[Estimación Desarrollo]]</f>
        <v>0</v>
      </c>
      <c r="M6" s="360">
        <f>Backlog[[#This Row],[QA/UAT]]</f>
        <v>0</v>
      </c>
      <c r="N6" s="248"/>
      <c r="O6" s="248"/>
      <c r="P6" s="248"/>
      <c r="Q6" s="248"/>
    </row>
    <row r="7" spans="1:17" ht="15.75" hidden="1" customHeight="1">
      <c r="A7" s="309" t="e">
        <f>#REF!</f>
        <v>#REF!</v>
      </c>
      <c r="B7" s="234" t="str">
        <f>Backlog[[#This Row],[Clave del caso]]</f>
        <v>GAMMA-749 SF16532</v>
      </c>
      <c r="C7" s="258" t="e">
        <f>#REF!</f>
        <v>#REF!</v>
      </c>
      <c r="D7" s="234">
        <f>Backlog[[#This Row],[Cliente que solicita]]</f>
        <v>0</v>
      </c>
      <c r="E7" s="234" t="str">
        <f>Backlog[[#This Row],[Componente]]</f>
        <v>Gamma</v>
      </c>
      <c r="F7" s="234">
        <f>Backlog[[#This Row],[Area responsable de traccionar]]</f>
        <v>0</v>
      </c>
      <c r="G7" s="234">
        <f>Backlog[[#This Row],[OP]]</f>
        <v>0</v>
      </c>
      <c r="H7" s="234" t="str">
        <f>Backlog[[#This Row],[Estado]]</f>
        <v>A planificar</v>
      </c>
      <c r="I7" s="316" t="str">
        <f>IF(Backlog[[#This Row],[Fecha Requerida en Producción]]="","",Backlog[[#This Row],[Fecha Requerida en Producción]])</f>
        <v/>
      </c>
      <c r="J7" s="316" t="str">
        <f>IF(Backlog[[#This Row],[Fecha comprometida (para UAT)]]="","",Backlog[[#This Row],[Fecha comprometida (para UAT)]])</f>
        <v/>
      </c>
      <c r="K7" s="217" t="str">
        <f>IF(Backlog[[#This Row],[Fecha Real de Cierre]]="","",Backlog[[#This Row],[Fecha Real de Cierre]])</f>
        <v/>
      </c>
      <c r="L7" s="353">
        <f>Backlog[[#This Row],[Estimación Desarrollo]]</f>
        <v>0</v>
      </c>
      <c r="M7" s="353">
        <f>Backlog[[#This Row],[QA/UAT]]</f>
        <v>0</v>
      </c>
      <c r="N7" s="248"/>
      <c r="O7" s="248"/>
      <c r="P7" s="248"/>
      <c r="Q7" s="248"/>
    </row>
    <row r="8" spans="1:17" ht="15.75" hidden="1" customHeight="1">
      <c r="A8" s="307" t="e">
        <f>#REF!</f>
        <v>#REF!</v>
      </c>
      <c r="B8" s="243" t="str">
        <f>Backlog[[#This Row],[Clave del caso]]</f>
        <v>GAMMA-750 SF16533</v>
      </c>
      <c r="C8" s="301" t="e">
        <f>#REF!</f>
        <v>#REF!</v>
      </c>
      <c r="D8" s="243">
        <f>Backlog[[#This Row],[Cliente que solicita]]</f>
        <v>0</v>
      </c>
      <c r="E8" s="243" t="str">
        <f>Backlog[[#This Row],[Componente]]</f>
        <v>Gamma</v>
      </c>
      <c r="F8" s="243">
        <f>Backlog[[#This Row],[Area responsable de traccionar]]</f>
        <v>0</v>
      </c>
      <c r="G8" s="243">
        <f>Backlog[[#This Row],[OP]]</f>
        <v>0</v>
      </c>
      <c r="H8" s="243" t="str">
        <f>Backlog[[#This Row],[Estado]]</f>
        <v>A planificar</v>
      </c>
      <c r="I8" s="317" t="str">
        <f>IF(Backlog[[#This Row],[Fecha Requerida en Producción]]="","",Backlog[[#This Row],[Fecha Requerida en Producción]])</f>
        <v/>
      </c>
      <c r="J8" s="317" t="str">
        <f>IF(Backlog[[#This Row],[Fecha comprometida (para UAT)]]="","",Backlog[[#This Row],[Fecha comprometida (para UAT)]])</f>
        <v/>
      </c>
      <c r="K8" s="229" t="str">
        <f>IF(Backlog[[#This Row],[Fecha Real de Cierre]]="","",Backlog[[#This Row],[Fecha Real de Cierre]])</f>
        <v/>
      </c>
      <c r="L8" s="353">
        <f>Backlog[[#This Row],[Estimación Desarrollo]]</f>
        <v>0</v>
      </c>
      <c r="M8" s="353">
        <f>Backlog[[#This Row],[QA/UAT]]</f>
        <v>0</v>
      </c>
      <c r="N8" s="248"/>
      <c r="O8" s="248"/>
      <c r="P8" s="248"/>
      <c r="Q8" s="248"/>
    </row>
    <row r="9" spans="1:17" ht="15.75" hidden="1" customHeight="1">
      <c r="A9" s="309" t="e">
        <f>#REF!</f>
        <v>#REF!</v>
      </c>
      <c r="B9" s="234" t="str">
        <f>Backlog[[#This Row],[Clave del caso]]</f>
        <v>GAMMA-751 SF16534</v>
      </c>
      <c r="C9" s="350" t="e">
        <f>#REF!</f>
        <v>#REF!</v>
      </c>
      <c r="D9" s="234">
        <f>Backlog[[#This Row],[Cliente que solicita]]</f>
        <v>0</v>
      </c>
      <c r="E9" s="234" t="str">
        <f>Backlog[[#This Row],[Componente]]</f>
        <v>Gamma</v>
      </c>
      <c r="F9" s="234">
        <f>Backlog[[#This Row],[Area responsable de traccionar]]</f>
        <v>0</v>
      </c>
      <c r="G9" s="234">
        <f>Backlog[[#This Row],[OP]]</f>
        <v>0</v>
      </c>
      <c r="H9" s="234" t="str">
        <f>Backlog[[#This Row],[Estado]]</f>
        <v>A planificar</v>
      </c>
      <c r="I9" s="316" t="str">
        <f>IF(Backlog[[#This Row],[Fecha Requerida en Producción]]="","",Backlog[[#This Row],[Fecha Requerida en Producción]])</f>
        <v/>
      </c>
      <c r="J9" s="316" t="str">
        <f>IF(Backlog[[#This Row],[Fecha comprometida (para UAT)]]="","",Backlog[[#This Row],[Fecha comprometida (para UAT)]])</f>
        <v/>
      </c>
      <c r="K9" s="217" t="str">
        <f>IF(Backlog[[#This Row],[Fecha Real de Cierre]]="","",Backlog[[#This Row],[Fecha Real de Cierre]])</f>
        <v/>
      </c>
      <c r="L9" s="353">
        <f>Backlog[[#This Row],[Estimación Desarrollo]]</f>
        <v>0</v>
      </c>
      <c r="M9" s="353">
        <f>Backlog[[#This Row],[QA/UAT]]</f>
        <v>0</v>
      </c>
      <c r="N9" s="248"/>
      <c r="O9" s="248"/>
      <c r="P9" s="248"/>
      <c r="Q9" s="248"/>
    </row>
    <row r="10" spans="1:17" ht="15.75" hidden="1" customHeight="1">
      <c r="A10" s="309" t="e">
        <f>#REF!</f>
        <v>#REF!</v>
      </c>
      <c r="B10" s="234" t="str">
        <f>Backlog[[#This Row],[Clave del caso]]</f>
        <v>GAMMA-752 SF16535</v>
      </c>
      <c r="C10" s="258" t="e">
        <f>#REF!</f>
        <v>#REF!</v>
      </c>
      <c r="D10" s="234">
        <f>Backlog[[#This Row],[Cliente que solicita]]</f>
        <v>0</v>
      </c>
      <c r="E10" s="234" t="str">
        <f>Backlog[[#This Row],[Componente]]</f>
        <v>Gamma</v>
      </c>
      <c r="F10" s="234">
        <f>Backlog[[#This Row],[Area responsable de traccionar]]</f>
        <v>0</v>
      </c>
      <c r="G10" s="234">
        <f>Backlog[[#This Row],[OP]]</f>
        <v>0</v>
      </c>
      <c r="H10" s="234" t="str">
        <f>Backlog[[#This Row],[Estado]]</f>
        <v>A planificar</v>
      </c>
      <c r="I10" s="316" t="str">
        <f>IF(Backlog[[#This Row],[Fecha Requerida en Producción]]="","",Backlog[[#This Row],[Fecha Requerida en Producción]])</f>
        <v/>
      </c>
      <c r="J10" s="316" t="str">
        <f>IF(Backlog[[#This Row],[Fecha comprometida (para UAT)]]="","",Backlog[[#This Row],[Fecha comprometida (para UAT)]])</f>
        <v/>
      </c>
      <c r="K10" s="217" t="str">
        <f>IF(Backlog[[#This Row],[Fecha Real de Cierre]]="","",Backlog[[#This Row],[Fecha Real de Cierre]])</f>
        <v/>
      </c>
      <c r="L10" s="353">
        <f>Backlog[[#This Row],[Estimación Desarrollo]]</f>
        <v>0</v>
      </c>
      <c r="M10" s="353">
        <f>Backlog[[#This Row],[QA/UAT]]</f>
        <v>0</v>
      </c>
      <c r="N10" s="248"/>
      <c r="O10" s="248"/>
      <c r="P10" s="248"/>
      <c r="Q10" s="248"/>
    </row>
    <row r="11" spans="1:17" ht="15.75" hidden="1" customHeight="1">
      <c r="A11" s="309" t="e">
        <f>#REF!</f>
        <v>#REF!</v>
      </c>
      <c r="B11" s="234" t="str">
        <f>Backlog[[#This Row],[Clave del caso]]</f>
        <v>GAMMA-753 SF16536</v>
      </c>
      <c r="C11" s="258" t="e">
        <f>#REF!</f>
        <v>#REF!</v>
      </c>
      <c r="D11" s="234">
        <f>Backlog[[#This Row],[Cliente que solicita]]</f>
        <v>0</v>
      </c>
      <c r="E11" s="234" t="str">
        <f>Backlog[[#This Row],[Componente]]</f>
        <v>Gamma</v>
      </c>
      <c r="F11" s="234">
        <f>Backlog[[#This Row],[Area responsable de traccionar]]</f>
        <v>0</v>
      </c>
      <c r="G11" s="234">
        <f>Backlog[[#This Row],[OP]]</f>
        <v>0</v>
      </c>
      <c r="H11" s="234" t="str">
        <f>Backlog[[#This Row],[Estado]]</f>
        <v>A planificar</v>
      </c>
      <c r="I11" s="316" t="str">
        <f>IF(Backlog[[#This Row],[Fecha Requerida en Producción]]="","",Backlog[[#This Row],[Fecha Requerida en Producción]])</f>
        <v/>
      </c>
      <c r="J11" s="316" t="str">
        <f>IF(Backlog[[#This Row],[Fecha comprometida (para UAT)]]="","",Backlog[[#This Row],[Fecha comprometida (para UAT)]])</f>
        <v/>
      </c>
      <c r="K11" s="217" t="str">
        <f>IF(Backlog[[#This Row],[Fecha Real de Cierre]]="","",Backlog[[#This Row],[Fecha Real de Cierre]])</f>
        <v/>
      </c>
      <c r="L11" s="353">
        <f>Backlog[[#This Row],[Estimación Desarrollo]]</f>
        <v>0</v>
      </c>
      <c r="M11" s="353">
        <f>Backlog[[#This Row],[QA/UAT]]</f>
        <v>0</v>
      </c>
      <c r="N11" s="248"/>
      <c r="O11" s="248"/>
      <c r="P11" s="248"/>
      <c r="Q11" s="248"/>
    </row>
    <row r="12" spans="1:17" ht="15.75" hidden="1" customHeight="1">
      <c r="A12" s="309" t="e">
        <f>#REF!</f>
        <v>#REF!</v>
      </c>
      <c r="B12" s="234" t="str">
        <f>Backlog[[#This Row],[Clave del caso]]</f>
        <v>GAMMA-754 SF16537</v>
      </c>
      <c r="C12" s="258" t="e">
        <f>#REF!</f>
        <v>#REF!</v>
      </c>
      <c r="D12" s="234">
        <f>Backlog[[#This Row],[Cliente que solicita]]</f>
        <v>0</v>
      </c>
      <c r="E12" s="234" t="str">
        <f>Backlog[[#This Row],[Componente]]</f>
        <v>Gamma</v>
      </c>
      <c r="F12" s="234">
        <f>Backlog[[#This Row],[Area responsable de traccionar]]</f>
        <v>0</v>
      </c>
      <c r="G12" s="234">
        <f>Backlog[[#This Row],[OP]]</f>
        <v>0</v>
      </c>
      <c r="H12" s="234" t="str">
        <f>Backlog[[#This Row],[Estado]]</f>
        <v>A planificar</v>
      </c>
      <c r="I12" s="316" t="str">
        <f>IF(Backlog[[#This Row],[Fecha Requerida en Producción]]="","",Backlog[[#This Row],[Fecha Requerida en Producción]])</f>
        <v/>
      </c>
      <c r="J12" s="316" t="str">
        <f>IF(Backlog[[#This Row],[Fecha comprometida (para UAT)]]="","",Backlog[[#This Row],[Fecha comprometida (para UAT)]])</f>
        <v/>
      </c>
      <c r="K12" s="217" t="str">
        <f>IF(Backlog[[#This Row],[Fecha Real de Cierre]]="","",Backlog[[#This Row],[Fecha Real de Cierre]])</f>
        <v/>
      </c>
      <c r="L12" s="353">
        <f>Backlog[[#This Row],[Estimación Desarrollo]]</f>
        <v>0</v>
      </c>
      <c r="M12" s="353">
        <f>Backlog[[#This Row],[QA/UAT]]</f>
        <v>0</v>
      </c>
      <c r="N12" s="248"/>
      <c r="O12" s="248"/>
      <c r="P12" s="248"/>
      <c r="Q12" s="248"/>
    </row>
    <row r="13" spans="1:17" ht="15.75" hidden="1" customHeight="1">
      <c r="A13" s="309" t="e">
        <f>#REF!</f>
        <v>#REF!</v>
      </c>
      <c r="B13" s="234" t="str">
        <f>Backlog[[#This Row],[Clave del caso]]</f>
        <v>GAMMA-755 SF16538</v>
      </c>
      <c r="C13" s="258" t="e">
        <f>#REF!</f>
        <v>#REF!</v>
      </c>
      <c r="D13" s="234">
        <f>Backlog[[#This Row],[Cliente que solicita]]</f>
        <v>0</v>
      </c>
      <c r="E13" s="234" t="str">
        <f>Backlog[[#This Row],[Componente]]</f>
        <v>Gamma</v>
      </c>
      <c r="F13" s="234">
        <f>Backlog[[#This Row],[Area responsable de traccionar]]</f>
        <v>0</v>
      </c>
      <c r="G13" s="234">
        <f>Backlog[[#This Row],[OP]]</f>
        <v>0</v>
      </c>
      <c r="H13" s="234" t="str">
        <f>Backlog[[#This Row],[Estado]]</f>
        <v>A planificar</v>
      </c>
      <c r="I13" s="316" t="str">
        <f>IF(Backlog[[#This Row],[Fecha Requerida en Producción]]="","",Backlog[[#This Row],[Fecha Requerida en Producción]])</f>
        <v/>
      </c>
      <c r="J13" s="316" t="str">
        <f>IF(Backlog[[#This Row],[Fecha comprometida (para UAT)]]="","",Backlog[[#This Row],[Fecha comprometida (para UAT)]])</f>
        <v/>
      </c>
      <c r="K13" s="217" t="str">
        <f>IF(Backlog[[#This Row],[Fecha Real de Cierre]]="","",Backlog[[#This Row],[Fecha Real de Cierre]])</f>
        <v/>
      </c>
      <c r="L13" s="353">
        <f>Backlog[[#This Row],[Estimación Desarrollo]]</f>
        <v>0</v>
      </c>
      <c r="M13" s="353">
        <f>Backlog[[#This Row],[QA/UAT]]</f>
        <v>0</v>
      </c>
      <c r="N13" s="248"/>
      <c r="O13" s="248"/>
      <c r="P13" s="248"/>
      <c r="Q13" s="248"/>
    </row>
    <row r="14" spans="1:17" ht="15.75" hidden="1" customHeight="1">
      <c r="A14" s="309" t="e">
        <f>#REF!</f>
        <v>#REF!</v>
      </c>
      <c r="B14" s="234" t="str">
        <f>Backlog[[#This Row],[Clave del caso]]</f>
        <v>GAMMA-756 SF16539</v>
      </c>
      <c r="C14" s="235" t="e">
        <f>#REF!</f>
        <v>#REF!</v>
      </c>
      <c r="D14" s="234">
        <f>Backlog[[#This Row],[Cliente que solicita]]</f>
        <v>0</v>
      </c>
      <c r="E14" s="234" t="str">
        <f>Backlog[[#This Row],[Componente]]</f>
        <v>Gamma</v>
      </c>
      <c r="F14" s="234">
        <f>Backlog[[#This Row],[Area responsable de traccionar]]</f>
        <v>0</v>
      </c>
      <c r="G14" s="234">
        <f>Backlog[[#This Row],[OP]]</f>
        <v>0</v>
      </c>
      <c r="H14" s="234" t="str">
        <f>Backlog[[#This Row],[Estado]]</f>
        <v>A planificar</v>
      </c>
      <c r="I14" s="316" t="str">
        <f>IF(Backlog[[#This Row],[Fecha Requerida en Producción]]="","",Backlog[[#This Row],[Fecha Requerida en Producción]])</f>
        <v/>
      </c>
      <c r="J14" s="316" t="str">
        <f>IF(Backlog[[#This Row],[Fecha comprometida (para UAT)]]="","",Backlog[[#This Row],[Fecha comprometida (para UAT)]])</f>
        <v/>
      </c>
      <c r="K14" s="217" t="str">
        <f>IF(Backlog[[#This Row],[Fecha Real de Cierre]]="","",Backlog[[#This Row],[Fecha Real de Cierre]])</f>
        <v/>
      </c>
      <c r="L14" s="353">
        <f>Backlog[[#This Row],[Estimación Desarrollo]]</f>
        <v>0</v>
      </c>
      <c r="M14" s="353">
        <f>Backlog[[#This Row],[QA/UAT]]</f>
        <v>0</v>
      </c>
      <c r="N14" s="248"/>
      <c r="O14" s="248"/>
      <c r="P14" s="248"/>
      <c r="Q14" s="248"/>
    </row>
    <row r="15" spans="1:17" ht="15.75" hidden="1" customHeight="1">
      <c r="A15" s="307" t="e">
        <f>#REF!</f>
        <v>#REF!</v>
      </c>
      <c r="B15" s="243" t="str">
        <f>Backlog[[#This Row],[Clave del caso]]</f>
        <v>SF16554</v>
      </c>
      <c r="C15" s="303" t="e">
        <f>#REF!</f>
        <v>#REF!</v>
      </c>
      <c r="D15" s="243" t="str">
        <f>Backlog[[#This Row],[Cliente que solicita]]</f>
        <v>Corrientes</v>
      </c>
      <c r="E15" s="243" t="str">
        <f>Backlog[[#This Row],[Componente]]</f>
        <v>NOA</v>
      </c>
      <c r="F15" s="243" t="str">
        <f>Backlog[[#This Row],[Area responsable de traccionar]]</f>
        <v>SAC</v>
      </c>
      <c r="G15" s="243">
        <f>Backlog[[#This Row],[OP]]</f>
        <v>0</v>
      </c>
      <c r="H15" s="243" t="str">
        <f>Backlog[[#This Row],[Estado]]</f>
        <v>A priorizar</v>
      </c>
      <c r="I15" s="317" t="str">
        <f>IF(Backlog[[#This Row],[Fecha Requerida en Producción]]="","",Backlog[[#This Row],[Fecha Requerida en Producción]])</f>
        <v/>
      </c>
      <c r="J15" s="317" t="str">
        <f>IF(Backlog[[#This Row],[Fecha comprometida (para UAT)]]="","",Backlog[[#This Row],[Fecha comprometida (para UAT)]])</f>
        <v/>
      </c>
      <c r="K15" s="229" t="str">
        <f>IF(Backlog[[#This Row],[Fecha Real de Cierre]]="","",Backlog[[#This Row],[Fecha Real de Cierre]])</f>
        <v/>
      </c>
      <c r="L15" s="353">
        <f>Backlog[[#This Row],[Estimación Desarrollo]]</f>
        <v>24</v>
      </c>
      <c r="M15" s="353">
        <f>Backlog[[#This Row],[QA/UAT]]</f>
        <v>0</v>
      </c>
      <c r="N15" s="248"/>
      <c r="O15" s="248"/>
      <c r="P15" s="248"/>
      <c r="Q15" s="248"/>
    </row>
    <row r="16" spans="1:17" ht="15.75" hidden="1" customHeight="1">
      <c r="A16" s="309" t="e">
        <f>#REF!</f>
        <v>#REF!</v>
      </c>
      <c r="B16" s="234" t="str">
        <f>Backlog[[#This Row],[Clave del caso]]</f>
        <v>GAMMA - 000719
SF16366</v>
      </c>
      <c r="C16" s="235" t="e">
        <f>#REF!</f>
        <v>#REF!</v>
      </c>
      <c r="D16" s="234" t="str">
        <f>Backlog[[#This Row],[Cliente que solicita]]</f>
        <v>Santiago del Estero</v>
      </c>
      <c r="E16" s="234" t="str">
        <f>Backlog[[#This Row],[Componente]]</f>
        <v>Gamma</v>
      </c>
      <c r="F16" s="234" t="str">
        <f>Backlog[[#This Row],[Area responsable de traccionar]]</f>
        <v>Mantenimiento</v>
      </c>
      <c r="G16" s="234">
        <f>Backlog[[#This Row],[OP]]</f>
        <v>1</v>
      </c>
      <c r="H16" s="234" t="str">
        <f>Backlog[[#This Row],[Estado]]</f>
        <v>En desarrollo</v>
      </c>
      <c r="I16" s="316">
        <f>IF(Backlog[[#This Row],[Fecha Requerida en Producción]]="","",Backlog[[#This Row],[Fecha Requerida en Producción]])</f>
        <v>46142</v>
      </c>
      <c r="J16" s="316" t="str">
        <f>IF(Backlog[[#This Row],[Fecha comprometida (para UAT)]]="","",Backlog[[#This Row],[Fecha comprometida (para UAT)]])</f>
        <v/>
      </c>
      <c r="K16" s="217" t="str">
        <f>IF(Backlog[[#This Row],[Fecha Real de Cierre]]="","",Backlog[[#This Row],[Fecha Real de Cierre]])</f>
        <v/>
      </c>
      <c r="L16" s="353">
        <f>Backlog[[#This Row],[Estimación Desarrollo]]</f>
        <v>120</v>
      </c>
      <c r="M16" s="353">
        <f>Backlog[[#This Row],[QA/UAT]]</f>
        <v>0</v>
      </c>
      <c r="N16" s="248"/>
      <c r="O16" s="248"/>
      <c r="P16" s="248"/>
      <c r="Q16" s="248"/>
    </row>
    <row r="17" spans="1:17" ht="15.75" hidden="1" customHeight="1">
      <c r="A17" s="309" t="e">
        <f>#REF!</f>
        <v>#REF!</v>
      </c>
      <c r="B17" s="234" t="str">
        <f>Backlog[[#This Row],[Clave del caso]]</f>
        <v>GAMMA - 000722
SF16367</v>
      </c>
      <c r="C17" s="259" t="e">
        <f>#REF!</f>
        <v>#REF!</v>
      </c>
      <c r="D17" s="234" t="str">
        <f>Backlog[[#This Row],[Cliente que solicita]]</f>
        <v>Santiago del Estero</v>
      </c>
      <c r="E17" s="234" t="str">
        <f>Backlog[[#This Row],[Componente]]</f>
        <v>Gamma</v>
      </c>
      <c r="F17" s="234" t="str">
        <f>Backlog[[#This Row],[Area responsable de traccionar]]</f>
        <v>Mantenimiento</v>
      </c>
      <c r="G17" s="234">
        <f>Backlog[[#This Row],[OP]]</f>
        <v>2</v>
      </c>
      <c r="H17" s="234" t="str">
        <f>Backlog[[#This Row],[Estado]]</f>
        <v>En desarrollo</v>
      </c>
      <c r="I17" s="316">
        <f>IF(Backlog[[#This Row],[Fecha Requerida en Producción]]="","",Backlog[[#This Row],[Fecha Requerida en Producción]])</f>
        <v>46142</v>
      </c>
      <c r="J17" s="316" t="str">
        <f>IF(Backlog[[#This Row],[Fecha comprometida (para UAT)]]="","",Backlog[[#This Row],[Fecha comprometida (para UAT)]])</f>
        <v/>
      </c>
      <c r="K17" s="217" t="str">
        <f>IF(Backlog[[#This Row],[Fecha Real de Cierre]]="","",Backlog[[#This Row],[Fecha Real de Cierre]])</f>
        <v/>
      </c>
      <c r="L17" s="353">
        <f>Backlog[[#This Row],[Estimación Desarrollo]]</f>
        <v>160</v>
      </c>
      <c r="M17" s="353">
        <f>Backlog[[#This Row],[QA/UAT]]</f>
        <v>0</v>
      </c>
      <c r="N17" s="248"/>
      <c r="O17" s="248"/>
      <c r="P17" s="248"/>
      <c r="Q17" s="248"/>
    </row>
    <row r="18" spans="1:17" ht="15.75" hidden="1" customHeight="1">
      <c r="A18" s="307" t="e">
        <f>#REF!</f>
        <v>#REF!</v>
      </c>
      <c r="B18" s="243" t="str">
        <f>Backlog[[#This Row],[Clave del caso]]</f>
        <v>16608</v>
      </c>
      <c r="C18" s="306" t="e">
        <f>#REF!</f>
        <v>#REF!</v>
      </c>
      <c r="D18" s="243" t="str">
        <f>Backlog[[#This Row],[Cliente que solicita]]</f>
        <v>Santiago del Estero</v>
      </c>
      <c r="E18" s="243" t="str">
        <f>Backlog[[#This Row],[Componente]]</f>
        <v>Gamma</v>
      </c>
      <c r="F18" s="243" t="str">
        <f>Backlog[[#This Row],[Area responsable de traccionar]]</f>
        <v>Mantenimiento</v>
      </c>
      <c r="G18" s="243">
        <f>Backlog[[#This Row],[OP]]</f>
        <v>5</v>
      </c>
      <c r="H18" s="243" t="str">
        <f>Backlog[[#This Row],[Estado]]</f>
        <v>En desarrollo</v>
      </c>
      <c r="I18" s="256">
        <f>Backlog[[#This Row],[Fecha Requerida en Producción]]</f>
        <v>46147</v>
      </c>
      <c r="J18" s="317" t="str">
        <f>IF(Backlog[[#This Row],[Fecha comprometida (para UAT)]]="","",Backlog[[#This Row],[Fecha comprometida (para UAT)]])</f>
        <v/>
      </c>
      <c r="K18" s="229" t="str">
        <f>IF(Backlog[[#This Row],[Fecha Real de Cierre]]="","",Backlog[[#This Row],[Fecha Real de Cierre]])</f>
        <v/>
      </c>
      <c r="L18" s="353">
        <f>Backlog[[#This Row],[Estimación Desarrollo]]</f>
        <v>136</v>
      </c>
      <c r="M18" s="353">
        <f>Backlog[[#This Row],[QA/UAT]]</f>
        <v>0</v>
      </c>
      <c r="N18" s="248"/>
      <c r="O18" s="248"/>
      <c r="P18" s="248"/>
      <c r="Q18" s="248"/>
    </row>
    <row r="19" spans="1:17" ht="15.75" hidden="1" customHeight="1">
      <c r="A19" s="309" t="e">
        <f>#REF!</f>
        <v>#REF!</v>
      </c>
      <c r="B19" s="234" t="str">
        <f>Backlog[[#This Row],[Clave del caso]]</f>
        <v>16609</v>
      </c>
      <c r="C19" s="260" t="e">
        <f>#REF!</f>
        <v>#REF!</v>
      </c>
      <c r="D19" s="234" t="str">
        <f>Backlog[[#This Row],[Cliente que solicita]]</f>
        <v>Santiago del Estero</v>
      </c>
      <c r="E19" s="234" t="str">
        <f>Backlog[[#This Row],[Componente]]</f>
        <v>Gamma</v>
      </c>
      <c r="F19" s="234" t="str">
        <f>Backlog[[#This Row],[Area responsable de traccionar]]</f>
        <v>Mantenimiento</v>
      </c>
      <c r="G19" s="234">
        <f>Backlog[[#This Row],[OP]]</f>
        <v>6</v>
      </c>
      <c r="H19" s="234" t="str">
        <f>Backlog[[#This Row],[Estado]]</f>
        <v>A planificar</v>
      </c>
      <c r="I19" s="316" t="str">
        <f>IF(Backlog[[#This Row],[Fecha Requerida en Producción]]="","",Backlog[[#This Row],[Fecha Requerida en Producción]])</f>
        <v/>
      </c>
      <c r="J19" s="316" t="str">
        <f>IF(Backlog[[#This Row],[Fecha comprometida (para UAT)]]="","",Backlog[[#This Row],[Fecha comprometida (para UAT)]])</f>
        <v/>
      </c>
      <c r="K19" s="217" t="str">
        <f>IF(Backlog[[#This Row],[Fecha Real de Cierre]]="","",Backlog[[#This Row],[Fecha Real de Cierre]])</f>
        <v/>
      </c>
      <c r="L19" s="353">
        <f>Backlog[[#This Row],[Estimación Desarrollo]]</f>
        <v>160</v>
      </c>
      <c r="M19" s="353">
        <f>Backlog[[#This Row],[QA/UAT]]</f>
        <v>0</v>
      </c>
      <c r="N19" s="248"/>
      <c r="O19" s="248"/>
      <c r="P19" s="248"/>
      <c r="Q19" s="248"/>
    </row>
    <row r="20" spans="1:17" ht="15.75" hidden="1" customHeight="1">
      <c r="A20" s="307" t="e">
        <f>#REF!</f>
        <v>#REF!</v>
      </c>
      <c r="B20" s="243" t="str">
        <f>Backlog[[#This Row],[Clave del caso]]</f>
        <v>GAMMA - 000739 16403</v>
      </c>
      <c r="C20" s="306" t="e">
        <f>#REF!</f>
        <v>#REF!</v>
      </c>
      <c r="D20" s="243" t="str">
        <f>Backlog[[#This Row],[Cliente que solicita]]</f>
        <v>Santiago del Estero</v>
      </c>
      <c r="E20" s="243" t="str">
        <f>Backlog[[#This Row],[Componente]]</f>
        <v>Gamma</v>
      </c>
      <c r="F20" s="243" t="str">
        <f>Backlog[[#This Row],[Area responsable de traccionar]]</f>
        <v>Mantenimiento</v>
      </c>
      <c r="G20" s="243">
        <f>Backlog[[#This Row],[OP]]</f>
        <v>3</v>
      </c>
      <c r="H20" s="243" t="str">
        <f>Backlog[[#This Row],[Estado]]</f>
        <v>A planificar</v>
      </c>
      <c r="I20" s="317" t="str">
        <f>IF(Backlog[[#This Row],[Fecha Requerida en Producción]]="","",Backlog[[#This Row],[Fecha Requerida en Producción]])</f>
        <v/>
      </c>
      <c r="J20" s="317" t="str">
        <f>IF(Backlog[[#This Row],[Fecha comprometida (para UAT)]]="","",Backlog[[#This Row],[Fecha comprometida (para UAT)]])</f>
        <v/>
      </c>
      <c r="K20" s="229" t="str">
        <f>IF(Backlog[[#This Row],[Fecha Real de Cierre]]="","",Backlog[[#This Row],[Fecha Real de Cierre]])</f>
        <v/>
      </c>
      <c r="L20" s="353">
        <f>Backlog[[#This Row],[Estimación Desarrollo]]</f>
        <v>400</v>
      </c>
      <c r="M20" s="353">
        <f>Backlog[[#This Row],[QA/UAT]]</f>
        <v>0</v>
      </c>
      <c r="N20" s="248"/>
      <c r="O20" s="248"/>
      <c r="P20" s="248"/>
      <c r="Q20" s="248"/>
    </row>
    <row r="21" spans="1:17" ht="15.75" hidden="1" customHeight="1">
      <c r="A21" s="307" t="e">
        <f>#REF!</f>
        <v>#REF!</v>
      </c>
      <c r="B21" s="243" t="str">
        <f>Backlog[[#This Row],[Clave del caso]]</f>
        <v>GAMMA - 000738
16404</v>
      </c>
      <c r="C21" s="304" t="e">
        <f>#REF!</f>
        <v>#REF!</v>
      </c>
      <c r="D21" s="243" t="str">
        <f>Backlog[[#This Row],[Cliente que solicita]]</f>
        <v>Santiago del Estero</v>
      </c>
      <c r="E21" s="243" t="str">
        <f>Backlog[[#This Row],[Componente]]</f>
        <v>Gamma</v>
      </c>
      <c r="F21" s="243" t="str">
        <f>Backlog[[#This Row],[Area responsable de traccionar]]</f>
        <v>Mantenimiento</v>
      </c>
      <c r="G21" s="243">
        <f>Backlog[[#This Row],[OP]]</f>
        <v>8</v>
      </c>
      <c r="H21" s="243" t="str">
        <f>Backlog[[#This Row],[Estado]]</f>
        <v>En desarrollo</v>
      </c>
      <c r="I21" s="256">
        <f>Backlog[[#This Row],[Fecha Requerida en Producción]]</f>
        <v>46147</v>
      </c>
      <c r="J21" s="317" t="str">
        <f>IF(Backlog[[#This Row],[Fecha comprometida (para UAT)]]="","",Backlog[[#This Row],[Fecha comprometida (para UAT)]])</f>
        <v/>
      </c>
      <c r="K21" s="229" t="str">
        <f>IF(Backlog[[#This Row],[Fecha Real de Cierre]]="","",Backlog[[#This Row],[Fecha Real de Cierre]])</f>
        <v/>
      </c>
      <c r="L21" s="353">
        <f>Backlog[[#This Row],[Estimación Desarrollo]]</f>
        <v>32</v>
      </c>
      <c r="M21" s="353">
        <f>Backlog[[#This Row],[QA/UAT]]</f>
        <v>0</v>
      </c>
      <c r="N21" s="248"/>
      <c r="O21" s="248"/>
      <c r="P21" s="248"/>
      <c r="Q21" s="248"/>
    </row>
    <row r="22" spans="1:17" ht="15.75" hidden="1" customHeight="1">
      <c r="A22" s="307" t="e">
        <f>#REF!</f>
        <v>#REF!</v>
      </c>
      <c r="B22" s="243" t="str">
        <f>Backlog[[#This Row],[Clave del caso]]</f>
        <v>16453</v>
      </c>
      <c r="C22" s="305" t="e">
        <f>#REF!</f>
        <v>#REF!</v>
      </c>
      <c r="D22" s="243" t="str">
        <f>Backlog[[#This Row],[Cliente que solicita]]</f>
        <v>Santiago del Estero</v>
      </c>
      <c r="E22" s="243" t="str">
        <f>Backlog[[#This Row],[Componente]]</f>
        <v>Gamma</v>
      </c>
      <c r="F22" s="243" t="str">
        <f>Backlog[[#This Row],[Area responsable de traccionar]]</f>
        <v>Mantenimiento</v>
      </c>
      <c r="G22" s="243">
        <f>Backlog[[#This Row],[OP]]</f>
        <v>9</v>
      </c>
      <c r="H22" s="243" t="str">
        <f>Backlog[[#This Row],[Estado]]</f>
        <v>En desarrollo</v>
      </c>
      <c r="I22" s="317">
        <f>IF(Backlog[[#This Row],[Fecha Requerida en Producción]]="","",Backlog[[#This Row],[Fecha Requerida en Producción]])</f>
        <v>46150</v>
      </c>
      <c r="J22" s="317" t="str">
        <f>IF(Backlog[[#This Row],[Fecha comprometida (para UAT)]]="","",Backlog[[#This Row],[Fecha comprometida (para UAT)]])</f>
        <v/>
      </c>
      <c r="K22" s="229" t="str">
        <f>IF(Backlog[[#This Row],[Fecha Real de Cierre]]="","",Backlog[[#This Row],[Fecha Real de Cierre]])</f>
        <v/>
      </c>
      <c r="L22" s="353">
        <f>Backlog[[#This Row],[Estimación Desarrollo]]</f>
        <v>400</v>
      </c>
      <c r="M22" s="353">
        <f>Backlog[[#This Row],[QA/UAT]]</f>
        <v>0</v>
      </c>
      <c r="N22" s="248"/>
      <c r="O22" s="248"/>
      <c r="P22" s="248"/>
      <c r="Q22" s="248"/>
    </row>
    <row r="23" spans="1:17" ht="15.75" hidden="1" customHeight="1">
      <c r="A23" s="307" t="e">
        <f>#REF!</f>
        <v>#REF!</v>
      </c>
      <c r="B23" s="243" t="str">
        <f>Backlog[[#This Row],[Clave del caso]]</f>
        <v>16454</v>
      </c>
      <c r="C23" s="242" t="e">
        <f>#REF!</f>
        <v>#REF!</v>
      </c>
      <c r="D23" s="243" t="str">
        <f>Backlog[[#This Row],[Cliente que solicita]]</f>
        <v>Santiago del Estero</v>
      </c>
      <c r="E23" s="243" t="str">
        <f>Backlog[[#This Row],[Componente]]</f>
        <v>Gamma</v>
      </c>
      <c r="F23" s="243" t="str">
        <f>Backlog[[#This Row],[Area responsable de traccionar]]</f>
        <v>Mantenimiento</v>
      </c>
      <c r="G23" s="243">
        <f>Backlog[[#This Row],[OP]]</f>
        <v>48</v>
      </c>
      <c r="H23" s="243" t="str">
        <f>Backlog[[#This Row],[Estado]]</f>
        <v>En desarrollo</v>
      </c>
      <c r="I23" s="256">
        <f>Backlog[[#This Row],[Fecha Requerida en Producción]]</f>
        <v>0</v>
      </c>
      <c r="J23" s="317" t="str">
        <f>IF(Backlog[[#This Row],[Fecha comprometida (para UAT)]]="","",Backlog[[#This Row],[Fecha comprometida (para UAT)]])</f>
        <v/>
      </c>
      <c r="K23" s="229" t="str">
        <f>IF(Backlog[[#This Row],[Fecha Real de Cierre]]="","",Backlog[[#This Row],[Fecha Real de Cierre]])</f>
        <v/>
      </c>
      <c r="L23" s="353">
        <f>Backlog[[#This Row],[Estimación Desarrollo]]</f>
        <v>100</v>
      </c>
      <c r="M23" s="353">
        <f>Backlog[[#This Row],[QA/UAT]]</f>
        <v>0</v>
      </c>
      <c r="N23" s="248"/>
      <c r="O23" s="248"/>
      <c r="P23" s="248"/>
      <c r="Q23" s="248"/>
    </row>
    <row r="24" spans="1:17" ht="15.75" hidden="1" customHeight="1">
      <c r="A24" s="307" t="e">
        <f>#REF!</f>
        <v>#REF!</v>
      </c>
      <c r="B24" s="243" t="str">
        <f>Backlog[[#This Row],[Clave del caso]]</f>
        <v>16455</v>
      </c>
      <c r="C24" s="246" t="e">
        <f>#REF!</f>
        <v>#REF!</v>
      </c>
      <c r="D24" s="243" t="str">
        <f>Backlog[[#This Row],[Cliente que solicita]]</f>
        <v>Santiago del Estero</v>
      </c>
      <c r="E24" s="243" t="str">
        <f>Backlog[[#This Row],[Componente]]</f>
        <v>Gamma</v>
      </c>
      <c r="F24" s="243" t="str">
        <f>Backlog[[#This Row],[Area responsable de traccionar]]</f>
        <v>Mantenimiento</v>
      </c>
      <c r="G24" s="243">
        <f>Backlog[[#This Row],[OP]]</f>
        <v>49</v>
      </c>
      <c r="H24" s="243" t="str">
        <f>Backlog[[#This Row],[Estado]]</f>
        <v>En desarrollo</v>
      </c>
      <c r="I24" s="256">
        <f>Backlog[[#This Row],[Fecha Requerida en Producción]]</f>
        <v>0</v>
      </c>
      <c r="J24" s="317" t="str">
        <f>IF(Backlog[[#This Row],[Fecha comprometida (para UAT)]]="","",Backlog[[#This Row],[Fecha comprometida (para UAT)]])</f>
        <v/>
      </c>
      <c r="K24" s="229" t="str">
        <f>IF(Backlog[[#This Row],[Fecha Real de Cierre]]="","",Backlog[[#This Row],[Fecha Real de Cierre]])</f>
        <v/>
      </c>
      <c r="L24" s="353">
        <f>Backlog[[#This Row],[Estimación Desarrollo]]</f>
        <v>60</v>
      </c>
      <c r="M24" s="353">
        <f>Backlog[[#This Row],[QA/UAT]]</f>
        <v>0</v>
      </c>
      <c r="N24" s="248"/>
      <c r="O24" s="248"/>
      <c r="P24" s="248"/>
      <c r="Q24" s="248"/>
    </row>
    <row r="25" spans="1:17" ht="15.75" customHeight="1">
      <c r="A25" s="355" t="e">
        <f>#REF!</f>
        <v>#REF!</v>
      </c>
      <c r="B25" s="354" t="str">
        <f>Backlog[[#This Row],[Clave del caso]]</f>
        <v>16456</v>
      </c>
      <c r="C25" s="361" t="e">
        <f>#REF!</f>
        <v>#REF!</v>
      </c>
      <c r="D25" s="354" t="str">
        <f>Backlog[[#This Row],[Cliente que solicita]]</f>
        <v>Santiago del Estero</v>
      </c>
      <c r="E25" s="354" t="str">
        <f>Backlog[[#This Row],[Componente]]</f>
        <v>Gamma</v>
      </c>
      <c r="F25" s="354" t="str">
        <f>Backlog[[#This Row],[Area responsable de traccionar]]</f>
        <v>Mantenimiento</v>
      </c>
      <c r="G25" s="354">
        <f>Backlog[[#This Row],[OP]]</f>
        <v>50</v>
      </c>
      <c r="H25" s="354" t="str">
        <f>Backlog[[#This Row],[Estado]]</f>
        <v>En desarrollo</v>
      </c>
      <c r="I25" s="358" t="str">
        <f>IF(Backlog[[#This Row],[Fecha Requerida en Producción]]="","",Backlog[[#This Row],[Fecha Requerida en Producción]])</f>
        <v/>
      </c>
      <c r="J25" s="358" t="str">
        <f>IF(Backlog[[#This Row],[Fecha comprometida (para UAT)]]="","",Backlog[[#This Row],[Fecha comprometida (para UAT)]])</f>
        <v/>
      </c>
      <c r="K25" s="359" t="str">
        <f>IF(Backlog[[#This Row],[Fecha Real de Cierre]]="","",Backlog[[#This Row],[Fecha Real de Cierre]])</f>
        <v/>
      </c>
      <c r="L25" s="360">
        <f>Backlog[[#This Row],[Estimación Desarrollo]]</f>
        <v>100</v>
      </c>
      <c r="M25" s="360">
        <f>Backlog[[#This Row],[QA/UAT]]</f>
        <v>0</v>
      </c>
      <c r="N25" s="248"/>
      <c r="O25" s="248"/>
      <c r="P25" s="248"/>
      <c r="Q25" s="248"/>
    </row>
    <row r="26" spans="1:17" ht="15.75" hidden="1" customHeight="1">
      <c r="A26" s="307" t="e">
        <f>#REF!</f>
        <v>#REF!</v>
      </c>
      <c r="B26" s="243" t="str">
        <f>Backlog[[#This Row],[Clave del caso]]</f>
        <v>16458</v>
      </c>
      <c r="C26" s="304" t="e">
        <f>#REF!</f>
        <v>#REF!</v>
      </c>
      <c r="D26" s="243" t="str">
        <f>Backlog[[#This Row],[Cliente que solicita]]</f>
        <v>Santiago del Estero</v>
      </c>
      <c r="E26" s="243" t="str">
        <f>Backlog[[#This Row],[Componente]]</f>
        <v>Gamma</v>
      </c>
      <c r="F26" s="243" t="str">
        <f>Backlog[[#This Row],[Area responsable de traccionar]]</f>
        <v>Mantenimiento</v>
      </c>
      <c r="G26" s="243">
        <f>Backlog[[#This Row],[OP]]</f>
        <v>51</v>
      </c>
      <c r="H26" s="243" t="str">
        <f>Backlog[[#This Row],[Estado]]</f>
        <v>En desarrollo</v>
      </c>
      <c r="I26" s="256">
        <f>Backlog[[#This Row],[Fecha Requerida en Producción]]</f>
        <v>0</v>
      </c>
      <c r="J26" s="317" t="str">
        <f>IF(Backlog[[#This Row],[Fecha comprometida (para UAT)]]="","",Backlog[[#This Row],[Fecha comprometida (para UAT)]])</f>
        <v/>
      </c>
      <c r="K26" s="229" t="str">
        <f>IF(Backlog[[#This Row],[Fecha Real de Cierre]]="","",Backlog[[#This Row],[Fecha Real de Cierre]])</f>
        <v/>
      </c>
      <c r="L26" s="353">
        <f>Backlog[[#This Row],[Estimación Desarrollo]]</f>
        <v>100</v>
      </c>
      <c r="M26" s="353">
        <f>Backlog[[#This Row],[QA/UAT]]</f>
        <v>0</v>
      </c>
      <c r="N26" s="248"/>
      <c r="O26" s="248"/>
      <c r="P26" s="248"/>
      <c r="Q26" s="248"/>
    </row>
    <row r="27" spans="1:17" ht="15.75" hidden="1" customHeight="1">
      <c r="A27" s="307" t="e">
        <f>#REF!</f>
        <v>#REF!</v>
      </c>
      <c r="B27" s="243" t="str">
        <f>Backlog[[#This Row],[Clave del caso]]</f>
        <v>16667</v>
      </c>
      <c r="C27" s="305" t="e">
        <f>#REF!</f>
        <v>#REF!</v>
      </c>
      <c r="D27" s="243" t="str">
        <f>Backlog[[#This Row],[Cliente que solicita]]</f>
        <v>Santiago del Estero</v>
      </c>
      <c r="E27" s="243" t="str">
        <f>Backlog[[#This Row],[Componente]]</f>
        <v>Gamma</v>
      </c>
      <c r="F27" s="243" t="str">
        <f>Backlog[[#This Row],[Area responsable de traccionar]]</f>
        <v>Mantenimiento</v>
      </c>
      <c r="G27" s="243">
        <f>Backlog[[#This Row],[OP]]</f>
        <v>13</v>
      </c>
      <c r="H27" s="243" t="str">
        <f>Backlog[[#This Row],[Estado]]</f>
        <v>A planificar</v>
      </c>
      <c r="I27" s="317" t="str">
        <f>IF(Backlog[[#This Row],[Fecha Requerida en Producción]]="","",Backlog[[#This Row],[Fecha Requerida en Producción]])</f>
        <v/>
      </c>
      <c r="J27" s="317" t="str">
        <f>IF(Backlog[[#This Row],[Fecha comprometida (para UAT)]]="","",Backlog[[#This Row],[Fecha comprometida (para UAT)]])</f>
        <v/>
      </c>
      <c r="K27" s="229" t="str">
        <f>IF(Backlog[[#This Row],[Fecha Real de Cierre]]="","",Backlog[[#This Row],[Fecha Real de Cierre]])</f>
        <v/>
      </c>
      <c r="L27" s="353">
        <f>Backlog[[#This Row],[Estimación Desarrollo]]</f>
        <v>24</v>
      </c>
      <c r="M27" s="353">
        <f>Backlog[[#This Row],[QA/UAT]]</f>
        <v>0</v>
      </c>
      <c r="N27" s="248"/>
      <c r="O27" s="248"/>
      <c r="P27" s="248"/>
      <c r="Q27" s="248"/>
    </row>
    <row r="28" spans="1:17" ht="15.75" hidden="1" customHeight="1">
      <c r="A28" s="309" t="e">
        <f>#REF!</f>
        <v>#REF!</v>
      </c>
      <c r="B28" s="234" t="str">
        <f>Backlog[[#This Row],[Clave del caso]]</f>
        <v>16410</v>
      </c>
      <c r="C28" s="260" t="e">
        <f>#REF!</f>
        <v>#REF!</v>
      </c>
      <c r="D28" s="234" t="str">
        <f>Backlog[[#This Row],[Cliente que solicita]]</f>
        <v>Santiago del Estero</v>
      </c>
      <c r="E28" s="234" t="str">
        <f>Backlog[[#This Row],[Componente]]</f>
        <v>Gamma</v>
      </c>
      <c r="F28" s="234" t="str">
        <f>Backlog[[#This Row],[Area responsable de traccionar]]</f>
        <v>Mantenimiento</v>
      </c>
      <c r="G28" s="234">
        <f>Backlog[[#This Row],[OP]]</f>
        <v>16</v>
      </c>
      <c r="H28" s="234" t="str">
        <f>Backlog[[#This Row],[Estado]]</f>
        <v>A planificar</v>
      </c>
      <c r="I28" s="316" t="str">
        <f>IF(Backlog[[#This Row],[Fecha Requerida en Producción]]="","",Backlog[[#This Row],[Fecha Requerida en Producción]])</f>
        <v/>
      </c>
      <c r="J28" s="316" t="str">
        <f>IF(Backlog[[#This Row],[Fecha comprometida (para UAT)]]="","",Backlog[[#This Row],[Fecha comprometida (para UAT)]])</f>
        <v/>
      </c>
      <c r="K28" s="217" t="str">
        <f>IF(Backlog[[#This Row],[Fecha Real de Cierre]]="","",Backlog[[#This Row],[Fecha Real de Cierre]])</f>
        <v/>
      </c>
      <c r="L28" s="353">
        <f>Backlog[[#This Row],[Estimación Desarrollo]]</f>
        <v>24</v>
      </c>
      <c r="M28" s="353">
        <f>Backlog[[#This Row],[QA/UAT]]</f>
        <v>0</v>
      </c>
      <c r="N28" s="248"/>
      <c r="O28" s="248"/>
      <c r="P28" s="248"/>
      <c r="Q28" s="248"/>
    </row>
    <row r="29" spans="1:17" ht="15.75" customHeight="1">
      <c r="A29" s="355" t="e">
        <f>#REF!</f>
        <v>#REF!</v>
      </c>
      <c r="B29" s="354" t="str">
        <f>Backlog[[#This Row],[Clave del caso]]</f>
        <v>16668</v>
      </c>
      <c r="C29" s="362" t="e">
        <f>#REF!</f>
        <v>#REF!</v>
      </c>
      <c r="D29" s="354" t="str">
        <f>Backlog[[#This Row],[Cliente que solicita]]</f>
        <v>Santiago del Estero</v>
      </c>
      <c r="E29" s="354" t="str">
        <f>Backlog[[#This Row],[Componente]]</f>
        <v>Gamma</v>
      </c>
      <c r="F29" s="354" t="str">
        <f>Backlog[[#This Row],[Area responsable de traccionar]]</f>
        <v>Mantenimiento</v>
      </c>
      <c r="G29" s="354">
        <f>Backlog[[#This Row],[OP]]</f>
        <v>19</v>
      </c>
      <c r="H29" s="354" t="str">
        <f>Backlog[[#This Row],[Estado]]</f>
        <v>A planificar</v>
      </c>
      <c r="I29" s="358" t="str">
        <f>IF(Backlog[[#This Row],[Fecha Requerida en Producción]]="","",Backlog[[#This Row],[Fecha Requerida en Producción]])</f>
        <v/>
      </c>
      <c r="J29" s="358" t="str">
        <f>IF(Backlog[[#This Row],[Fecha comprometida (para UAT)]]="","",Backlog[[#This Row],[Fecha comprometida (para UAT)]])</f>
        <v/>
      </c>
      <c r="K29" s="359" t="str">
        <f>IF(Backlog[[#This Row],[Fecha Real de Cierre]]="","",Backlog[[#This Row],[Fecha Real de Cierre]])</f>
        <v/>
      </c>
      <c r="L29" s="360">
        <f>Backlog[[#This Row],[Estimación Desarrollo]]</f>
        <v>24</v>
      </c>
      <c r="M29" s="360">
        <f>Backlog[[#This Row],[QA/UAT]]</f>
        <v>0</v>
      </c>
      <c r="N29" s="248"/>
      <c r="O29" s="248"/>
      <c r="P29" s="248"/>
      <c r="Q29" s="248"/>
    </row>
    <row r="30" spans="1:17" ht="15.75" hidden="1" customHeight="1">
      <c r="A30" s="307" t="e">
        <f>#REF!</f>
        <v>#REF!</v>
      </c>
      <c r="B30" s="243" t="str">
        <f>Backlog[[#This Row],[Clave del caso]]</f>
        <v>16670</v>
      </c>
      <c r="C30" s="310" t="e">
        <f>#REF!</f>
        <v>#REF!</v>
      </c>
      <c r="D30" s="243" t="str">
        <f>Backlog[[#This Row],[Cliente que solicita]]</f>
        <v>Santiago del Estero</v>
      </c>
      <c r="E30" s="243" t="str">
        <f>Backlog[[#This Row],[Componente]]</f>
        <v>Gamma</v>
      </c>
      <c r="F30" s="243" t="str">
        <f>Backlog[[#This Row],[Area responsable de traccionar]]</f>
        <v>Mantenimiento</v>
      </c>
      <c r="G30" s="243">
        <f>Backlog[[#This Row],[OP]]</f>
        <v>22</v>
      </c>
      <c r="H30" s="243" t="str">
        <f>Backlog[[#This Row],[Estado]]</f>
        <v>A planificar</v>
      </c>
      <c r="I30" s="256">
        <f>Backlog[[#This Row],[Fecha Requerida en Producción]]</f>
        <v>0</v>
      </c>
      <c r="J30" s="317" t="str">
        <f>IF(Backlog[[#This Row],[Fecha comprometida (para UAT)]]="","",Backlog[[#This Row],[Fecha comprometida (para UAT)]])</f>
        <v/>
      </c>
      <c r="K30" s="229" t="str">
        <f>IF(Backlog[[#This Row],[Fecha Real de Cierre]]="","",Backlog[[#This Row],[Fecha Real de Cierre]])</f>
        <v/>
      </c>
      <c r="L30" s="353">
        <f>Backlog[[#This Row],[Estimación Desarrollo]]</f>
        <v>24</v>
      </c>
      <c r="M30" s="353">
        <f>Backlog[[#This Row],[QA/UAT]]</f>
        <v>0</v>
      </c>
      <c r="N30" s="248"/>
      <c r="O30" s="248"/>
      <c r="P30" s="248"/>
      <c r="Q30" s="248"/>
    </row>
    <row r="31" spans="1:17" ht="15.75" hidden="1" customHeight="1">
      <c r="A31" s="309" t="e">
        <f>#REF!</f>
        <v>#REF!</v>
      </c>
      <c r="B31" s="234" t="str">
        <f>Backlog[[#This Row],[Clave del caso]]</f>
        <v>16671</v>
      </c>
      <c r="C31" s="311" t="e">
        <f>#REF!</f>
        <v>#REF!</v>
      </c>
      <c r="D31" s="234" t="str">
        <f>Backlog[[#This Row],[Cliente que solicita]]</f>
        <v>Santiago del Estero</v>
      </c>
      <c r="E31" s="234" t="str">
        <f>Backlog[[#This Row],[Componente]]</f>
        <v>Gamma</v>
      </c>
      <c r="F31" s="234" t="str">
        <f>Backlog[[#This Row],[Area responsable de traccionar]]</f>
        <v>Mantenimiento</v>
      </c>
      <c r="G31" s="234">
        <f>Backlog[[#This Row],[OP]]</f>
        <v>23</v>
      </c>
      <c r="H31" s="234" t="str">
        <f>Backlog[[#This Row],[Estado]]</f>
        <v>A planificar</v>
      </c>
      <c r="I31" s="316" t="str">
        <f>IF(Backlog[[#This Row],[Fecha Requerida en Producción]]="","",Backlog[[#This Row],[Fecha Requerida en Producción]])</f>
        <v/>
      </c>
      <c r="J31" s="316" t="str">
        <f>IF(Backlog[[#This Row],[Fecha comprometida (para UAT)]]="","",Backlog[[#This Row],[Fecha comprometida (para UAT)]])</f>
        <v/>
      </c>
      <c r="K31" s="217" t="str">
        <f>IF(Backlog[[#This Row],[Fecha Real de Cierre]]="","",Backlog[[#This Row],[Fecha Real de Cierre]])</f>
        <v/>
      </c>
      <c r="L31" s="353">
        <f>Backlog[[#This Row],[Estimación Desarrollo]]</f>
        <v>24</v>
      </c>
      <c r="M31" s="353">
        <f>Backlog[[#This Row],[QA/UAT]]</f>
        <v>0</v>
      </c>
      <c r="N31" s="248"/>
      <c r="O31" s="248"/>
      <c r="P31" s="248"/>
      <c r="Q31" s="248"/>
    </row>
    <row r="32" spans="1:17" ht="15.75" hidden="1" customHeight="1">
      <c r="A32" s="309" t="e">
        <f>#REF!</f>
        <v>#REF!</v>
      </c>
      <c r="B32" s="234">
        <f>Backlog[[#This Row],[Clave del caso]]</f>
        <v>16452</v>
      </c>
      <c r="C32" s="311" t="e">
        <f>#REF!</f>
        <v>#REF!</v>
      </c>
      <c r="D32" s="234" t="str">
        <f>Backlog[[#This Row],[Cliente que solicita]]</f>
        <v>Santiago del Estero</v>
      </c>
      <c r="E32" s="234" t="str">
        <f>Backlog[[#This Row],[Componente]]</f>
        <v>Gamma</v>
      </c>
      <c r="F32" s="234" t="str">
        <f>Backlog[[#This Row],[Area responsable de traccionar]]</f>
        <v>Mantenimiento</v>
      </c>
      <c r="G32" s="234">
        <f>Backlog[[#This Row],[OP]]</f>
        <v>26</v>
      </c>
      <c r="H32" s="234" t="str">
        <f>Backlog[[#This Row],[Estado]]</f>
        <v>A planificar</v>
      </c>
      <c r="I32" s="316" t="str">
        <f>IF(Backlog[[#This Row],[Fecha Requerida en Producción]]="","",Backlog[[#This Row],[Fecha Requerida en Producción]])</f>
        <v/>
      </c>
      <c r="J32" s="316" t="str">
        <f>IF(Backlog[[#This Row],[Fecha comprometida (para UAT)]]="","",Backlog[[#This Row],[Fecha comprometida (para UAT)]])</f>
        <v/>
      </c>
      <c r="K32" s="217" t="str">
        <f>IF(Backlog[[#This Row],[Fecha Real de Cierre]]="","",Backlog[[#This Row],[Fecha Real de Cierre]])</f>
        <v/>
      </c>
      <c r="L32" s="353">
        <f>Backlog[[#This Row],[Estimación Desarrollo]]</f>
        <v>24</v>
      </c>
      <c r="M32" s="353">
        <f>Backlog[[#This Row],[QA/UAT]]</f>
        <v>0</v>
      </c>
      <c r="N32" s="248"/>
      <c r="O32" s="248"/>
      <c r="P32" s="248"/>
      <c r="Q32" s="248"/>
    </row>
    <row r="33" spans="1:17" ht="15.75" hidden="1" customHeight="1">
      <c r="A33" s="309" t="e">
        <f>#REF!</f>
        <v>#REF!</v>
      </c>
      <c r="B33" s="234">
        <f>Backlog[[#This Row],[Clave del caso]]</f>
        <v>16672</v>
      </c>
      <c r="C33" s="312" t="e">
        <f>#REF!</f>
        <v>#REF!</v>
      </c>
      <c r="D33" s="234" t="str">
        <f>Backlog[[#This Row],[Cliente que solicita]]</f>
        <v>Santiago del Estero</v>
      </c>
      <c r="E33" s="234" t="str">
        <f>Backlog[[#This Row],[Componente]]</f>
        <v>Gamma</v>
      </c>
      <c r="F33" s="234" t="str">
        <f>Backlog[[#This Row],[Area responsable de traccionar]]</f>
        <v>Mantenimiento</v>
      </c>
      <c r="G33" s="234">
        <f>Backlog[[#This Row],[OP]]</f>
        <v>30</v>
      </c>
      <c r="H33" s="234" t="str">
        <f>Backlog[[#This Row],[Estado]]</f>
        <v>A planificar</v>
      </c>
      <c r="I33" s="316" t="str">
        <f>IF(Backlog[[#This Row],[Fecha Requerida en Producción]]="","",Backlog[[#This Row],[Fecha Requerida en Producción]])</f>
        <v/>
      </c>
      <c r="J33" s="316" t="str">
        <f>IF(Backlog[[#This Row],[Fecha comprometida (para UAT)]]="","",Backlog[[#This Row],[Fecha comprometida (para UAT)]])</f>
        <v/>
      </c>
      <c r="K33" s="217" t="str">
        <f>IF(Backlog[[#This Row],[Fecha Real de Cierre]]="","",Backlog[[#This Row],[Fecha Real de Cierre]])</f>
        <v/>
      </c>
      <c r="L33" s="353">
        <f>Backlog[[#This Row],[Estimación Desarrollo]]</f>
        <v>24</v>
      </c>
      <c r="M33" s="353">
        <f>Backlog[[#This Row],[QA/UAT]]</f>
        <v>0</v>
      </c>
      <c r="N33" s="248"/>
      <c r="O33" s="248"/>
      <c r="P33" s="248"/>
      <c r="Q33" s="248"/>
    </row>
    <row r="34" spans="1:17" ht="15.75" hidden="1" customHeight="1">
      <c r="A34" s="307" t="e">
        <f>#REF!</f>
        <v>#REF!</v>
      </c>
      <c r="B34" s="243">
        <f>Backlog[[#This Row],[Clave del caso]]</f>
        <v>16416</v>
      </c>
      <c r="C34" s="304" t="e">
        <f>#REF!</f>
        <v>#REF!</v>
      </c>
      <c r="D34" s="243" t="str">
        <f>Backlog[[#This Row],[Cliente que solicita]]</f>
        <v>Santiago del Estero</v>
      </c>
      <c r="E34" s="243" t="str">
        <f>Backlog[[#This Row],[Componente]]</f>
        <v>Gamma</v>
      </c>
      <c r="F34" s="243" t="str">
        <f>Backlog[[#This Row],[Area responsable de traccionar]]</f>
        <v>Mantenimiento</v>
      </c>
      <c r="G34" s="243">
        <f>Backlog[[#This Row],[OP]]</f>
        <v>31</v>
      </c>
      <c r="H34" s="243" t="str">
        <f>Backlog[[#This Row],[Estado]]</f>
        <v>A planificar</v>
      </c>
      <c r="I34" s="317" t="str">
        <f>IF(Backlog[[#This Row],[Fecha Requerida en Producción]]="","",Backlog[[#This Row],[Fecha Requerida en Producción]])</f>
        <v/>
      </c>
      <c r="J34" s="317" t="str">
        <f>IF(Backlog[[#This Row],[Fecha comprometida (para UAT)]]="","",Backlog[[#This Row],[Fecha comprometida (para UAT)]])</f>
        <v/>
      </c>
      <c r="K34" s="229" t="str">
        <f>IF(Backlog[[#This Row],[Fecha Real de Cierre]]="","",Backlog[[#This Row],[Fecha Real de Cierre]])</f>
        <v/>
      </c>
      <c r="L34" s="353">
        <f>Backlog[[#This Row],[Estimación Desarrollo]]</f>
        <v>24</v>
      </c>
      <c r="M34" s="353">
        <f>Backlog[[#This Row],[QA/UAT]]</f>
        <v>0</v>
      </c>
      <c r="N34" s="248"/>
      <c r="O34" s="248"/>
      <c r="P34" s="248"/>
      <c r="Q34" s="248"/>
    </row>
    <row r="35" spans="1:17" ht="15.75" hidden="1" customHeight="1">
      <c r="A35" s="309" t="e">
        <f>#REF!</f>
        <v>#REF!</v>
      </c>
      <c r="B35" s="234">
        <f>Backlog[[#This Row],[Clave del caso]]</f>
        <v>16417</v>
      </c>
      <c r="C35" s="313" t="e">
        <f>#REF!</f>
        <v>#REF!</v>
      </c>
      <c r="D35" s="234" t="str">
        <f>Backlog[[#This Row],[Cliente que solicita]]</f>
        <v>Santiago del Estero</v>
      </c>
      <c r="E35" s="234" t="str">
        <f>Backlog[[#This Row],[Componente]]</f>
        <v>Gamma</v>
      </c>
      <c r="F35" s="234" t="str">
        <f>Backlog[[#This Row],[Area responsable de traccionar]]</f>
        <v>Mantenimiento</v>
      </c>
      <c r="G35" s="234">
        <f>Backlog[[#This Row],[OP]]</f>
        <v>32</v>
      </c>
      <c r="H35" s="234" t="str">
        <f>Backlog[[#This Row],[Estado]]</f>
        <v>A planificar</v>
      </c>
      <c r="I35" s="316" t="str">
        <f>IF(Backlog[[#This Row],[Fecha Requerida en Producción]]="","",Backlog[[#This Row],[Fecha Requerida en Producción]])</f>
        <v/>
      </c>
      <c r="J35" s="316" t="str">
        <f>IF(Backlog[[#This Row],[Fecha comprometida (para UAT)]]="","",Backlog[[#This Row],[Fecha comprometida (para UAT)]])</f>
        <v/>
      </c>
      <c r="K35" s="217" t="str">
        <f>IF(Backlog[[#This Row],[Fecha Real de Cierre]]="","",Backlog[[#This Row],[Fecha Real de Cierre]])</f>
        <v/>
      </c>
      <c r="L35" s="353">
        <f>Backlog[[#This Row],[Estimación Desarrollo]]</f>
        <v>24</v>
      </c>
      <c r="M35" s="353">
        <f>Backlog[[#This Row],[QA/UAT]]</f>
        <v>0</v>
      </c>
      <c r="N35" s="248"/>
      <c r="O35" s="248"/>
      <c r="P35" s="248"/>
      <c r="Q35" s="248"/>
    </row>
    <row r="36" spans="1:17" ht="15.75" hidden="1" customHeight="1">
      <c r="A36" s="309" t="e">
        <f>#REF!</f>
        <v>#REF!</v>
      </c>
      <c r="B36" s="234">
        <f>Backlog[[#This Row],[Clave del caso]]</f>
        <v>16673</v>
      </c>
      <c r="C36" s="236" t="e">
        <f>#REF!</f>
        <v>#REF!</v>
      </c>
      <c r="D36" s="234" t="str">
        <f>Backlog[[#This Row],[Cliente que solicita]]</f>
        <v>Santiago del Estero</v>
      </c>
      <c r="E36" s="234" t="str">
        <f>Backlog[[#This Row],[Componente]]</f>
        <v>Gamma</v>
      </c>
      <c r="F36" s="234" t="str">
        <f>Backlog[[#This Row],[Area responsable de traccionar]]</f>
        <v>Mantenimiento</v>
      </c>
      <c r="G36" s="234">
        <f>Backlog[[#This Row],[OP]]</f>
        <v>35</v>
      </c>
      <c r="H36" s="234" t="str">
        <f>Backlog[[#This Row],[Estado]]</f>
        <v>A planificar</v>
      </c>
      <c r="I36" s="316" t="str">
        <f>IF(Backlog[[#This Row],[Fecha Requerida en Producción]]="","",Backlog[[#This Row],[Fecha Requerida en Producción]])</f>
        <v/>
      </c>
      <c r="J36" s="316" t="str">
        <f>IF(Backlog[[#This Row],[Fecha comprometida (para UAT)]]="","",Backlog[[#This Row],[Fecha comprometida (para UAT)]])</f>
        <v/>
      </c>
      <c r="K36" s="217" t="str">
        <f>IF(Backlog[[#This Row],[Fecha Real de Cierre]]="","",Backlog[[#This Row],[Fecha Real de Cierre]])</f>
        <v/>
      </c>
      <c r="L36" s="353">
        <f>Backlog[[#This Row],[Estimación Desarrollo]]</f>
        <v>24</v>
      </c>
      <c r="M36" s="353">
        <f>Backlog[[#This Row],[QA/UAT]]</f>
        <v>0</v>
      </c>
      <c r="N36" s="248"/>
      <c r="O36" s="248"/>
      <c r="P36" s="248"/>
      <c r="Q36" s="248"/>
    </row>
    <row r="37" spans="1:17" ht="15.75" hidden="1" customHeight="1">
      <c r="A37" s="309" t="e">
        <f>#REF!</f>
        <v>#REF!</v>
      </c>
      <c r="B37" s="234">
        <f>Backlog[[#This Row],[Clave del caso]]</f>
        <v>16448</v>
      </c>
      <c r="C37" s="261" t="e">
        <f>#REF!</f>
        <v>#REF!</v>
      </c>
      <c r="D37" s="234" t="str">
        <f>Backlog[[#This Row],[Cliente que solicita]]</f>
        <v>Santiago del Estero</v>
      </c>
      <c r="E37" s="234" t="str">
        <f>Backlog[[#This Row],[Componente]]</f>
        <v>Gamma</v>
      </c>
      <c r="F37" s="234" t="str">
        <f>Backlog[[#This Row],[Area responsable de traccionar]]</f>
        <v>Mantenimiento</v>
      </c>
      <c r="G37" s="234">
        <f>Backlog[[#This Row],[OP]]</f>
        <v>39</v>
      </c>
      <c r="H37" s="234" t="str">
        <f>Backlog[[#This Row],[Estado]]</f>
        <v>A planificar</v>
      </c>
      <c r="I37" s="316" t="str">
        <f>IF(Backlog[[#This Row],[Fecha Requerida en Producción]]="","",Backlog[[#This Row],[Fecha Requerida en Producción]])</f>
        <v/>
      </c>
      <c r="J37" s="316" t="str">
        <f>IF(Backlog[[#This Row],[Fecha comprometida (para UAT)]]="","",Backlog[[#This Row],[Fecha comprometida (para UAT)]])</f>
        <v/>
      </c>
      <c r="K37" s="217" t="str">
        <f>IF(Backlog[[#This Row],[Fecha Real de Cierre]]="","",Backlog[[#This Row],[Fecha Real de Cierre]])</f>
        <v/>
      </c>
      <c r="L37" s="353">
        <f>Backlog[[#This Row],[Estimación Desarrollo]]</f>
        <v>24</v>
      </c>
      <c r="M37" s="353">
        <f>Backlog[[#This Row],[QA/UAT]]</f>
        <v>0</v>
      </c>
      <c r="N37" s="248"/>
      <c r="O37" s="248"/>
      <c r="P37" s="248"/>
      <c r="Q37" s="248"/>
    </row>
    <row r="38" spans="1:17" ht="15.75" hidden="1" customHeight="1">
      <c r="A38" s="309" t="e">
        <f>#REF!</f>
        <v>#REF!</v>
      </c>
      <c r="B38" s="234" t="str">
        <f>Backlog[[#This Row],[Clave del caso]]</f>
        <v>16674</v>
      </c>
      <c r="C38" s="236" t="e">
        <f>#REF!</f>
        <v>#REF!</v>
      </c>
      <c r="D38" s="234" t="str">
        <f>Backlog[[#This Row],[Cliente que solicita]]</f>
        <v>Santiago del Estero</v>
      </c>
      <c r="E38" s="234" t="str">
        <f>Backlog[[#This Row],[Componente]]</f>
        <v>Gamma</v>
      </c>
      <c r="F38" s="234" t="str">
        <f>Backlog[[#This Row],[Area responsable de traccionar]]</f>
        <v>Mantenimiento</v>
      </c>
      <c r="G38" s="234">
        <f>Backlog[[#This Row],[OP]]</f>
        <v>47</v>
      </c>
      <c r="H38" s="234" t="str">
        <f>Backlog[[#This Row],[Estado]]</f>
        <v>A planificar</v>
      </c>
      <c r="I38" s="316" t="str">
        <f>IF(Backlog[[#This Row],[Fecha Requerida en Producción]]="","",Backlog[[#This Row],[Fecha Requerida en Producción]])</f>
        <v/>
      </c>
      <c r="J38" s="316" t="str">
        <f>IF(Backlog[[#This Row],[Fecha comprometida (para UAT)]]="","",Backlog[[#This Row],[Fecha comprometida (para UAT)]])</f>
        <v/>
      </c>
      <c r="K38" s="217" t="str">
        <f>IF(Backlog[[#This Row],[Fecha Real de Cierre]]="","",Backlog[[#This Row],[Fecha Real de Cierre]])</f>
        <v/>
      </c>
      <c r="L38" s="353">
        <f>Backlog[[#This Row],[Estimación Desarrollo]]</f>
        <v>24</v>
      </c>
      <c r="M38" s="353">
        <f>Backlog[[#This Row],[QA/UAT]]</f>
        <v>0</v>
      </c>
      <c r="N38" s="248"/>
      <c r="O38" s="248"/>
      <c r="P38" s="248"/>
      <c r="Q38" s="248"/>
    </row>
    <row r="39" spans="1:17" ht="15.75" hidden="1" customHeight="1">
      <c r="A39" s="309" t="e">
        <f>#REF!</f>
        <v>#REF!</v>
      </c>
      <c r="B39" s="234">
        <f>Backlog[[#This Row],[Clave del caso]]</f>
        <v>16675</v>
      </c>
      <c r="C39" s="236" t="e">
        <f>#REF!</f>
        <v>#REF!</v>
      </c>
      <c r="D39" s="234" t="str">
        <f>Backlog[[#This Row],[Cliente que solicita]]</f>
        <v>Corrientes</v>
      </c>
      <c r="E39" s="234" t="str">
        <f>Backlog[[#This Row],[Componente]]</f>
        <v>Gamma</v>
      </c>
      <c r="F39" s="234" t="str">
        <f>Backlog[[#This Row],[Area responsable de traccionar]]</f>
        <v>SAC</v>
      </c>
      <c r="G39" s="234">
        <f>Backlog[[#This Row],[OP]]</f>
        <v>100</v>
      </c>
      <c r="H39" s="234" t="str">
        <f>Backlog[[#This Row],[Estado]]</f>
        <v>A priorizar</v>
      </c>
      <c r="I39" s="316" t="str">
        <f>IF(Backlog[[#This Row],[Fecha Requerida en Producción]]="","",Backlog[[#This Row],[Fecha Requerida en Producción]])</f>
        <v/>
      </c>
      <c r="J39" s="316" t="str">
        <f>IF(Backlog[[#This Row],[Fecha comprometida (para UAT)]]="","",Backlog[[#This Row],[Fecha comprometida (para UAT)]])</f>
        <v/>
      </c>
      <c r="K39" s="217" t="str">
        <f>IF(Backlog[[#This Row],[Fecha Real de Cierre]]="","",Backlog[[#This Row],[Fecha Real de Cierre]])</f>
        <v/>
      </c>
      <c r="L39" s="353">
        <f>Backlog[[#This Row],[Estimación Desarrollo]]</f>
        <v>80</v>
      </c>
      <c r="M39" s="353">
        <f>Backlog[[#This Row],[QA/UAT]]</f>
        <v>0</v>
      </c>
      <c r="N39" s="248"/>
      <c r="O39" s="248"/>
      <c r="P39" s="248"/>
      <c r="Q39" s="248"/>
    </row>
    <row r="40" spans="1:17" ht="15.75" hidden="1" customHeight="1">
      <c r="A40" s="309" t="e">
        <f>#REF!</f>
        <v>#REF!</v>
      </c>
      <c r="B40" s="234">
        <f>Backlog[[#This Row],[Clave del caso]]</f>
        <v>16676</v>
      </c>
      <c r="C40" s="326" t="e">
        <f>#REF!</f>
        <v>#REF!</v>
      </c>
      <c r="D40" s="234" t="str">
        <f>Backlog[[#This Row],[Cliente que solicita]]</f>
        <v>Corrientes</v>
      </c>
      <c r="E40" s="234" t="str">
        <f>Backlog[[#This Row],[Componente]]</f>
        <v>Gamma</v>
      </c>
      <c r="F40" s="234" t="str">
        <f>Backlog[[#This Row],[Area responsable de traccionar]]</f>
        <v>SAC</v>
      </c>
      <c r="G40" s="234">
        <f>Backlog[[#This Row],[OP]]</f>
        <v>101</v>
      </c>
      <c r="H40" s="234" t="str">
        <f>Backlog[[#This Row],[Estado]]</f>
        <v>A priorizar</v>
      </c>
      <c r="I40" s="191">
        <f>Backlog[[#This Row],[Fecha Requerida en Producción]]</f>
        <v>0</v>
      </c>
      <c r="J40" s="316" t="str">
        <f>IF(Backlog[[#This Row],[Fecha comprometida (para UAT)]]="","",Backlog[[#This Row],[Fecha comprometida (para UAT)]])</f>
        <v/>
      </c>
      <c r="K40" s="217" t="str">
        <f>IF(Backlog[[#This Row],[Fecha Real de Cierre]]="","",Backlog[[#This Row],[Fecha Real de Cierre]])</f>
        <v/>
      </c>
      <c r="L40" s="353">
        <f>Backlog[[#This Row],[Estimación Desarrollo]]</f>
        <v>80</v>
      </c>
      <c r="M40" s="353">
        <f>Backlog[[#This Row],[QA/UAT]]</f>
        <v>0</v>
      </c>
      <c r="N40" s="248"/>
      <c r="O40" s="248"/>
      <c r="P40" s="248"/>
      <c r="Q40" s="248"/>
    </row>
    <row r="41" spans="1:17" ht="15.75" hidden="1" customHeight="1">
      <c r="A41" s="309" t="e">
        <f>#REF!</f>
        <v>#REF!</v>
      </c>
      <c r="B41" s="234">
        <f>Backlog[[#This Row],[Clave del caso]]</f>
        <v>16677</v>
      </c>
      <c r="C41" s="327" t="e">
        <f>#REF!</f>
        <v>#REF!</v>
      </c>
      <c r="D41" s="234" t="str">
        <f>Backlog[[#This Row],[Cliente que solicita]]</f>
        <v>Corrientes</v>
      </c>
      <c r="E41" s="234" t="str">
        <f>Backlog[[#This Row],[Componente]]</f>
        <v>Gamma</v>
      </c>
      <c r="F41" s="234" t="str">
        <f>Backlog[[#This Row],[Area responsable de traccionar]]</f>
        <v>SAC</v>
      </c>
      <c r="G41" s="234">
        <f>Backlog[[#This Row],[OP]]</f>
        <v>102</v>
      </c>
      <c r="H41" s="234" t="str">
        <f>Backlog[[#This Row],[Estado]]</f>
        <v>A priorizar</v>
      </c>
      <c r="I41" s="316" t="str">
        <f>IF(Backlog[[#This Row],[Fecha Requerida en Producción]]="","",Backlog[[#This Row],[Fecha Requerida en Producción]])</f>
        <v/>
      </c>
      <c r="J41" s="316" t="str">
        <f>IF(Backlog[[#This Row],[Fecha comprometida (para UAT)]]="","",Backlog[[#This Row],[Fecha comprometida (para UAT)]])</f>
        <v/>
      </c>
      <c r="K41" s="217" t="str">
        <f>IF(Backlog[[#This Row],[Fecha Real de Cierre]]="","",Backlog[[#This Row],[Fecha Real de Cierre]])</f>
        <v/>
      </c>
      <c r="L41" s="353">
        <f>Backlog[[#This Row],[Estimación Desarrollo]]</f>
        <v>80</v>
      </c>
      <c r="M41" s="353">
        <f>Backlog[[#This Row],[QA/UAT]]</f>
        <v>0</v>
      </c>
      <c r="N41" s="248"/>
      <c r="O41" s="248"/>
      <c r="P41" s="248"/>
      <c r="Q41" s="248"/>
    </row>
    <row r="42" spans="1:17" ht="15.75" hidden="1" customHeight="1">
      <c r="A42" s="355" t="e">
        <f>#REF!</f>
        <v>#REF!</v>
      </c>
      <c r="B42" s="354">
        <f>Backlog[[#This Row],[Clave del caso]]</f>
        <v>16678</v>
      </c>
      <c r="C42" s="363" t="e">
        <f>#REF!</f>
        <v>#REF!</v>
      </c>
      <c r="D42" s="354" t="str">
        <f>Backlog[[#This Row],[Cliente que solicita]]</f>
        <v>Corrientes</v>
      </c>
      <c r="E42" s="354" t="str">
        <f>Backlog[[#This Row],[Componente]]</f>
        <v>Gamma</v>
      </c>
      <c r="F42" s="354" t="str">
        <f>Backlog[[#This Row],[Area responsable de traccionar]]</f>
        <v>SAC</v>
      </c>
      <c r="G42" s="354">
        <f>Backlog[[#This Row],[OP]]</f>
        <v>103</v>
      </c>
      <c r="H42" s="354" t="str">
        <f>Backlog[[#This Row],[Estado]]</f>
        <v>A priorizar</v>
      </c>
      <c r="I42" s="358" t="str">
        <f>IF(Backlog[[#This Row],[Fecha Requerida en Producción]]="","",Backlog[[#This Row],[Fecha Requerida en Producción]])</f>
        <v/>
      </c>
      <c r="J42" s="358" t="str">
        <f>IF(Backlog[[#This Row],[Fecha comprometida (para UAT)]]="","",Backlog[[#This Row],[Fecha comprometida (para UAT)]])</f>
        <v/>
      </c>
      <c r="K42" s="359" t="str">
        <f>IF(Backlog[[#This Row],[Fecha Real de Cierre]]="","",Backlog[[#This Row],[Fecha Real de Cierre]])</f>
        <v/>
      </c>
      <c r="L42" s="360">
        <f>Backlog[[#This Row],[Estimación Desarrollo]]</f>
        <v>40</v>
      </c>
      <c r="M42" s="360">
        <f>Backlog[[#This Row],[QA/UAT]]</f>
        <v>0</v>
      </c>
      <c r="N42" s="248"/>
      <c r="O42" s="248"/>
      <c r="P42" s="248"/>
      <c r="Q42" s="248"/>
    </row>
    <row r="43" spans="1:17" ht="15.75" hidden="1" customHeight="1">
      <c r="A43" s="307" t="e">
        <f>#REF!</f>
        <v>#REF!</v>
      </c>
      <c r="B43" s="243">
        <f>Backlog[[#This Row],[Clave del caso]]</f>
        <v>16679</v>
      </c>
      <c r="C43" s="304" t="e">
        <f>#REF!</f>
        <v>#REF!</v>
      </c>
      <c r="D43" s="243" t="str">
        <f>Backlog[[#This Row],[Cliente que solicita]]</f>
        <v>Corrientes</v>
      </c>
      <c r="E43" s="243" t="str">
        <f>Backlog[[#This Row],[Componente]]</f>
        <v>Gamma</v>
      </c>
      <c r="F43" s="243" t="str">
        <f>Backlog[[#This Row],[Area responsable de traccionar]]</f>
        <v>SAC</v>
      </c>
      <c r="G43" s="243">
        <f>Backlog[[#This Row],[OP]]</f>
        <v>104</v>
      </c>
      <c r="H43" s="243" t="str">
        <f>Backlog[[#This Row],[Estado]]</f>
        <v>A priorizar</v>
      </c>
      <c r="I43" s="317" t="str">
        <f>IF(Backlog[[#This Row],[Fecha Requerida en Producción]]="","",Backlog[[#This Row],[Fecha Requerida en Producción]])</f>
        <v/>
      </c>
      <c r="J43" s="317" t="str">
        <f>IF(Backlog[[#This Row],[Fecha comprometida (para UAT)]]="","",Backlog[[#This Row],[Fecha comprometida (para UAT)]])</f>
        <v/>
      </c>
      <c r="K43" s="229" t="str">
        <f>IF(Backlog[[#This Row],[Fecha Real de Cierre]]="","",Backlog[[#This Row],[Fecha Real de Cierre]])</f>
        <v/>
      </c>
      <c r="L43" s="353">
        <f>Backlog[[#This Row],[Estimación Desarrollo]]</f>
        <v>40</v>
      </c>
      <c r="M43" s="353">
        <f>Backlog[[#This Row],[QA/UAT]]</f>
        <v>0</v>
      </c>
      <c r="N43" s="248"/>
      <c r="O43" s="248"/>
      <c r="P43" s="248"/>
      <c r="Q43" s="248"/>
    </row>
    <row r="44" spans="1:17" ht="15.75" hidden="1" customHeight="1">
      <c r="A44" s="307" t="e">
        <f>#REF!</f>
        <v>#REF!</v>
      </c>
      <c r="B44" s="243" t="str">
        <f>Backlog[[#This Row],[Clave del caso]]</f>
        <v>MAN-674 SF16019</v>
      </c>
      <c r="C44" s="304" t="e">
        <f>#REF!</f>
        <v>#REF!</v>
      </c>
      <c r="D44" s="243" t="str">
        <f>Backlog[[#This Row],[Cliente que solicita]]</f>
        <v>Todas las provincias</v>
      </c>
      <c r="E44" s="243" t="str">
        <f>Backlog[[#This Row],[Componente]]</f>
        <v>Panel Agentes-Abaco</v>
      </c>
      <c r="F44" s="243" t="str">
        <f>Backlog[[#This Row],[Area responsable de traccionar]]</f>
        <v>SAC</v>
      </c>
      <c r="G44" s="243">
        <f>Backlog[[#This Row],[OP]]</f>
        <v>0</v>
      </c>
      <c r="H44" s="243" t="str">
        <f>Backlog[[#This Row],[Estado]]</f>
        <v>A priorizar</v>
      </c>
      <c r="I44" s="317" t="str">
        <f>IF(Backlog[[#This Row],[Fecha Requerida en Producción]]="","",Backlog[[#This Row],[Fecha Requerida en Producción]])</f>
        <v/>
      </c>
      <c r="J44" s="317" t="str">
        <f>IF(Backlog[[#This Row],[Fecha comprometida (para UAT)]]="","",Backlog[[#This Row],[Fecha comprometida (para UAT)]])</f>
        <v/>
      </c>
      <c r="K44" s="229" t="str">
        <f>IF(Backlog[[#This Row],[Fecha Real de Cierre]]="","",Backlog[[#This Row],[Fecha Real de Cierre]])</f>
        <v/>
      </c>
      <c r="L44" s="353">
        <f>Backlog[[#This Row],[Estimación Desarrollo]]</f>
        <v>80</v>
      </c>
      <c r="M44" s="353">
        <f>Backlog[[#This Row],[QA/UAT]]</f>
        <v>0</v>
      </c>
      <c r="N44" s="248"/>
      <c r="O44" s="248"/>
      <c r="P44" s="248"/>
      <c r="Q44" s="248"/>
    </row>
    <row r="45" spans="1:17" ht="15.75" hidden="1" customHeight="1">
      <c r="A45" s="307" t="e">
        <f>#REF!</f>
        <v>#REF!</v>
      </c>
      <c r="B45" s="243" t="str">
        <f>Backlog[[#This Row],[Clave del caso]]</f>
        <v>MAN-679 SF16067</v>
      </c>
      <c r="C45" s="304" t="e">
        <f>#REF!</f>
        <v>#REF!</v>
      </c>
      <c r="D45" s="243" t="str">
        <f>Backlog[[#This Row],[Cliente que solicita]]</f>
        <v>Tierra del Fuego</v>
      </c>
      <c r="E45" s="243" t="str">
        <f>Backlog[[#This Row],[Componente]]</f>
        <v>Gamma</v>
      </c>
      <c r="F45" s="243" t="str">
        <f>Backlog[[#This Row],[Area responsable de traccionar]]</f>
        <v>SAC</v>
      </c>
      <c r="G45" s="243">
        <f>Backlog[[#This Row],[OP]]</f>
        <v>0</v>
      </c>
      <c r="H45" s="243" t="str">
        <f>Backlog[[#This Row],[Estado]]</f>
        <v>A priorizar</v>
      </c>
      <c r="I45" s="317" t="str">
        <f>IF(Backlog[[#This Row],[Fecha Requerida en Producción]]="","",Backlog[[#This Row],[Fecha Requerida en Producción]])</f>
        <v/>
      </c>
      <c r="J45" s="317" t="str">
        <f>IF(Backlog[[#This Row],[Fecha comprometida (para UAT)]]="","",Backlog[[#This Row],[Fecha comprometida (para UAT)]])</f>
        <v/>
      </c>
      <c r="K45" s="229" t="str">
        <f>IF(Backlog[[#This Row],[Fecha Real de Cierre]]="","",Backlog[[#This Row],[Fecha Real de Cierre]])</f>
        <v/>
      </c>
      <c r="L45" s="353">
        <f>Backlog[[#This Row],[Estimación Desarrollo]]</f>
        <v>24</v>
      </c>
      <c r="M45" s="353">
        <f>Backlog[[#This Row],[QA/UAT]]</f>
        <v>0</v>
      </c>
      <c r="N45" s="248"/>
      <c r="O45" s="248"/>
      <c r="P45" s="248"/>
      <c r="Q45" s="248"/>
    </row>
    <row r="46" spans="1:17" ht="15.75" customHeight="1">
      <c r="A46" s="355" t="e">
        <f>#REF!</f>
        <v>#REF!</v>
      </c>
      <c r="B46" s="354" t="str">
        <f>Backlog[[#This Row],[Clave del caso]]</f>
        <v>MAN-697 15940</v>
      </c>
      <c r="C46" s="364" t="e">
        <f>#REF!</f>
        <v>#REF!</v>
      </c>
      <c r="D46" s="354" t="str">
        <f>Backlog[[#This Row],[Cliente que solicita]]</f>
        <v>Tierra del Fuego</v>
      </c>
      <c r="E46" s="354" t="str">
        <f>Backlog[[#This Row],[Componente]]</f>
        <v>Gamma</v>
      </c>
      <c r="F46" s="354">
        <f>Backlog[[#This Row],[Area responsable de traccionar]]</f>
        <v>0</v>
      </c>
      <c r="G46" s="354">
        <f>Backlog[[#This Row],[OP]]</f>
        <v>0</v>
      </c>
      <c r="H46" s="354" t="str">
        <f>Backlog[[#This Row],[Estado]]</f>
        <v>Planificado</v>
      </c>
      <c r="I46" s="358" t="str">
        <f>IF(Backlog[[#This Row],[Fecha Requerida en Producción]]="","",Backlog[[#This Row],[Fecha Requerida en Producción]])</f>
        <v/>
      </c>
      <c r="J46" s="358" t="str">
        <f>IF(Backlog[[#This Row],[Fecha comprometida (para UAT)]]="","",Backlog[[#This Row],[Fecha comprometida (para UAT)]])</f>
        <v/>
      </c>
      <c r="K46" s="359" t="str">
        <f>IF(Backlog[[#This Row],[Fecha Real de Cierre]]="","",Backlog[[#This Row],[Fecha Real de Cierre]])</f>
        <v/>
      </c>
      <c r="L46" s="360">
        <f>Backlog[[#This Row],[Estimación Desarrollo]]</f>
        <v>24</v>
      </c>
      <c r="M46" s="360">
        <f>Backlog[[#This Row],[QA/UAT]]</f>
        <v>0</v>
      </c>
      <c r="N46" s="248"/>
      <c r="O46" s="248"/>
      <c r="P46" s="248"/>
      <c r="Q46" s="248"/>
    </row>
    <row r="47" spans="1:17" ht="15.75" hidden="1" customHeight="1">
      <c r="A47" s="309" t="e">
        <f>#REF!</f>
        <v>#REF!</v>
      </c>
      <c r="B47" s="234" t="str">
        <f>Backlog[[#This Row],[Clave del caso]]</f>
        <v>MAN-698 16245</v>
      </c>
      <c r="C47" s="313" t="e">
        <f>#REF!</f>
        <v>#REF!</v>
      </c>
      <c r="D47" s="234" t="str">
        <f>Backlog[[#This Row],[Cliente que solicita]]</f>
        <v>Jujuy</v>
      </c>
      <c r="E47" s="234" t="str">
        <f>Backlog[[#This Row],[Componente]]</f>
        <v>Gamma</v>
      </c>
      <c r="F47" s="234" t="str">
        <f>Backlog[[#This Row],[Area responsable de traccionar]]</f>
        <v>SAC</v>
      </c>
      <c r="G47" s="234">
        <f>Backlog[[#This Row],[OP]]</f>
        <v>0</v>
      </c>
      <c r="H47" s="234" t="str">
        <f>Backlog[[#This Row],[Estado]]</f>
        <v>A priorizar</v>
      </c>
      <c r="I47" s="316" t="str">
        <f>IF(Backlog[[#This Row],[Fecha Requerida en Producción]]="","",Backlog[[#This Row],[Fecha Requerida en Producción]])</f>
        <v/>
      </c>
      <c r="J47" s="316" t="str">
        <f>IF(Backlog[[#This Row],[Fecha comprometida (para UAT)]]="","",Backlog[[#This Row],[Fecha comprometida (para UAT)]])</f>
        <v/>
      </c>
      <c r="K47" s="217" t="str">
        <f>IF(Backlog[[#This Row],[Fecha Real de Cierre]]="","",Backlog[[#This Row],[Fecha Real de Cierre]])</f>
        <v/>
      </c>
      <c r="L47" s="353">
        <f>Backlog[[#This Row],[Estimación Desarrollo]]</f>
        <v>16</v>
      </c>
      <c r="M47" s="353">
        <f>Backlog[[#This Row],[QA/UAT]]</f>
        <v>0</v>
      </c>
      <c r="N47" s="248"/>
      <c r="O47" s="248"/>
      <c r="P47" s="248"/>
      <c r="Q47" s="248"/>
    </row>
    <row r="48" spans="1:17" ht="15.75" hidden="1" customHeight="1">
      <c r="A48" s="307" t="e">
        <f>#REF!</f>
        <v>#REF!</v>
      </c>
      <c r="B48" s="243" t="str">
        <f>Backlog[[#This Row],[Clave del caso]]</f>
        <v xml:space="preserve">00009750  Gamma - 000048
</v>
      </c>
      <c r="C48" s="304" t="e">
        <f>#REF!</f>
        <v>#REF!</v>
      </c>
      <c r="D48" s="243" t="str">
        <f>Backlog[[#This Row],[Cliente que solicita]]</f>
        <v>Corrientes</v>
      </c>
      <c r="E48" s="243" t="str">
        <f>Backlog[[#This Row],[Componente]]</f>
        <v>Abaco</v>
      </c>
      <c r="F48" s="243" t="str">
        <f>Backlog[[#This Row],[Area responsable de traccionar]]</f>
        <v>SAC</v>
      </c>
      <c r="G48" s="243">
        <f>Backlog[[#This Row],[OP]]</f>
        <v>0</v>
      </c>
      <c r="H48" s="243" t="str">
        <f>Backlog[[#This Row],[Estado]]</f>
        <v>A priorizar</v>
      </c>
      <c r="I48" s="256">
        <f>Backlog[[#This Row],[Fecha Requerida en Producción]]</f>
        <v>0</v>
      </c>
      <c r="J48" s="317" t="str">
        <f>IF(Backlog[[#This Row],[Fecha comprometida (para UAT)]]="","",Backlog[[#This Row],[Fecha comprometida (para UAT)]])</f>
        <v/>
      </c>
      <c r="K48" s="229" t="str">
        <f>IF(Backlog[[#This Row],[Fecha Real de Cierre]]="","",Backlog[[#This Row],[Fecha Real de Cierre]])</f>
        <v/>
      </c>
      <c r="L48" s="353">
        <f>Backlog[[#This Row],[Estimación Desarrollo]]</f>
        <v>8</v>
      </c>
      <c r="M48" s="353">
        <f>Backlog[[#This Row],[QA/UAT]]</f>
        <v>0</v>
      </c>
      <c r="N48" s="248"/>
      <c r="O48" s="248"/>
      <c r="P48" s="248"/>
      <c r="Q48" s="248"/>
    </row>
    <row r="49" spans="1:17" ht="15.75" hidden="1" customHeight="1">
      <c r="A49" s="307" t="e">
        <f>#REF!</f>
        <v>#REF!</v>
      </c>
      <c r="B49" s="243" t="str">
        <f>Backlog[[#This Row],[Clave del caso]]</f>
        <v>00008124</v>
      </c>
      <c r="C49" s="304" t="e">
        <f>#REF!</f>
        <v>#REF!</v>
      </c>
      <c r="D49" s="243" t="str">
        <f>Backlog[[#This Row],[Cliente que solicita]]</f>
        <v>Todas las provincias</v>
      </c>
      <c r="E49" s="243" t="str">
        <f>Backlog[[#This Row],[Componente]]</f>
        <v>Gamma</v>
      </c>
      <c r="F49" s="243" t="str">
        <f>Backlog[[#This Row],[Area responsable de traccionar]]</f>
        <v>SAC</v>
      </c>
      <c r="G49" s="243">
        <f>Backlog[[#This Row],[OP]]</f>
        <v>0</v>
      </c>
      <c r="H49" s="243" t="str">
        <f>Backlog[[#This Row],[Estado]]</f>
        <v>A priorizar</v>
      </c>
      <c r="I49" s="317" t="str">
        <f>IF(Backlog[[#This Row],[Fecha Requerida en Producción]]="","",Backlog[[#This Row],[Fecha Requerida en Producción]])</f>
        <v/>
      </c>
      <c r="J49" s="317" t="str">
        <f>IF(Backlog[[#This Row],[Fecha comprometida (para UAT)]]="","",Backlog[[#This Row],[Fecha comprometida (para UAT)]])</f>
        <v/>
      </c>
      <c r="K49" s="229" t="str">
        <f>IF(Backlog[[#This Row],[Fecha Real de Cierre]]="","",Backlog[[#This Row],[Fecha Real de Cierre]])</f>
        <v/>
      </c>
      <c r="L49" s="353">
        <f>Backlog[[#This Row],[Estimación Desarrollo]]</f>
        <v>60</v>
      </c>
      <c r="M49" s="353">
        <f>Backlog[[#This Row],[QA/UAT]]</f>
        <v>0</v>
      </c>
      <c r="N49" s="248"/>
      <c r="O49" s="248"/>
      <c r="P49" s="248"/>
      <c r="Q49" s="248"/>
    </row>
    <row r="50" spans="1:17" ht="15.75" customHeight="1">
      <c r="A50" s="355" t="e">
        <f>#REF!</f>
        <v>#REF!</v>
      </c>
      <c r="B50" s="354" t="str">
        <f>Backlog[[#This Row],[Clave del caso]]</f>
        <v>00008127</v>
      </c>
      <c r="C50" s="365" t="e">
        <f>#REF!</f>
        <v>#REF!</v>
      </c>
      <c r="D50" s="354" t="str">
        <f>Backlog[[#This Row],[Cliente que solicita]]</f>
        <v>Todas las provincias</v>
      </c>
      <c r="E50" s="354" t="str">
        <f>Backlog[[#This Row],[Componente]]</f>
        <v>Gamma</v>
      </c>
      <c r="F50" s="354" t="str">
        <f>Backlog[[#This Row],[Area responsable de traccionar]]</f>
        <v>SAC</v>
      </c>
      <c r="G50" s="354">
        <f>Backlog[[#This Row],[OP]]</f>
        <v>0</v>
      </c>
      <c r="H50" s="354" t="str">
        <f>Backlog[[#This Row],[Estado]]</f>
        <v>A priorizar</v>
      </c>
      <c r="I50" s="358" t="str">
        <f>IF(Backlog[[#This Row],[Fecha Requerida en Producción]]="","",Backlog[[#This Row],[Fecha Requerida en Producción]])</f>
        <v/>
      </c>
      <c r="J50" s="358" t="str">
        <f>IF(Backlog[[#This Row],[Fecha comprometida (para UAT)]]="","",Backlog[[#This Row],[Fecha comprometida (para UAT)]])</f>
        <v/>
      </c>
      <c r="K50" s="359" t="str">
        <f>IF(Backlog[[#This Row],[Fecha Real de Cierre]]="","",Backlog[[#This Row],[Fecha Real de Cierre]])</f>
        <v/>
      </c>
      <c r="L50" s="360">
        <f>Backlog[[#This Row],[Estimación Desarrollo]]</f>
        <v>120</v>
      </c>
      <c r="M50" s="360">
        <f>Backlog[[#This Row],[QA/UAT]]</f>
        <v>0</v>
      </c>
      <c r="N50" s="248"/>
      <c r="O50" s="248"/>
      <c r="P50" s="248"/>
      <c r="Q50" s="248"/>
    </row>
    <row r="51" spans="1:17" ht="15.75" hidden="1" customHeight="1">
      <c r="A51" s="307" t="e">
        <f>#REF!</f>
        <v>#REF!</v>
      </c>
      <c r="B51" s="243" t="str">
        <f>Backlog[[#This Row],[Clave del caso]]</f>
        <v>00008140</v>
      </c>
      <c r="C51" s="314" t="e">
        <f>#REF!</f>
        <v>#REF!</v>
      </c>
      <c r="D51" s="243" t="str">
        <f>Backlog[[#This Row],[Cliente que solicita]]</f>
        <v>Todas las provincias</v>
      </c>
      <c r="E51" s="243" t="str">
        <f>Backlog[[#This Row],[Componente]]</f>
        <v>Gamma</v>
      </c>
      <c r="F51" s="243" t="str">
        <f>Backlog[[#This Row],[Area responsable de traccionar]]</f>
        <v>SAC</v>
      </c>
      <c r="G51" s="243">
        <f>Backlog[[#This Row],[OP]]</f>
        <v>0</v>
      </c>
      <c r="H51" s="243" t="str">
        <f>Backlog[[#This Row],[Estado]]</f>
        <v>A priorizar</v>
      </c>
      <c r="I51" s="256">
        <f>Backlog[[#This Row],[Fecha Requerida en Producción]]</f>
        <v>0</v>
      </c>
      <c r="J51" s="317" t="str">
        <f>IF(Backlog[[#This Row],[Fecha comprometida (para UAT)]]="","",Backlog[[#This Row],[Fecha comprometida (para UAT)]])</f>
        <v/>
      </c>
      <c r="K51" s="229" t="str">
        <f>IF(Backlog[[#This Row],[Fecha Real de Cierre]]="","",Backlog[[#This Row],[Fecha Real de Cierre]])</f>
        <v/>
      </c>
      <c r="L51" s="353">
        <f>Backlog[[#This Row],[Estimación Desarrollo]]</f>
        <v>120</v>
      </c>
      <c r="M51" s="353">
        <f>Backlog[[#This Row],[QA/UAT]]</f>
        <v>0</v>
      </c>
      <c r="N51" s="248"/>
      <c r="O51" s="248"/>
      <c r="P51" s="248"/>
      <c r="Q51" s="248"/>
    </row>
    <row r="52" spans="1:17" ht="15.75" hidden="1" customHeight="1">
      <c r="A52" s="309" t="e">
        <f>#REF!</f>
        <v>#REF!</v>
      </c>
      <c r="B52" s="234" t="str">
        <f>Backlog[[#This Row],[Clave del caso]]</f>
        <v>00008121</v>
      </c>
      <c r="C52" s="311" t="e">
        <f>#REF!</f>
        <v>#REF!</v>
      </c>
      <c r="D52" s="234" t="str">
        <f>Backlog[[#This Row],[Cliente que solicita]]</f>
        <v>Todas las provincias</v>
      </c>
      <c r="E52" s="234" t="str">
        <f>Backlog[[#This Row],[Componente]]</f>
        <v>Gamma</v>
      </c>
      <c r="F52" s="234" t="str">
        <f>Backlog[[#This Row],[Area responsable de traccionar]]</f>
        <v>SAC</v>
      </c>
      <c r="G52" s="234">
        <f>Backlog[[#This Row],[OP]]</f>
        <v>0</v>
      </c>
      <c r="H52" s="234" t="str">
        <f>Backlog[[#This Row],[Estado]]</f>
        <v>A priorizar</v>
      </c>
      <c r="I52" s="316" t="str">
        <f>IF(Backlog[[#This Row],[Fecha Requerida en Producción]]="","",Backlog[[#This Row],[Fecha Requerida en Producción]])</f>
        <v/>
      </c>
      <c r="J52" s="316" t="str">
        <f>IF(Backlog[[#This Row],[Fecha comprometida (para UAT)]]="","",Backlog[[#This Row],[Fecha comprometida (para UAT)]])</f>
        <v/>
      </c>
      <c r="K52" s="217" t="str">
        <f>IF(Backlog[[#This Row],[Fecha Real de Cierre]]="","",Backlog[[#This Row],[Fecha Real de Cierre]])</f>
        <v/>
      </c>
      <c r="L52" s="353">
        <f>Backlog[[#This Row],[Estimación Desarrollo]]</f>
        <v>180</v>
      </c>
      <c r="M52" s="353">
        <f>Backlog[[#This Row],[QA/UAT]]</f>
        <v>0</v>
      </c>
      <c r="N52" s="248"/>
      <c r="O52" s="248"/>
      <c r="P52" s="248"/>
      <c r="Q52" s="248"/>
    </row>
    <row r="53" spans="1:17" ht="15.75" hidden="1" customHeight="1">
      <c r="A53" s="307" t="e">
        <f>#REF!</f>
        <v>#REF!</v>
      </c>
      <c r="B53" s="243" t="str">
        <f>Backlog[[#This Row],[Clave del caso]]</f>
        <v>00008128</v>
      </c>
      <c r="C53" s="314" t="e">
        <f>#REF!</f>
        <v>#REF!</v>
      </c>
      <c r="D53" s="243" t="str">
        <f>Backlog[[#This Row],[Cliente que solicita]]</f>
        <v>Todas las provincias</v>
      </c>
      <c r="E53" s="243" t="str">
        <f>Backlog[[#This Row],[Componente]]</f>
        <v>Gamma</v>
      </c>
      <c r="F53" s="243" t="str">
        <f>Backlog[[#This Row],[Area responsable de traccionar]]</f>
        <v>SAC</v>
      </c>
      <c r="G53" s="243">
        <f>Backlog[[#This Row],[OP]]</f>
        <v>0</v>
      </c>
      <c r="H53" s="243" t="str">
        <f>Backlog[[#This Row],[Estado]]</f>
        <v>QA</v>
      </c>
      <c r="I53" s="256">
        <f>Backlog[[#This Row],[Fecha Requerida en Producción]]</f>
        <v>0</v>
      </c>
      <c r="J53" s="317" t="str">
        <f>IF(Backlog[[#This Row],[Fecha comprometida (para UAT)]]="","",Backlog[[#This Row],[Fecha comprometida (para UAT)]])</f>
        <v/>
      </c>
      <c r="K53" s="229" t="str">
        <f>IF(Backlog[[#This Row],[Fecha Real de Cierre]]="","",Backlog[[#This Row],[Fecha Real de Cierre]])</f>
        <v/>
      </c>
      <c r="L53" s="353">
        <f>Backlog[[#This Row],[Estimación Desarrollo]]</f>
        <v>0</v>
      </c>
      <c r="M53" s="353">
        <f>Backlog[[#This Row],[QA/UAT]]</f>
        <v>0</v>
      </c>
      <c r="N53" s="248"/>
      <c r="O53" s="248"/>
      <c r="P53" s="248"/>
      <c r="Q53" s="248"/>
    </row>
    <row r="54" spans="1:17" ht="15.75" hidden="1" customHeight="1">
      <c r="A54" s="307" t="e">
        <f>#REF!</f>
        <v>#REF!</v>
      </c>
      <c r="B54" s="243" t="str">
        <f>Backlog[[#This Row],[Clave del caso]]</f>
        <v>00008133</v>
      </c>
      <c r="C54" s="314" t="e">
        <f>#REF!</f>
        <v>#REF!</v>
      </c>
      <c r="D54" s="243" t="str">
        <f>Backlog[[#This Row],[Cliente que solicita]]</f>
        <v>Todas las provincias</v>
      </c>
      <c r="E54" s="243" t="str">
        <f>Backlog[[#This Row],[Componente]]</f>
        <v>Gamma</v>
      </c>
      <c r="F54" s="243" t="str">
        <f>Backlog[[#This Row],[Area responsable de traccionar]]</f>
        <v>SAC</v>
      </c>
      <c r="G54" s="243">
        <f>Backlog[[#This Row],[OP]]</f>
        <v>0</v>
      </c>
      <c r="H54" s="243" t="str">
        <f>Backlog[[#This Row],[Estado]]</f>
        <v>A priorizar</v>
      </c>
      <c r="I54" s="256">
        <f>Backlog[[#This Row],[Fecha Requerida en Producción]]</f>
        <v>0</v>
      </c>
      <c r="J54" s="317" t="str">
        <f>IF(Backlog[[#This Row],[Fecha comprometida (para UAT)]]="","",Backlog[[#This Row],[Fecha comprometida (para UAT)]])</f>
        <v/>
      </c>
      <c r="K54" s="229" t="str">
        <f>IF(Backlog[[#This Row],[Fecha Real de Cierre]]="","",Backlog[[#This Row],[Fecha Real de Cierre]])</f>
        <v/>
      </c>
      <c r="L54" s="353">
        <f>Backlog[[#This Row],[Estimación Desarrollo]]</f>
        <v>60</v>
      </c>
      <c r="M54" s="353">
        <f>Backlog[[#This Row],[QA/UAT]]</f>
        <v>0</v>
      </c>
      <c r="N54" s="248"/>
      <c r="O54" s="248"/>
      <c r="P54" s="248"/>
      <c r="Q54" s="248"/>
    </row>
    <row r="55" spans="1:17" ht="15.75" customHeight="1">
      <c r="A55" s="309" t="e">
        <f>#REF!</f>
        <v>#REF!</v>
      </c>
      <c r="B55" s="234" t="str">
        <f>Backlog[[#This Row],[Clave del caso]]</f>
        <v>00008138</v>
      </c>
      <c r="C55" s="311" t="e">
        <f>#REF!</f>
        <v>#REF!</v>
      </c>
      <c r="D55" s="234" t="str">
        <f>Backlog[[#This Row],[Cliente que solicita]]</f>
        <v>Todas las provincias</v>
      </c>
      <c r="E55" s="234" t="str">
        <f>Backlog[[#This Row],[Componente]]</f>
        <v>Gamma</v>
      </c>
      <c r="F55" s="234" t="str">
        <f>Backlog[[#This Row],[Area responsable de traccionar]]</f>
        <v>SAC</v>
      </c>
      <c r="G55" s="234">
        <f>Backlog[[#This Row],[OP]]</f>
        <v>0</v>
      </c>
      <c r="H55" s="234" t="str">
        <f>Backlog[[#This Row],[Estado]]</f>
        <v>Validar estado</v>
      </c>
      <c r="I55" s="191">
        <f>Backlog[[#This Row],[Fecha Requerida en Producción]]</f>
        <v>0</v>
      </c>
      <c r="J55" s="316" t="str">
        <f>IF(Backlog[[#This Row],[Fecha comprometida (para UAT)]]="","",Backlog[[#This Row],[Fecha comprometida (para UAT)]])</f>
        <v/>
      </c>
      <c r="K55" s="217" t="str">
        <f>IF(Backlog[[#This Row],[Fecha Real de Cierre]]="","",Backlog[[#This Row],[Fecha Real de Cierre]])</f>
        <v/>
      </c>
      <c r="L55" s="353">
        <f>Backlog[[#This Row],[Estimación Desarrollo]]</f>
        <v>0</v>
      </c>
      <c r="M55" s="353">
        <f>Backlog[[#This Row],[QA/UAT]]</f>
        <v>0</v>
      </c>
      <c r="N55" s="248"/>
      <c r="O55" s="248"/>
      <c r="P55" s="248"/>
      <c r="Q55" s="248"/>
    </row>
    <row r="56" spans="1:17" ht="15.75" hidden="1" customHeight="1">
      <c r="A56" s="309" t="e">
        <f>#REF!</f>
        <v>#REF!</v>
      </c>
      <c r="B56" s="234">
        <f>Backlog[[#This Row],[Clave del caso]]</f>
        <v>0</v>
      </c>
      <c r="C56" s="311" t="e">
        <f>#REF!</f>
        <v>#REF!</v>
      </c>
      <c r="D56" s="234" t="str">
        <f>Backlog[[#This Row],[Cliente que solicita]]</f>
        <v>Todas las provincias</v>
      </c>
      <c r="E56" s="234" t="str">
        <f>Backlog[[#This Row],[Componente]]</f>
        <v>Gamma</v>
      </c>
      <c r="F56" s="234" t="str">
        <f>Backlog[[#This Row],[Area responsable de traccionar]]</f>
        <v>SAC</v>
      </c>
      <c r="G56" s="234">
        <f>Backlog[[#This Row],[OP]]</f>
        <v>0</v>
      </c>
      <c r="H56" s="234" t="str">
        <f>Backlog[[#This Row],[Estado]]</f>
        <v>A priorizar</v>
      </c>
      <c r="I56" s="316" t="str">
        <f>IF(Backlog[[#This Row],[Fecha Requerida en Producción]]="","",Backlog[[#This Row],[Fecha Requerida en Producción]])</f>
        <v/>
      </c>
      <c r="J56" s="316" t="str">
        <f>IF(Backlog[[#This Row],[Fecha comprometida (para UAT)]]="","",Backlog[[#This Row],[Fecha comprometida (para UAT)]])</f>
        <v/>
      </c>
      <c r="K56" s="217" t="str">
        <f>IF(Backlog[[#This Row],[Fecha Real de Cierre]]="","",Backlog[[#This Row],[Fecha Real de Cierre]])</f>
        <v/>
      </c>
      <c r="L56" s="353">
        <f>Backlog[[#This Row],[Estimación Desarrollo]]</f>
        <v>8</v>
      </c>
      <c r="M56" s="353">
        <f>Backlog[[#This Row],[QA/UAT]]</f>
        <v>0</v>
      </c>
      <c r="N56" s="248"/>
      <c r="O56" s="248"/>
      <c r="P56" s="248"/>
      <c r="Q56" s="248"/>
    </row>
    <row r="57" spans="1:17" ht="15.75" hidden="1" customHeight="1">
      <c r="A57" s="309" t="e">
        <f>#REF!</f>
        <v>#REF!</v>
      </c>
      <c r="B57" s="234" t="str">
        <f>Backlog[[#This Row],[Clave del caso]]</f>
        <v>690</v>
      </c>
      <c r="C57" s="311" t="e">
        <f>#REF!</f>
        <v>#REF!</v>
      </c>
      <c r="D57" s="234" t="str">
        <f>Backlog[[#This Row],[Cliente que solicita]]</f>
        <v>Todas las provincias</v>
      </c>
      <c r="E57" s="234" t="str">
        <f>Backlog[[#This Row],[Componente]]</f>
        <v>Gamma</v>
      </c>
      <c r="F57" s="234" t="str">
        <f>Backlog[[#This Row],[Area responsable de traccionar]]</f>
        <v>SAC</v>
      </c>
      <c r="G57" s="234">
        <f>Backlog[[#This Row],[OP]]</f>
        <v>0</v>
      </c>
      <c r="H57" s="234" t="str">
        <f>Backlog[[#This Row],[Estado]]</f>
        <v>A priorizar</v>
      </c>
      <c r="I57" s="316" t="str">
        <f>IF(Backlog[[#This Row],[Fecha Requerida en Producción]]="","",Backlog[[#This Row],[Fecha Requerida en Producción]])</f>
        <v/>
      </c>
      <c r="J57" s="316" t="str">
        <f>IF(Backlog[[#This Row],[Fecha comprometida (para UAT)]]="","",Backlog[[#This Row],[Fecha comprometida (para UAT)]])</f>
        <v/>
      </c>
      <c r="K57" s="217" t="str">
        <f>IF(Backlog[[#This Row],[Fecha Real de Cierre]]="","",Backlog[[#This Row],[Fecha Real de Cierre]])</f>
        <v/>
      </c>
      <c r="L57" s="353">
        <f>Backlog[[#This Row],[Estimación Desarrollo]]</f>
        <v>0</v>
      </c>
      <c r="M57" s="353">
        <f>Backlog[[#This Row],[QA/UAT]]</f>
        <v>0</v>
      </c>
      <c r="N57" s="248"/>
      <c r="O57" s="248"/>
      <c r="P57" s="248"/>
      <c r="Q57" s="248"/>
    </row>
    <row r="58" spans="1:17" ht="15.75" hidden="1" customHeight="1">
      <c r="A58" s="309" t="e">
        <f>#REF!</f>
        <v>#REF!</v>
      </c>
      <c r="B58" s="234" t="str">
        <f>Backlog[[#This Row],[Clave del caso]]</f>
        <v>708</v>
      </c>
      <c r="C58" s="311" t="e">
        <f>#REF!</f>
        <v>#REF!</v>
      </c>
      <c r="D58" s="234" t="str">
        <f>Backlog[[#This Row],[Cliente que solicita]]</f>
        <v>Todas las provincias</v>
      </c>
      <c r="E58" s="234" t="str">
        <f>Backlog[[#This Row],[Componente]]</f>
        <v>Gamma</v>
      </c>
      <c r="F58" s="234" t="str">
        <f>Backlog[[#This Row],[Area responsable de traccionar]]</f>
        <v>SAC</v>
      </c>
      <c r="G58" s="234">
        <f>Backlog[[#This Row],[OP]]</f>
        <v>0</v>
      </c>
      <c r="H58" s="234" t="str">
        <f>Backlog[[#This Row],[Estado]]</f>
        <v>A priorizar</v>
      </c>
      <c r="I58" s="316" t="str">
        <f>IF(Backlog[[#This Row],[Fecha Requerida en Producción]]="","",Backlog[[#This Row],[Fecha Requerida en Producción]])</f>
        <v/>
      </c>
      <c r="J58" s="316" t="str">
        <f>IF(Backlog[[#This Row],[Fecha comprometida (para UAT)]]="","",Backlog[[#This Row],[Fecha comprometida (para UAT)]])</f>
        <v/>
      </c>
      <c r="K58" s="217" t="str">
        <f>IF(Backlog[[#This Row],[Fecha Real de Cierre]]="","",Backlog[[#This Row],[Fecha Real de Cierre]])</f>
        <v/>
      </c>
      <c r="L58" s="353">
        <f>Backlog[[#This Row],[Estimación Desarrollo]]</f>
        <v>0</v>
      </c>
      <c r="M58" s="353">
        <f>Backlog[[#This Row],[QA/UAT]]</f>
        <v>0</v>
      </c>
      <c r="N58" s="248"/>
      <c r="O58" s="248"/>
      <c r="P58" s="248"/>
      <c r="Q58" s="248"/>
    </row>
    <row r="59" spans="1:17" ht="15.75" hidden="1" customHeight="1">
      <c r="A59" s="309" t="e">
        <f>#REF!</f>
        <v>#REF!</v>
      </c>
      <c r="B59" s="234" t="str">
        <f>Backlog[[#This Row],[Clave del caso]]</f>
        <v>871</v>
      </c>
      <c r="C59" s="311" t="e">
        <f>#REF!</f>
        <v>#REF!</v>
      </c>
      <c r="D59" s="234" t="str">
        <f>Backlog[[#This Row],[Cliente que solicita]]</f>
        <v>Todas las provincias</v>
      </c>
      <c r="E59" s="234" t="str">
        <f>Backlog[[#This Row],[Componente]]</f>
        <v>Gamma</v>
      </c>
      <c r="F59" s="234" t="str">
        <f>Backlog[[#This Row],[Area responsable de traccionar]]</f>
        <v>SAC</v>
      </c>
      <c r="G59" s="234">
        <f>Backlog[[#This Row],[OP]]</f>
        <v>0</v>
      </c>
      <c r="H59" s="234" t="str">
        <f>Backlog[[#This Row],[Estado]]</f>
        <v>A priorizar</v>
      </c>
      <c r="I59" s="316" t="str">
        <f>IF(Backlog[[#This Row],[Fecha Requerida en Producción]]="","",Backlog[[#This Row],[Fecha Requerida en Producción]])</f>
        <v/>
      </c>
      <c r="J59" s="316" t="str">
        <f>IF(Backlog[[#This Row],[Fecha comprometida (para UAT)]]="","",Backlog[[#This Row],[Fecha comprometida (para UAT)]])</f>
        <v/>
      </c>
      <c r="K59" s="217" t="str">
        <f>IF(Backlog[[#This Row],[Fecha Real de Cierre]]="","",Backlog[[#This Row],[Fecha Real de Cierre]])</f>
        <v/>
      </c>
      <c r="L59" s="353">
        <f>Backlog[[#This Row],[Estimación Desarrollo]]</f>
        <v>0</v>
      </c>
      <c r="M59" s="353">
        <f>Backlog[[#This Row],[QA/UAT]]</f>
        <v>0</v>
      </c>
      <c r="N59" s="248"/>
      <c r="O59" s="248"/>
      <c r="P59" s="248"/>
      <c r="Q59" s="248"/>
    </row>
    <row r="60" spans="1:17" ht="15.75" hidden="1" customHeight="1">
      <c r="A60" s="309" t="e">
        <f>#REF!</f>
        <v>#REF!</v>
      </c>
      <c r="B60" s="234" t="str">
        <f>Backlog[[#This Row],[Clave del caso]]</f>
        <v>902</v>
      </c>
      <c r="C60" s="311" t="e">
        <f>#REF!</f>
        <v>#REF!</v>
      </c>
      <c r="D60" s="234" t="str">
        <f>Backlog[[#This Row],[Cliente que solicita]]</f>
        <v>Todas las provincias</v>
      </c>
      <c r="E60" s="234" t="str">
        <f>Backlog[[#This Row],[Componente]]</f>
        <v>Gamma</v>
      </c>
      <c r="F60" s="234" t="str">
        <f>Backlog[[#This Row],[Area responsable de traccionar]]</f>
        <v>SAC</v>
      </c>
      <c r="G60" s="234">
        <f>Backlog[[#This Row],[OP]]</f>
        <v>0</v>
      </c>
      <c r="H60" s="234" t="str">
        <f>Backlog[[#This Row],[Estado]]</f>
        <v>A priorizar</v>
      </c>
      <c r="I60" s="316" t="str">
        <f>IF(Backlog[[#This Row],[Fecha Requerida en Producción]]="","",Backlog[[#This Row],[Fecha Requerida en Producción]])</f>
        <v/>
      </c>
      <c r="J60" s="316" t="str">
        <f>IF(Backlog[[#This Row],[Fecha comprometida (para UAT)]]="","",Backlog[[#This Row],[Fecha comprometida (para UAT)]])</f>
        <v/>
      </c>
      <c r="K60" s="217" t="str">
        <f>IF(Backlog[[#This Row],[Fecha Real de Cierre]]="","",Backlog[[#This Row],[Fecha Real de Cierre]])</f>
        <v/>
      </c>
      <c r="L60" s="353">
        <f>Backlog[[#This Row],[Estimación Desarrollo]]</f>
        <v>0</v>
      </c>
      <c r="M60" s="353">
        <f>Backlog[[#This Row],[QA/UAT]]</f>
        <v>0</v>
      </c>
      <c r="N60" s="248"/>
      <c r="O60" s="248"/>
      <c r="P60" s="248"/>
      <c r="Q60" s="248"/>
    </row>
    <row r="61" spans="1:17" ht="15.75" customHeight="1">
      <c r="A61" s="309" t="e">
        <f>#REF!</f>
        <v>#REF!</v>
      </c>
      <c r="B61" s="234" t="str">
        <f>Backlog[[#This Row],[Clave del caso]]</f>
        <v>903</v>
      </c>
      <c r="C61" s="311" t="e">
        <f>#REF!</f>
        <v>#REF!</v>
      </c>
      <c r="D61" s="234" t="str">
        <f>Backlog[[#This Row],[Cliente que solicita]]</f>
        <v>Todas las provincias</v>
      </c>
      <c r="E61" s="234" t="str">
        <f>Backlog[[#This Row],[Componente]]</f>
        <v>Gamma</v>
      </c>
      <c r="F61" s="234" t="str">
        <f>Backlog[[#This Row],[Area responsable de traccionar]]</f>
        <v>SAC</v>
      </c>
      <c r="G61" s="234">
        <f>Backlog[[#This Row],[OP]]</f>
        <v>0</v>
      </c>
      <c r="H61" s="234" t="str">
        <f>Backlog[[#This Row],[Estado]]</f>
        <v>A priorizar</v>
      </c>
      <c r="I61" s="316" t="str">
        <f>IF(Backlog[[#This Row],[Fecha Requerida en Producción]]="","",Backlog[[#This Row],[Fecha Requerida en Producción]])</f>
        <v/>
      </c>
      <c r="J61" s="316" t="str">
        <f>IF(Backlog[[#This Row],[Fecha comprometida (para UAT)]]="","",Backlog[[#This Row],[Fecha comprometida (para UAT)]])</f>
        <v/>
      </c>
      <c r="K61" s="217" t="str">
        <f>IF(Backlog[[#This Row],[Fecha Real de Cierre]]="","",Backlog[[#This Row],[Fecha Real de Cierre]])</f>
        <v/>
      </c>
      <c r="L61" s="353">
        <f>Backlog[[#This Row],[Estimación Desarrollo]]</f>
        <v>0</v>
      </c>
      <c r="M61" s="353">
        <f>Backlog[[#This Row],[QA/UAT]]</f>
        <v>0</v>
      </c>
      <c r="N61" s="248"/>
      <c r="O61" s="248"/>
      <c r="P61" s="248"/>
      <c r="Q61" s="248"/>
    </row>
    <row r="62" spans="1:17" ht="15.75" hidden="1" customHeight="1">
      <c r="A62" s="309" t="e">
        <f>#REF!</f>
        <v>#REF!</v>
      </c>
      <c r="B62" s="234" t="str">
        <f>Backlog[[#This Row],[Clave del caso]]</f>
        <v>MAN-620</v>
      </c>
      <c r="C62" s="311" t="e">
        <f>#REF!</f>
        <v>#REF!</v>
      </c>
      <c r="D62" s="234" t="str">
        <f>Backlog[[#This Row],[Cliente que solicita]]</f>
        <v>Todas las provincias</v>
      </c>
      <c r="E62" s="234" t="str">
        <f>Backlog[[#This Row],[Componente]]</f>
        <v>Gamma</v>
      </c>
      <c r="F62" s="234" t="str">
        <f>Backlog[[#This Row],[Area responsable de traccionar]]</f>
        <v>SAC</v>
      </c>
      <c r="G62" s="234">
        <f>Backlog[[#This Row],[OP]]</f>
        <v>0</v>
      </c>
      <c r="H62" s="234" t="str">
        <f>Backlog[[#This Row],[Estado]]</f>
        <v>A priorizar</v>
      </c>
      <c r="I62" s="316" t="str">
        <f>IF(Backlog[[#This Row],[Fecha Requerida en Producción]]="","",Backlog[[#This Row],[Fecha Requerida en Producción]])</f>
        <v>MARZO</v>
      </c>
      <c r="J62" s="316" t="str">
        <f>IF(Backlog[[#This Row],[Fecha comprometida (para UAT)]]="","",Backlog[[#This Row],[Fecha comprometida (para UAT)]])</f>
        <v/>
      </c>
      <c r="K62" s="217" t="str">
        <f>IF(Backlog[[#This Row],[Fecha Real de Cierre]]="","",Backlog[[#This Row],[Fecha Real de Cierre]])</f>
        <v/>
      </c>
      <c r="L62" s="353">
        <f>Backlog[[#This Row],[Estimación Desarrollo]]</f>
        <v>0</v>
      </c>
      <c r="M62" s="353">
        <f>Backlog[[#This Row],[QA/UAT]]</f>
        <v>0</v>
      </c>
      <c r="N62" s="248"/>
      <c r="O62" s="248"/>
      <c r="P62" s="248"/>
      <c r="Q62" s="248"/>
    </row>
    <row r="63" spans="1:17" ht="15.75" hidden="1" customHeight="1">
      <c r="A63" s="309" t="e">
        <f>#REF!</f>
        <v>#REF!</v>
      </c>
      <c r="B63" s="234" t="str">
        <f>Backlog[[#This Row],[Clave del caso]]</f>
        <v>MAN-00011119</v>
      </c>
      <c r="C63" s="311" t="e">
        <f>#REF!</f>
        <v>#REF!</v>
      </c>
      <c r="D63" s="234" t="str">
        <f>Backlog[[#This Row],[Cliente que solicita]]</f>
        <v>Corrientes</v>
      </c>
      <c r="E63" s="234" t="str">
        <f>Backlog[[#This Row],[Componente]]</f>
        <v>Gamma</v>
      </c>
      <c r="F63" s="234" t="str">
        <f>Backlog[[#This Row],[Area responsable de traccionar]]</f>
        <v>SAC</v>
      </c>
      <c r="G63" s="234">
        <f>Backlog[[#This Row],[OP]]</f>
        <v>0</v>
      </c>
      <c r="H63" s="234" t="str">
        <f>Backlog[[#This Row],[Estado]]</f>
        <v>Validar estado</v>
      </c>
      <c r="I63" s="316" t="str">
        <f>IF(Backlog[[#This Row],[Fecha Requerida en Producción]]="","",Backlog[[#This Row],[Fecha Requerida en Producción]])</f>
        <v/>
      </c>
      <c r="J63" s="316" t="str">
        <f>IF(Backlog[[#This Row],[Fecha comprometida (para UAT)]]="","",Backlog[[#This Row],[Fecha comprometida (para UAT)]])</f>
        <v/>
      </c>
      <c r="K63" s="217" t="str">
        <f>IF(Backlog[[#This Row],[Fecha Real de Cierre]]="","",Backlog[[#This Row],[Fecha Real de Cierre]])</f>
        <v/>
      </c>
      <c r="L63" s="353">
        <f>Backlog[[#This Row],[Estimación Desarrollo]]</f>
        <v>0</v>
      </c>
      <c r="M63" s="353">
        <f>Backlog[[#This Row],[QA/UAT]]</f>
        <v>0</v>
      </c>
      <c r="N63" s="248"/>
      <c r="O63" s="248"/>
      <c r="P63" s="248"/>
      <c r="Q63" s="248"/>
    </row>
    <row r="64" spans="1:17" ht="15.75" hidden="1" customHeight="1">
      <c r="A64" s="309" t="e">
        <f>#REF!</f>
        <v>#REF!</v>
      </c>
      <c r="B64" s="234" t="str">
        <f>Backlog[[#This Row],[Clave del caso]]</f>
        <v>MAN-00011282</v>
      </c>
      <c r="C64" s="311" t="e">
        <f>#REF!</f>
        <v>#REF!</v>
      </c>
      <c r="D64" s="234" t="str">
        <f>Backlog[[#This Row],[Cliente que solicita]]</f>
        <v>Jujuy</v>
      </c>
      <c r="E64" s="234" t="str">
        <f>Backlog[[#This Row],[Componente]]</f>
        <v>NOA</v>
      </c>
      <c r="F64" s="234" t="str">
        <f>Backlog[[#This Row],[Area responsable de traccionar]]</f>
        <v>SAC</v>
      </c>
      <c r="G64" s="234">
        <f>Backlog[[#This Row],[OP]]</f>
        <v>0</v>
      </c>
      <c r="H64" s="234" t="str">
        <f>Backlog[[#This Row],[Estado]]</f>
        <v>A priorizar</v>
      </c>
      <c r="I64" s="316" t="str">
        <f>IF(Backlog[[#This Row],[Fecha Requerida en Producción]]="","",Backlog[[#This Row],[Fecha Requerida en Producción]])</f>
        <v/>
      </c>
      <c r="J64" s="316" t="str">
        <f>IF(Backlog[[#This Row],[Fecha comprometida (para UAT)]]="","",Backlog[[#This Row],[Fecha comprometida (para UAT)]])</f>
        <v/>
      </c>
      <c r="K64" s="217" t="str">
        <f>IF(Backlog[[#This Row],[Fecha Real de Cierre]]="","",Backlog[[#This Row],[Fecha Real de Cierre]])</f>
        <v/>
      </c>
      <c r="L64" s="353">
        <f>Backlog[[#This Row],[Estimación Desarrollo]]</f>
        <v>60</v>
      </c>
      <c r="M64" s="353">
        <f>Backlog[[#This Row],[QA/UAT]]</f>
        <v>0</v>
      </c>
      <c r="N64" s="248"/>
      <c r="O64" s="248"/>
      <c r="P64" s="248"/>
      <c r="Q64" s="248"/>
    </row>
    <row r="65" spans="1:17" ht="15.75" hidden="1" customHeight="1">
      <c r="A65" s="309" t="e">
        <f>#REF!</f>
        <v>#REF!</v>
      </c>
      <c r="B65" s="234" t="str">
        <f>Backlog[[#This Row],[Clave del caso]]</f>
        <v>MAN-00014262</v>
      </c>
      <c r="C65" s="311" t="e">
        <f>#REF!</f>
        <v>#REF!</v>
      </c>
      <c r="D65" s="234" t="str">
        <f>Backlog[[#This Row],[Cliente que solicita]]</f>
        <v>Corrientes</v>
      </c>
      <c r="E65" s="234" t="str">
        <f>Backlog[[#This Row],[Componente]]</f>
        <v>Gamma</v>
      </c>
      <c r="F65" s="234" t="str">
        <f>Backlog[[#This Row],[Area responsable de traccionar]]</f>
        <v>Mantenimiento</v>
      </c>
      <c r="G65" s="234">
        <f>Backlog[[#This Row],[OP]]</f>
        <v>0</v>
      </c>
      <c r="H65" s="234" t="str">
        <f>Backlog[[#This Row],[Estado]]</f>
        <v>Validar estado</v>
      </c>
      <c r="I65" s="316" t="str">
        <f>IF(Backlog[[#This Row],[Fecha Requerida en Producción]]="","",Backlog[[#This Row],[Fecha Requerida en Producción]])</f>
        <v/>
      </c>
      <c r="J65" s="316" t="str">
        <f>IF(Backlog[[#This Row],[Fecha comprometida (para UAT)]]="","",Backlog[[#This Row],[Fecha comprometida (para UAT)]])</f>
        <v/>
      </c>
      <c r="K65" s="217" t="str">
        <f>IF(Backlog[[#This Row],[Fecha Real de Cierre]]="","",Backlog[[#This Row],[Fecha Real de Cierre]])</f>
        <v/>
      </c>
      <c r="L65" s="353">
        <f>Backlog[[#This Row],[Estimación Desarrollo]]</f>
        <v>24</v>
      </c>
      <c r="M65" s="353">
        <f>Backlog[[#This Row],[QA/UAT]]</f>
        <v>0</v>
      </c>
      <c r="N65" s="248"/>
      <c r="O65" s="248"/>
      <c r="P65" s="248"/>
      <c r="Q65" s="248"/>
    </row>
    <row r="66" spans="1:17" ht="15.75" hidden="1" customHeight="1">
      <c r="A66" s="309" t="e">
        <f>#REF!</f>
        <v>#REF!</v>
      </c>
      <c r="B66" s="234" t="str">
        <f>Backlog[[#This Row],[Clave del caso]]</f>
        <v>MAN-14000 MAN - 000458</v>
      </c>
      <c r="C66" s="311" t="e">
        <f>#REF!</f>
        <v>#REF!</v>
      </c>
      <c r="D66" s="234" t="str">
        <f>Backlog[[#This Row],[Cliente que solicita]]</f>
        <v>Corrientes</v>
      </c>
      <c r="E66" s="234" t="str">
        <f>Backlog[[#This Row],[Componente]]</f>
        <v>NOA</v>
      </c>
      <c r="F66" s="234" t="str">
        <f>Backlog[[#This Row],[Area responsable de traccionar]]</f>
        <v>SAC</v>
      </c>
      <c r="G66" s="234">
        <f>Backlog[[#This Row],[OP]]</f>
        <v>0</v>
      </c>
      <c r="H66" s="234" t="str">
        <f>Backlog[[#This Row],[Estado]]</f>
        <v>Validar estado</v>
      </c>
      <c r="I66" s="316" t="str">
        <f>IF(Backlog[[#This Row],[Fecha Requerida en Producción]]="","",Backlog[[#This Row],[Fecha Requerida en Producción]])</f>
        <v/>
      </c>
      <c r="J66" s="316" t="str">
        <f>IF(Backlog[[#This Row],[Fecha comprometida (para UAT)]]="","",Backlog[[#This Row],[Fecha comprometida (para UAT)]])</f>
        <v/>
      </c>
      <c r="K66" s="217" t="str">
        <f>IF(Backlog[[#This Row],[Fecha Real de Cierre]]="","",Backlog[[#This Row],[Fecha Real de Cierre]])</f>
        <v/>
      </c>
      <c r="L66" s="353">
        <f>Backlog[[#This Row],[Estimación Desarrollo]]</f>
        <v>0</v>
      </c>
      <c r="M66" s="353">
        <f>Backlog[[#This Row],[QA/UAT]]</f>
        <v>0</v>
      </c>
      <c r="N66" s="248"/>
      <c r="O66" s="248"/>
      <c r="P66" s="248"/>
      <c r="Q66" s="248"/>
    </row>
    <row r="67" spans="1:17" ht="15.75" hidden="1" customHeight="1">
      <c r="A67" s="309" t="e">
        <f>#REF!</f>
        <v>#REF!</v>
      </c>
      <c r="B67" s="234" t="str">
        <f>Backlog[[#This Row],[Clave del caso]]</f>
        <v>MAN-517 SF13331</v>
      </c>
      <c r="C67" s="311" t="e">
        <f>#REF!</f>
        <v>#REF!</v>
      </c>
      <c r="D67" s="234" t="str">
        <f>Backlog[[#This Row],[Cliente que solicita]]</f>
        <v>Santa Cruz</v>
      </c>
      <c r="E67" s="234" t="str">
        <f>Backlog[[#This Row],[Componente]]</f>
        <v>Gamma</v>
      </c>
      <c r="F67" s="234">
        <f>Backlog[[#This Row],[Area responsable de traccionar]]</f>
        <v>0</v>
      </c>
      <c r="G67" s="234">
        <f>Backlog[[#This Row],[OP]]</f>
        <v>0</v>
      </c>
      <c r="H67" s="234" t="str">
        <f>Backlog[[#This Row],[Estado]]</f>
        <v>QA</v>
      </c>
      <c r="I67" s="316" t="str">
        <f>IF(Backlog[[#This Row],[Fecha Requerida en Producción]]="","",Backlog[[#This Row],[Fecha Requerida en Producción]])</f>
        <v/>
      </c>
      <c r="J67" s="316" t="str">
        <f>IF(Backlog[[#This Row],[Fecha comprometida (para UAT)]]="","",Backlog[[#This Row],[Fecha comprometida (para UAT)]])</f>
        <v/>
      </c>
      <c r="K67" s="217" t="str">
        <f>IF(Backlog[[#This Row],[Fecha Real de Cierre]]="","",Backlog[[#This Row],[Fecha Real de Cierre]])</f>
        <v/>
      </c>
      <c r="L67" s="353">
        <f>Backlog[[#This Row],[Estimación Desarrollo]]</f>
        <v>0</v>
      </c>
      <c r="M67" s="353">
        <f>Backlog[[#This Row],[QA/UAT]]</f>
        <v>0</v>
      </c>
      <c r="N67" s="248"/>
      <c r="O67" s="248"/>
      <c r="P67" s="248"/>
      <c r="Q67" s="248"/>
    </row>
    <row r="68" spans="1:17" ht="15.75" hidden="1" customHeight="1">
      <c r="A68" s="309" t="e">
        <f>#REF!</f>
        <v>#REF!</v>
      </c>
      <c r="B68" s="234" t="str">
        <f>Backlog[[#This Row],[Clave del caso]]</f>
        <v>MAN-521 SF14871</v>
      </c>
      <c r="C68" s="311" t="e">
        <f>#REF!</f>
        <v>#REF!</v>
      </c>
      <c r="D68" s="234" t="str">
        <f>Backlog[[#This Row],[Cliente que solicita]]</f>
        <v>Santa Cruz</v>
      </c>
      <c r="E68" s="234" t="str">
        <f>Backlog[[#This Row],[Componente]]</f>
        <v>Gamma</v>
      </c>
      <c r="F68" s="234">
        <f>Backlog[[#This Row],[Area responsable de traccionar]]</f>
        <v>0</v>
      </c>
      <c r="G68" s="234">
        <f>Backlog[[#This Row],[OP]]</f>
        <v>0</v>
      </c>
      <c r="H68" s="234" t="str">
        <f>Backlog[[#This Row],[Estado]]</f>
        <v>Validar estado</v>
      </c>
      <c r="I68" s="316" t="str">
        <f>IF(Backlog[[#This Row],[Fecha Requerida en Producción]]="","",Backlog[[#This Row],[Fecha Requerida en Producción]])</f>
        <v/>
      </c>
      <c r="J68" s="316" t="str">
        <f>IF(Backlog[[#This Row],[Fecha comprometida (para UAT)]]="","",Backlog[[#This Row],[Fecha comprometida (para UAT)]])</f>
        <v/>
      </c>
      <c r="K68" s="217" t="str">
        <f>IF(Backlog[[#This Row],[Fecha Real de Cierre]]="","",Backlog[[#This Row],[Fecha Real de Cierre]])</f>
        <v/>
      </c>
      <c r="L68" s="353">
        <f>Backlog[[#This Row],[Estimación Desarrollo]]</f>
        <v>0</v>
      </c>
      <c r="M68" s="353">
        <f>Backlog[[#This Row],[QA/UAT]]</f>
        <v>0</v>
      </c>
      <c r="N68" s="248"/>
      <c r="O68" s="248"/>
      <c r="P68" s="248"/>
      <c r="Q68" s="248"/>
    </row>
    <row r="69" spans="1:17" ht="15.75" customHeight="1">
      <c r="A69" s="309" t="e">
        <f>#REF!</f>
        <v>#REF!</v>
      </c>
      <c r="B69" s="234" t="str">
        <f>Backlog[[#This Row],[Clave del caso]]</f>
        <v>MAN-615 SF15068</v>
      </c>
      <c r="C69" s="311" t="e">
        <f>#REF!</f>
        <v>#REF!</v>
      </c>
      <c r="D69" s="234" t="str">
        <f>Backlog[[#This Row],[Cliente que solicita]]</f>
        <v>Tierra del Fuego</v>
      </c>
      <c r="E69" s="234" t="str">
        <f>Backlog[[#This Row],[Componente]]</f>
        <v>Gamma</v>
      </c>
      <c r="F69" s="234" t="str">
        <f>Backlog[[#This Row],[Area responsable de traccionar]]</f>
        <v>SAC</v>
      </c>
      <c r="G69" s="234">
        <f>Backlog[[#This Row],[OP]]</f>
        <v>0</v>
      </c>
      <c r="H69" s="234" t="str">
        <f>Backlog[[#This Row],[Estado]]</f>
        <v>En desarrollo</v>
      </c>
      <c r="I69" s="316" t="str">
        <f>IF(Backlog[[#This Row],[Fecha Requerida en Producción]]="","",Backlog[[#This Row],[Fecha Requerida en Producción]])</f>
        <v/>
      </c>
      <c r="J69" s="316" t="str">
        <f>IF(Backlog[[#This Row],[Fecha comprometida (para UAT)]]="","",Backlog[[#This Row],[Fecha comprometida (para UAT)]])</f>
        <v/>
      </c>
      <c r="K69" s="217" t="str">
        <f>IF(Backlog[[#This Row],[Fecha Real de Cierre]]="","",Backlog[[#This Row],[Fecha Real de Cierre]])</f>
        <v/>
      </c>
      <c r="L69" s="353">
        <f>Backlog[[#This Row],[Estimación Desarrollo]]</f>
        <v>60</v>
      </c>
      <c r="M69" s="353">
        <f>Backlog[[#This Row],[QA/UAT]]</f>
        <v>0</v>
      </c>
      <c r="N69" s="248"/>
      <c r="O69" s="248"/>
      <c r="P69" s="248"/>
      <c r="Q69" s="248"/>
    </row>
    <row r="70" spans="1:17" ht="15.75" hidden="1" customHeight="1">
      <c r="A70" s="309" t="e">
        <f>#REF!</f>
        <v>#REF!</v>
      </c>
      <c r="B70" s="234" t="str">
        <f>Backlog[[#This Row],[Clave del caso]]</f>
        <v>MAN-652 SF15835</v>
      </c>
      <c r="C70" s="311" t="e">
        <f>#REF!</f>
        <v>#REF!</v>
      </c>
      <c r="D70" s="234" t="str">
        <f>Backlog[[#This Row],[Cliente que solicita]]</f>
        <v>Santa Cruz</v>
      </c>
      <c r="E70" s="234" t="str">
        <f>Backlog[[#This Row],[Componente]]</f>
        <v>Gamma</v>
      </c>
      <c r="F70" s="234">
        <f>Backlog[[#This Row],[Area responsable de traccionar]]</f>
        <v>0</v>
      </c>
      <c r="G70" s="234">
        <f>Backlog[[#This Row],[OP]]</f>
        <v>0</v>
      </c>
      <c r="H70" s="234" t="str">
        <f>Backlog[[#This Row],[Estado]]</f>
        <v>QA</v>
      </c>
      <c r="I70" s="316" t="str">
        <f>IF(Backlog[[#This Row],[Fecha Requerida en Producción]]="","",Backlog[[#This Row],[Fecha Requerida en Producción]])</f>
        <v/>
      </c>
      <c r="J70" s="316" t="str">
        <f>IF(Backlog[[#This Row],[Fecha comprometida (para UAT)]]="","",Backlog[[#This Row],[Fecha comprometida (para UAT)]])</f>
        <v/>
      </c>
      <c r="K70" s="217" t="str">
        <f>IF(Backlog[[#This Row],[Fecha Real de Cierre]]="","",Backlog[[#This Row],[Fecha Real de Cierre]])</f>
        <v/>
      </c>
      <c r="L70" s="353">
        <f>Backlog[[#This Row],[Estimación Desarrollo]]</f>
        <v>0</v>
      </c>
      <c r="M70" s="353">
        <f>Backlog[[#This Row],[QA/UAT]]</f>
        <v>0</v>
      </c>
      <c r="N70" s="248"/>
      <c r="O70" s="248"/>
      <c r="P70" s="248"/>
      <c r="Q70" s="248"/>
    </row>
    <row r="71" spans="1:17" ht="15.75" hidden="1" customHeight="1">
      <c r="A71" s="309" t="e">
        <f>#REF!</f>
        <v>#REF!</v>
      </c>
      <c r="B71" s="234" t="str">
        <f>Backlog[[#This Row],[Clave del caso]]</f>
        <v>MAN-00011662</v>
      </c>
      <c r="C71" s="311" t="e">
        <f>#REF!</f>
        <v>#REF!</v>
      </c>
      <c r="D71" s="234" t="str">
        <f>Backlog[[#This Row],[Cliente que solicita]]</f>
        <v>Todas las provincias</v>
      </c>
      <c r="E71" s="234" t="str">
        <f>Backlog[[#This Row],[Componente]]</f>
        <v>Gamma</v>
      </c>
      <c r="F71" s="234">
        <f>Backlog[[#This Row],[Area responsable de traccionar]]</f>
        <v>0</v>
      </c>
      <c r="G71" s="234">
        <f>Backlog[[#This Row],[OP]]</f>
        <v>0</v>
      </c>
      <c r="H71" s="234" t="str">
        <f>Backlog[[#This Row],[Estado]]</f>
        <v>Implementado / Soporte</v>
      </c>
      <c r="I71" s="316" t="str">
        <f>IF(Backlog[[#This Row],[Fecha Requerida en Producción]]="","",Backlog[[#This Row],[Fecha Requerida en Producción]])</f>
        <v/>
      </c>
      <c r="J71" s="316" t="str">
        <f>IF(Backlog[[#This Row],[Fecha comprometida (para UAT)]]="","",Backlog[[#This Row],[Fecha comprometida (para UAT)]])</f>
        <v/>
      </c>
      <c r="K71" s="217" t="str">
        <f>IF(Backlog[[#This Row],[Fecha Real de Cierre]]="","",Backlog[[#This Row],[Fecha Real de Cierre]])</f>
        <v/>
      </c>
      <c r="L71" s="353">
        <f>Backlog[[#This Row],[Estimación Desarrollo]]</f>
        <v>0</v>
      </c>
      <c r="M71" s="353">
        <f>Backlog[[#This Row],[QA/UAT]]</f>
        <v>0</v>
      </c>
      <c r="N71" s="248"/>
      <c r="O71" s="248"/>
      <c r="P71" s="248"/>
      <c r="Q71" s="248"/>
    </row>
    <row r="72" spans="1:17" ht="15.75" hidden="1" customHeight="1">
      <c r="A72" s="309" t="e">
        <f>#REF!</f>
        <v>#REF!</v>
      </c>
      <c r="B72" s="234" t="str">
        <f>Backlog[[#This Row],[Clave del caso]]</f>
        <v xml:space="preserve">MAN-00011639
</v>
      </c>
      <c r="C72" s="311" t="e">
        <f>#REF!</f>
        <v>#REF!</v>
      </c>
      <c r="D72" s="234" t="str">
        <f>Backlog[[#This Row],[Cliente que solicita]]</f>
        <v>Corrientes</v>
      </c>
      <c r="E72" s="234" t="str">
        <f>Backlog[[#This Row],[Componente]]</f>
        <v>Gamma</v>
      </c>
      <c r="F72" s="234" t="str">
        <f>Backlog[[#This Row],[Area responsable de traccionar]]</f>
        <v>SAC</v>
      </c>
      <c r="G72" s="234">
        <f>Backlog[[#This Row],[OP]]</f>
        <v>0</v>
      </c>
      <c r="H72" s="234" t="str">
        <f>Backlog[[#This Row],[Estado]]</f>
        <v>A priorizar</v>
      </c>
      <c r="I72" s="316">
        <f>IF(Backlog[[#This Row],[Fecha Requerida en Producción]]="","",Backlog[[#This Row],[Fecha Requerida en Producción]])</f>
        <v>45993</v>
      </c>
      <c r="J72" s="316" t="str">
        <f>IF(Backlog[[#This Row],[Fecha comprometida (para UAT)]]="","",Backlog[[#This Row],[Fecha comprometida (para UAT)]])</f>
        <v/>
      </c>
      <c r="K72" s="217" t="str">
        <f>IF(Backlog[[#This Row],[Fecha Real de Cierre]]="","",Backlog[[#This Row],[Fecha Real de Cierre]])</f>
        <v/>
      </c>
      <c r="L72" s="353">
        <f>Backlog[[#This Row],[Estimación Desarrollo]]</f>
        <v>20</v>
      </c>
      <c r="M72" s="353">
        <f>Backlog[[#This Row],[QA/UAT]]</f>
        <v>0</v>
      </c>
      <c r="N72" s="248"/>
      <c r="O72" s="248"/>
      <c r="P72" s="248"/>
      <c r="Q72" s="248"/>
    </row>
    <row r="73" spans="1:17" ht="15.75" hidden="1" customHeight="1">
      <c r="A73" s="309" t="e">
        <f>#REF!</f>
        <v>#REF!</v>
      </c>
      <c r="B73" s="234" t="str">
        <f>Backlog[[#This Row],[Clave del caso]]</f>
        <v>1</v>
      </c>
      <c r="C73" s="311" t="e">
        <f>#REF!</f>
        <v>#REF!</v>
      </c>
      <c r="D73" s="234" t="str">
        <f>Backlog[[#This Row],[Cliente que solicita]]</f>
        <v>Todas las provincias</v>
      </c>
      <c r="E73" s="234" t="str">
        <f>Backlog[[#This Row],[Componente]]</f>
        <v>Gamma</v>
      </c>
      <c r="F73" s="234" t="str">
        <f>Backlog[[#This Row],[Area responsable de traccionar]]</f>
        <v>SAC</v>
      </c>
      <c r="G73" s="234">
        <f>Backlog[[#This Row],[OP]]</f>
        <v>0</v>
      </c>
      <c r="H73" s="234" t="str">
        <f>Backlog[[#This Row],[Estado]]</f>
        <v>A priorizar</v>
      </c>
      <c r="I73" s="316" t="str">
        <f>IF(Backlog[[#This Row],[Fecha Requerida en Producción]]="","",Backlog[[#This Row],[Fecha Requerida en Producción]])</f>
        <v/>
      </c>
      <c r="J73" s="316" t="str">
        <f>IF(Backlog[[#This Row],[Fecha comprometida (para UAT)]]="","",Backlog[[#This Row],[Fecha comprometida (para UAT)]])</f>
        <v/>
      </c>
      <c r="K73" s="217" t="str">
        <f>IF(Backlog[[#This Row],[Fecha Real de Cierre]]="","",Backlog[[#This Row],[Fecha Real de Cierre]])</f>
        <v/>
      </c>
      <c r="L73" s="353">
        <f>Backlog[[#This Row],[Estimación Desarrollo]]</f>
        <v>8</v>
      </c>
      <c r="M73" s="353">
        <f>Backlog[[#This Row],[QA/UAT]]</f>
        <v>0</v>
      </c>
      <c r="N73" s="248"/>
      <c r="O73" s="248"/>
      <c r="P73" s="248"/>
      <c r="Q73" s="248"/>
    </row>
    <row r="74" spans="1:17" ht="15.75" hidden="1" customHeight="1">
      <c r="A74" s="307" t="e">
        <f>#REF!</f>
        <v>#REF!</v>
      </c>
      <c r="B74" s="243" t="str">
        <f>Backlog[[#This Row],[Clave del caso]]</f>
        <v>2</v>
      </c>
      <c r="C74" s="314" t="e">
        <f>#REF!</f>
        <v>#REF!</v>
      </c>
      <c r="D74" s="243" t="str">
        <f>Backlog[[#This Row],[Cliente que solicita]]</f>
        <v>Todas las provincias</v>
      </c>
      <c r="E74" s="243" t="str">
        <f>Backlog[[#This Row],[Componente]]</f>
        <v>Gamma</v>
      </c>
      <c r="F74" s="243">
        <f>Backlog[[#This Row],[Area responsable de traccionar]]</f>
        <v>0</v>
      </c>
      <c r="G74" s="243">
        <f>Backlog[[#This Row],[OP]]</f>
        <v>0</v>
      </c>
      <c r="H74" s="243" t="str">
        <f>Backlog[[#This Row],[Estado]]</f>
        <v>En desarrollo</v>
      </c>
      <c r="I74" s="317" t="str">
        <f>IF(Backlog[[#This Row],[Fecha Requerida en Producción]]="","",Backlog[[#This Row],[Fecha Requerida en Producción]])</f>
        <v/>
      </c>
      <c r="J74" s="317" t="str">
        <f>IF(Backlog[[#This Row],[Fecha comprometida (para UAT)]]="","",Backlog[[#This Row],[Fecha comprometida (para UAT)]])</f>
        <v/>
      </c>
      <c r="K74" s="229" t="str">
        <f>IF(Backlog[[#This Row],[Fecha Real de Cierre]]="","",Backlog[[#This Row],[Fecha Real de Cierre]])</f>
        <v/>
      </c>
      <c r="L74" s="353">
        <f>Backlog[[#This Row],[Estimación Desarrollo]]</f>
        <v>0</v>
      </c>
      <c r="M74" s="353">
        <f>Backlog[[#This Row],[QA/UAT]]</f>
        <v>0</v>
      </c>
      <c r="N74" s="248"/>
      <c r="O74" s="248"/>
      <c r="P74" s="248"/>
      <c r="Q74" s="248"/>
    </row>
    <row r="75" spans="1:17" ht="15.75" hidden="1" customHeight="1">
      <c r="A75" s="309" t="e">
        <f>#REF!</f>
        <v>#REF!</v>
      </c>
      <c r="B75" s="234" t="str">
        <f>Backlog[[#This Row],[Clave del caso]]</f>
        <v>3</v>
      </c>
      <c r="C75" s="311" t="e">
        <f>#REF!</f>
        <v>#REF!</v>
      </c>
      <c r="D75" s="234" t="str">
        <f>Backlog[[#This Row],[Cliente que solicita]]</f>
        <v>Todas las provincias</v>
      </c>
      <c r="E75" s="234" t="str">
        <f>Backlog[[#This Row],[Componente]]</f>
        <v>Gamma</v>
      </c>
      <c r="F75" s="234" t="str">
        <f>Backlog[[#This Row],[Area responsable de traccionar]]</f>
        <v>SAC</v>
      </c>
      <c r="G75" s="234">
        <f>Backlog[[#This Row],[OP]]</f>
        <v>0</v>
      </c>
      <c r="H75" s="234" t="str">
        <f>Backlog[[#This Row],[Estado]]</f>
        <v>A priorizar</v>
      </c>
      <c r="I75" s="316" t="str">
        <f>IF(Backlog[[#This Row],[Fecha Requerida en Producción]]="","",Backlog[[#This Row],[Fecha Requerida en Producción]])</f>
        <v/>
      </c>
      <c r="J75" s="316" t="str">
        <f>IF(Backlog[[#This Row],[Fecha comprometida (para UAT)]]="","",Backlog[[#This Row],[Fecha comprometida (para UAT)]])</f>
        <v/>
      </c>
      <c r="K75" s="217" t="str">
        <f>IF(Backlog[[#This Row],[Fecha Real de Cierre]]="","",Backlog[[#This Row],[Fecha Real de Cierre]])</f>
        <v/>
      </c>
      <c r="L75" s="353">
        <f>Backlog[[#This Row],[Estimación Desarrollo]]</f>
        <v>20</v>
      </c>
      <c r="M75" s="353">
        <f>Backlog[[#This Row],[QA/UAT]]</f>
        <v>0</v>
      </c>
      <c r="N75" s="248"/>
      <c r="O75" s="248"/>
      <c r="P75" s="248"/>
      <c r="Q75" s="248"/>
    </row>
    <row r="76" spans="1:17" ht="15.75" hidden="1" customHeight="1">
      <c r="A76" s="307" t="e">
        <f>#REF!</f>
        <v>#REF!</v>
      </c>
      <c r="B76" s="243" t="str">
        <f>Backlog[[#This Row],[Clave del caso]]</f>
        <v>4</v>
      </c>
      <c r="C76" s="314" t="e">
        <f>#REF!</f>
        <v>#REF!</v>
      </c>
      <c r="D76" s="243" t="str">
        <f>Backlog[[#This Row],[Cliente que solicita]]</f>
        <v>Todas las provincias</v>
      </c>
      <c r="E76" s="243" t="str">
        <f>Backlog[[#This Row],[Componente]]</f>
        <v>Gamma</v>
      </c>
      <c r="F76" s="243">
        <f>Backlog[[#This Row],[Area responsable de traccionar]]</f>
        <v>0</v>
      </c>
      <c r="G76" s="243">
        <f>Backlog[[#This Row],[OP]]</f>
        <v>0</v>
      </c>
      <c r="H76" s="243" t="str">
        <f>Backlog[[#This Row],[Estado]]</f>
        <v>Implementado / Soporte</v>
      </c>
      <c r="I76" s="256">
        <f>Backlog[[#This Row],[Fecha Requerida en Producción]]</f>
        <v>0</v>
      </c>
      <c r="J76" s="317" t="str">
        <f>IF(Backlog[[#This Row],[Fecha comprometida (para UAT)]]="","",Backlog[[#This Row],[Fecha comprometida (para UAT)]])</f>
        <v/>
      </c>
      <c r="K76" s="229" t="str">
        <f>IF(Backlog[[#This Row],[Fecha Real de Cierre]]="","",Backlog[[#This Row],[Fecha Real de Cierre]])</f>
        <v/>
      </c>
      <c r="L76" s="353">
        <f>Backlog[[#This Row],[Estimación Desarrollo]]</f>
        <v>0</v>
      </c>
      <c r="M76" s="353">
        <f>Backlog[[#This Row],[QA/UAT]]</f>
        <v>0</v>
      </c>
      <c r="N76" s="248"/>
      <c r="O76" s="248"/>
      <c r="P76" s="248"/>
      <c r="Q76" s="248"/>
    </row>
    <row r="77" spans="1:17" ht="15.75" hidden="1" customHeight="1">
      <c r="A77" s="307" t="e">
        <f>#REF!</f>
        <v>#REF!</v>
      </c>
      <c r="B77" s="243" t="str">
        <f>Backlog[[#This Row],[Clave del caso]]</f>
        <v>MAN-00012125</v>
      </c>
      <c r="C77" s="314" t="e">
        <f>#REF!</f>
        <v>#REF!</v>
      </c>
      <c r="D77" s="243" t="str">
        <f>Backlog[[#This Row],[Cliente que solicita]]</f>
        <v>Corrientes</v>
      </c>
      <c r="E77" s="243" t="str">
        <f>Backlog[[#This Row],[Componente]]</f>
        <v>Gamma</v>
      </c>
      <c r="F77" s="243" t="str">
        <f>Backlog[[#This Row],[Area responsable de traccionar]]</f>
        <v>SAC</v>
      </c>
      <c r="G77" s="243">
        <f>Backlog[[#This Row],[OP]]</f>
        <v>0</v>
      </c>
      <c r="H77" s="243" t="str">
        <f>Backlog[[#This Row],[Estado]]</f>
        <v>A priorizar</v>
      </c>
      <c r="I77" s="317" t="str">
        <f>IF(Backlog[[#This Row],[Fecha Requerida en Producción]]="","",Backlog[[#This Row],[Fecha Requerida en Producción]])</f>
        <v/>
      </c>
      <c r="J77" s="317" t="str">
        <f>IF(Backlog[[#This Row],[Fecha comprometida (para UAT)]]="","",Backlog[[#This Row],[Fecha comprometida (para UAT)]])</f>
        <v/>
      </c>
      <c r="K77" s="229" t="str">
        <f>IF(Backlog[[#This Row],[Fecha Real de Cierre]]="","",Backlog[[#This Row],[Fecha Real de Cierre]])</f>
        <v/>
      </c>
      <c r="L77" s="353">
        <f>Backlog[[#This Row],[Estimación Desarrollo]]</f>
        <v>16</v>
      </c>
      <c r="M77" s="353">
        <f>Backlog[[#This Row],[QA/UAT]]</f>
        <v>0</v>
      </c>
      <c r="N77" s="248"/>
      <c r="O77" s="248"/>
      <c r="P77" s="248"/>
      <c r="Q77" s="248"/>
    </row>
    <row r="78" spans="1:17" ht="15.75" hidden="1" customHeight="1">
      <c r="A78" s="309" t="e">
        <f>#REF!</f>
        <v>#REF!</v>
      </c>
      <c r="B78" s="234" t="str">
        <f>Backlog[[#This Row],[Clave del caso]]</f>
        <v xml:space="preserve">MAN-00012726
</v>
      </c>
      <c r="C78" s="311" t="e">
        <f>#REF!</f>
        <v>#REF!</v>
      </c>
      <c r="D78" s="234" t="str">
        <f>Backlog[[#This Row],[Cliente que solicita]]</f>
        <v>Salta</v>
      </c>
      <c r="E78" s="234" t="str">
        <f>Backlog[[#This Row],[Componente]]</f>
        <v>Gamma</v>
      </c>
      <c r="F78" s="234" t="str">
        <f>Backlog[[#This Row],[Area responsable de traccionar]]</f>
        <v>SAC</v>
      </c>
      <c r="G78" s="234">
        <f>Backlog[[#This Row],[OP]]</f>
        <v>0</v>
      </c>
      <c r="H78" s="234" t="str">
        <f>Backlog[[#This Row],[Estado]]</f>
        <v>A priorizar</v>
      </c>
      <c r="I78" s="316" t="str">
        <f>IF(Backlog[[#This Row],[Fecha Requerida en Producción]]="","",Backlog[[#This Row],[Fecha Requerida en Producción]])</f>
        <v/>
      </c>
      <c r="J78" s="316" t="str">
        <f>IF(Backlog[[#This Row],[Fecha comprometida (para UAT)]]="","",Backlog[[#This Row],[Fecha comprometida (para UAT)]])</f>
        <v/>
      </c>
      <c r="K78" s="217" t="str">
        <f>IF(Backlog[[#This Row],[Fecha Real de Cierre]]="","",Backlog[[#This Row],[Fecha Real de Cierre]])</f>
        <v/>
      </c>
      <c r="L78" s="353">
        <f>Backlog[[#This Row],[Estimación Desarrollo]]</f>
        <v>40</v>
      </c>
      <c r="M78" s="353">
        <f>Backlog[[#This Row],[QA/UAT]]</f>
        <v>0</v>
      </c>
      <c r="N78" s="248"/>
      <c r="O78" s="248"/>
      <c r="P78" s="248"/>
      <c r="Q78" s="248"/>
    </row>
    <row r="79" spans="1:17" ht="15.75" hidden="1" customHeight="1">
      <c r="A79" s="309" t="e">
        <f>#REF!</f>
        <v>#REF!</v>
      </c>
      <c r="B79" s="234" t="str">
        <f>Backlog[[#This Row],[Clave del caso]]</f>
        <v>16953</v>
      </c>
      <c r="C79" s="311" t="e">
        <f>#REF!</f>
        <v>#REF!</v>
      </c>
      <c r="D79" s="234" t="str">
        <f>Backlog[[#This Row],[Cliente que solicita]]</f>
        <v>La Rioja</v>
      </c>
      <c r="E79" s="234" t="str">
        <f>Backlog[[#This Row],[Componente]]</f>
        <v>Gamma</v>
      </c>
      <c r="F79" s="234" t="str">
        <f>Backlog[[#This Row],[Area responsable de traccionar]]</f>
        <v>Mantenimiento</v>
      </c>
      <c r="G79" s="234">
        <f>Backlog[[#This Row],[OP]]</f>
        <v>0</v>
      </c>
      <c r="H79" s="234" t="str">
        <f>Backlog[[#This Row],[Estado]]</f>
        <v>A estimar</v>
      </c>
      <c r="I79" s="316" t="str">
        <f>IF(Backlog[[#This Row],[Fecha Requerida en Producción]]="","",Backlog[[#This Row],[Fecha Requerida en Producción]])</f>
        <v/>
      </c>
      <c r="J79" s="316" t="str">
        <f>IF(Backlog[[#This Row],[Fecha comprometida (para UAT)]]="","",Backlog[[#This Row],[Fecha comprometida (para UAT)]])</f>
        <v/>
      </c>
      <c r="K79" s="217" t="str">
        <f>IF(Backlog[[#This Row],[Fecha Real de Cierre]]="","",Backlog[[#This Row],[Fecha Real de Cierre]])</f>
        <v/>
      </c>
      <c r="L79" s="353">
        <f>Backlog[[#This Row],[Estimación Desarrollo]]</f>
        <v>40</v>
      </c>
      <c r="M79" s="353">
        <f>Backlog[[#This Row],[QA/UAT]]</f>
        <v>0</v>
      </c>
      <c r="N79" s="248"/>
      <c r="O79" s="248"/>
      <c r="P79" s="248"/>
      <c r="Q79" s="248"/>
    </row>
    <row r="80" spans="1:17" ht="15.75" hidden="1" customHeight="1">
      <c r="A80" s="309" t="e">
        <f>#REF!</f>
        <v>#REF!</v>
      </c>
      <c r="B80" s="234" t="str">
        <f>Backlog[[#This Row],[Clave del caso]]</f>
        <v>16954</v>
      </c>
      <c r="C80" s="311" t="e">
        <f>#REF!</f>
        <v>#REF!</v>
      </c>
      <c r="D80" s="234" t="str">
        <f>Backlog[[#This Row],[Cliente que solicita]]</f>
        <v>La Rioja</v>
      </c>
      <c r="E80" s="234" t="str">
        <f>Backlog[[#This Row],[Componente]]</f>
        <v>Gamma</v>
      </c>
      <c r="F80" s="234" t="str">
        <f>Backlog[[#This Row],[Area responsable de traccionar]]</f>
        <v>Mantenimiento</v>
      </c>
      <c r="G80" s="234">
        <f>Backlog[[#This Row],[OP]]</f>
        <v>0</v>
      </c>
      <c r="H80" s="234" t="str">
        <f>Backlog[[#This Row],[Estado]]</f>
        <v>A priorizar</v>
      </c>
      <c r="I80" s="316" t="str">
        <f>IF(Backlog[[#This Row],[Fecha Requerida en Producción]]="","",Backlog[[#This Row],[Fecha Requerida en Producción]])</f>
        <v/>
      </c>
      <c r="J80" s="316" t="str">
        <f>IF(Backlog[[#This Row],[Fecha comprometida (para UAT)]]="","",Backlog[[#This Row],[Fecha comprometida (para UAT)]])</f>
        <v/>
      </c>
      <c r="K80" s="217" t="str">
        <f>IF(Backlog[[#This Row],[Fecha Real de Cierre]]="","",Backlog[[#This Row],[Fecha Real de Cierre]])</f>
        <v/>
      </c>
      <c r="L80" s="353">
        <f>Backlog[[#This Row],[Estimación Desarrollo]]</f>
        <v>24</v>
      </c>
      <c r="M80" s="353">
        <f>Backlog[[#This Row],[QA/UAT]]</f>
        <v>0</v>
      </c>
      <c r="N80" s="248"/>
      <c r="O80" s="248"/>
      <c r="P80" s="248"/>
      <c r="Q80" s="248"/>
    </row>
    <row r="81" spans="1:17" ht="15.75" hidden="1" customHeight="1">
      <c r="A81" s="309" t="e">
        <f>#REF!</f>
        <v>#REF!</v>
      </c>
      <c r="B81" s="234" t="str">
        <f>Backlog[[#This Row],[Clave del caso]]</f>
        <v>MAN-13030</v>
      </c>
      <c r="C81" s="311" t="e">
        <f>#REF!</f>
        <v>#REF!</v>
      </c>
      <c r="D81" s="234" t="str">
        <f>Backlog[[#This Row],[Cliente que solicita]]</f>
        <v>Santa Cruz</v>
      </c>
      <c r="E81" s="234" t="str">
        <f>Backlog[[#This Row],[Componente]]</f>
        <v>Gamma</v>
      </c>
      <c r="F81" s="234">
        <f>Backlog[[#This Row],[Area responsable de traccionar]]</f>
        <v>0</v>
      </c>
      <c r="G81" s="234">
        <f>Backlog[[#This Row],[OP]]</f>
        <v>0</v>
      </c>
      <c r="H81" s="234" t="str">
        <f>Backlog[[#This Row],[Estado]]</f>
        <v>Validar estado</v>
      </c>
      <c r="I81" s="316" t="str">
        <f>IF(Backlog[[#This Row],[Fecha Requerida en Producción]]="","",Backlog[[#This Row],[Fecha Requerida en Producción]])</f>
        <v/>
      </c>
      <c r="J81" s="316" t="str">
        <f>IF(Backlog[[#This Row],[Fecha comprometida (para UAT)]]="","",Backlog[[#This Row],[Fecha comprometida (para UAT)]])</f>
        <v/>
      </c>
      <c r="K81" s="217" t="str">
        <f>IF(Backlog[[#This Row],[Fecha Real de Cierre]]="","",Backlog[[#This Row],[Fecha Real de Cierre]])</f>
        <v/>
      </c>
      <c r="L81" s="353">
        <f>Backlog[[#This Row],[Estimación Desarrollo]]</f>
        <v>0</v>
      </c>
      <c r="M81" s="353">
        <f>Backlog[[#This Row],[QA/UAT]]</f>
        <v>0</v>
      </c>
      <c r="N81" s="248"/>
      <c r="O81" s="248"/>
      <c r="P81" s="248"/>
      <c r="Q81" s="248"/>
    </row>
    <row r="82" spans="1:17" ht="15.75" hidden="1" customHeight="1">
      <c r="A82" s="309" t="e">
        <f>#REF!</f>
        <v>#REF!</v>
      </c>
      <c r="B82" s="234" t="str">
        <f>Backlog[[#This Row],[Clave del caso]]</f>
        <v>MAN-0010257</v>
      </c>
      <c r="C82" s="311" t="e">
        <f>#REF!</f>
        <v>#REF!</v>
      </c>
      <c r="D82" s="234" t="str">
        <f>Backlog[[#This Row],[Cliente que solicita]]</f>
        <v>Corrientes</v>
      </c>
      <c r="E82" s="234" t="str">
        <f>Backlog[[#This Row],[Componente]]</f>
        <v>Gamma</v>
      </c>
      <c r="F82" s="234">
        <f>Backlog[[#This Row],[Area responsable de traccionar]]</f>
        <v>0</v>
      </c>
      <c r="G82" s="234">
        <f>Backlog[[#This Row],[OP]]</f>
        <v>0</v>
      </c>
      <c r="H82" s="234" t="str">
        <f>Backlog[[#This Row],[Estado]]</f>
        <v>Validar estado</v>
      </c>
      <c r="I82" s="316" t="str">
        <f>IF(Backlog[[#This Row],[Fecha Requerida en Producción]]="","",Backlog[[#This Row],[Fecha Requerida en Producción]])</f>
        <v/>
      </c>
      <c r="J82" s="316" t="str">
        <f>IF(Backlog[[#This Row],[Fecha comprometida (para UAT)]]="","",Backlog[[#This Row],[Fecha comprometida (para UAT)]])</f>
        <v>MARZO</v>
      </c>
      <c r="K82" s="217" t="str">
        <f>IF(Backlog[[#This Row],[Fecha Real de Cierre]]="","",Backlog[[#This Row],[Fecha Real de Cierre]])</f>
        <v/>
      </c>
      <c r="L82" s="353">
        <f>Backlog[[#This Row],[Estimación Desarrollo]]</f>
        <v>0</v>
      </c>
      <c r="M82" s="353">
        <f>Backlog[[#This Row],[QA/UAT]]</f>
        <v>0</v>
      </c>
      <c r="N82" s="248"/>
      <c r="O82" s="248"/>
      <c r="P82" s="248"/>
      <c r="Q82" s="248"/>
    </row>
    <row r="83" spans="1:17" ht="15.75" hidden="1" customHeight="1">
      <c r="A83" s="307" t="e">
        <f>#REF!</f>
        <v>#REF!</v>
      </c>
      <c r="B83" s="243" t="str">
        <f>Backlog[[#This Row],[Clave del caso]]</f>
        <v>MAN - 000561 SF15148</v>
      </c>
      <c r="C83" s="314" t="e">
        <f>#REF!</f>
        <v>#REF!</v>
      </c>
      <c r="D83" s="243" t="str">
        <f>Backlog[[#This Row],[Cliente que solicita]]</f>
        <v>Jujuy</v>
      </c>
      <c r="E83" s="243" t="str">
        <f>Backlog[[#This Row],[Componente]]</f>
        <v>Gamma</v>
      </c>
      <c r="F83" s="243">
        <f>Backlog[[#This Row],[Area responsable de traccionar]]</f>
        <v>0</v>
      </c>
      <c r="G83" s="243">
        <f>Backlog[[#This Row],[OP]]</f>
        <v>0</v>
      </c>
      <c r="H83" s="243" t="str">
        <f>Backlog[[#This Row],[Estado]]</f>
        <v>A priorizar</v>
      </c>
      <c r="I83" s="317" t="str">
        <f>IF(Backlog[[#This Row],[Fecha Requerida en Producción]]="","",Backlog[[#This Row],[Fecha Requerida en Producción]])</f>
        <v>MARZO</v>
      </c>
      <c r="J83" s="317" t="str">
        <f>IF(Backlog[[#This Row],[Fecha comprometida (para UAT)]]="","",Backlog[[#This Row],[Fecha comprometida (para UAT)]])</f>
        <v/>
      </c>
      <c r="K83" s="229" t="str">
        <f>IF(Backlog[[#This Row],[Fecha Real de Cierre]]="","",Backlog[[#This Row],[Fecha Real de Cierre]])</f>
        <v/>
      </c>
      <c r="L83" s="353">
        <f>Backlog[[#This Row],[Estimación Desarrollo]]</f>
        <v>36</v>
      </c>
      <c r="M83" s="353">
        <f>Backlog[[#This Row],[QA/UAT]]</f>
        <v>0</v>
      </c>
      <c r="N83" s="248"/>
      <c r="O83" s="248"/>
      <c r="P83" s="248"/>
      <c r="Q83" s="248"/>
    </row>
    <row r="84" spans="1:17" ht="15.75" hidden="1" customHeight="1">
      <c r="A84" s="309" t="e">
        <f>#REF!</f>
        <v>#REF!</v>
      </c>
      <c r="B84" s="234" t="str">
        <f>Backlog[[#This Row],[Clave del caso]]</f>
        <v>MAN-191 SF10881</v>
      </c>
      <c r="C84" s="311" t="e">
        <f>#REF!</f>
        <v>#REF!</v>
      </c>
      <c r="D84" s="234" t="str">
        <f>Backlog[[#This Row],[Cliente que solicita]]</f>
        <v>Río Negro</v>
      </c>
      <c r="E84" s="234" t="str">
        <f>Backlog[[#This Row],[Componente]]</f>
        <v>Gamma</v>
      </c>
      <c r="F84" s="234">
        <f>Backlog[[#This Row],[Area responsable de traccionar]]</f>
        <v>0</v>
      </c>
      <c r="G84" s="234">
        <f>Backlog[[#This Row],[OP]]</f>
        <v>0</v>
      </c>
      <c r="H84" s="234" t="str">
        <f>Backlog[[#This Row],[Estado]]</f>
        <v>A priorizar</v>
      </c>
      <c r="I84" s="316" t="str">
        <f>IF(Backlog[[#This Row],[Fecha Requerida en Producción]]="","",Backlog[[#This Row],[Fecha Requerida en Producción]])</f>
        <v/>
      </c>
      <c r="J84" s="316" t="str">
        <f>IF(Backlog[[#This Row],[Fecha comprometida (para UAT)]]="","",Backlog[[#This Row],[Fecha comprometida (para UAT)]])</f>
        <v>MARZO</v>
      </c>
      <c r="K84" s="217" t="str">
        <f>IF(Backlog[[#This Row],[Fecha Real de Cierre]]="","",Backlog[[#This Row],[Fecha Real de Cierre]])</f>
        <v/>
      </c>
      <c r="L84" s="353">
        <f>Backlog[[#This Row],[Estimación Desarrollo]]</f>
        <v>40</v>
      </c>
      <c r="M84" s="353">
        <f>Backlog[[#This Row],[QA/UAT]]</f>
        <v>0</v>
      </c>
      <c r="N84" s="248"/>
      <c r="O84" s="248"/>
      <c r="P84" s="248"/>
      <c r="Q84" s="248"/>
    </row>
    <row r="85" spans="1:17" ht="15.75" hidden="1" customHeight="1">
      <c r="A85" s="307" t="e">
        <f>#REF!</f>
        <v>#REF!</v>
      </c>
      <c r="B85" s="243" t="str">
        <f>Backlog[[#This Row],[Clave del caso]]</f>
        <v>MAN-00014048</v>
      </c>
      <c r="C85" s="314" t="e">
        <f>#REF!</f>
        <v>#REF!</v>
      </c>
      <c r="D85" s="243" t="str">
        <f>Backlog[[#This Row],[Cliente que solicita]]</f>
        <v>Todas las provincias</v>
      </c>
      <c r="E85" s="243" t="str">
        <f>Backlog[[#This Row],[Componente]]</f>
        <v>Gamma</v>
      </c>
      <c r="F85" s="243">
        <f>Backlog[[#This Row],[Area responsable de traccionar]]</f>
        <v>0</v>
      </c>
      <c r="G85" s="243">
        <f>Backlog[[#This Row],[OP]]</f>
        <v>0</v>
      </c>
      <c r="H85" s="243" t="str">
        <f>Backlog[[#This Row],[Estado]]</f>
        <v>Validar estado</v>
      </c>
      <c r="I85" s="317" t="str">
        <f>IF(Backlog[[#This Row],[Fecha Requerida en Producción]]="","",Backlog[[#This Row],[Fecha Requerida en Producción]])</f>
        <v/>
      </c>
      <c r="J85" s="317" t="str">
        <f>IF(Backlog[[#This Row],[Fecha comprometida (para UAT)]]="","",Backlog[[#This Row],[Fecha comprometida (para UAT)]])</f>
        <v/>
      </c>
      <c r="K85" s="229" t="str">
        <f>IF(Backlog[[#This Row],[Fecha Real de Cierre]]="","",Backlog[[#This Row],[Fecha Real de Cierre]])</f>
        <v/>
      </c>
      <c r="L85" s="353">
        <f>Backlog[[#This Row],[Estimación Desarrollo]]</f>
        <v>0</v>
      </c>
      <c r="M85" s="353">
        <f>Backlog[[#This Row],[QA/UAT]]</f>
        <v>0</v>
      </c>
      <c r="N85" s="248"/>
      <c r="O85" s="248"/>
      <c r="P85" s="248"/>
      <c r="Q85" s="248"/>
    </row>
    <row r="86" spans="1:17" ht="15.75" hidden="1" customHeight="1">
      <c r="A86" s="309" t="e">
        <f>#REF!</f>
        <v>#REF!</v>
      </c>
      <c r="B86" s="234" t="str">
        <f>Backlog[[#This Row],[Clave del caso]]</f>
        <v>MAN-12357</v>
      </c>
      <c r="C86" s="311" t="e">
        <f>#REF!</f>
        <v>#REF!</v>
      </c>
      <c r="D86" s="234" t="str">
        <f>Backlog[[#This Row],[Cliente que solicita]]</f>
        <v>Corrientes</v>
      </c>
      <c r="E86" s="234" t="str">
        <f>Backlog[[#This Row],[Componente]]</f>
        <v>Gamma</v>
      </c>
      <c r="F86" s="234">
        <f>Backlog[[#This Row],[Area responsable de traccionar]]</f>
        <v>0</v>
      </c>
      <c r="G86" s="234">
        <f>Backlog[[#This Row],[OP]]</f>
        <v>0</v>
      </c>
      <c r="H86" s="234" t="str">
        <f>Backlog[[#This Row],[Estado]]</f>
        <v>A priorizar</v>
      </c>
      <c r="I86" s="316" t="str">
        <f>IF(Backlog[[#This Row],[Fecha Requerida en Producción]]="","",Backlog[[#This Row],[Fecha Requerida en Producción]])</f>
        <v/>
      </c>
      <c r="J86" s="316" t="str">
        <f>IF(Backlog[[#This Row],[Fecha comprometida (para UAT)]]="","",Backlog[[#This Row],[Fecha comprometida (para UAT)]])</f>
        <v/>
      </c>
      <c r="K86" s="217" t="str">
        <f>IF(Backlog[[#This Row],[Fecha Real de Cierre]]="","",Backlog[[#This Row],[Fecha Real de Cierre]])</f>
        <v/>
      </c>
      <c r="L86" s="353">
        <f>Backlog[[#This Row],[Estimación Desarrollo]]</f>
        <v>36</v>
      </c>
      <c r="M86" s="353">
        <f>Backlog[[#This Row],[QA/UAT]]</f>
        <v>0</v>
      </c>
      <c r="N86" s="248"/>
      <c r="O86" s="248"/>
      <c r="P86" s="248"/>
      <c r="Q86" s="248"/>
    </row>
    <row r="87" spans="1:17" ht="15.75" hidden="1" customHeight="1">
      <c r="A87" s="309" t="e">
        <f>#REF!</f>
        <v>#REF!</v>
      </c>
      <c r="B87" s="234" t="str">
        <f>Backlog[[#This Row],[Clave del caso]]</f>
        <v xml:space="preserve">  MAN - 000466
SF 14508</v>
      </c>
      <c r="C87" s="327" t="e">
        <f>#REF!</f>
        <v>#REF!</v>
      </c>
      <c r="D87" s="234" t="str">
        <f>Backlog[[#This Row],[Cliente que solicita]]</f>
        <v>Todas las provincias</v>
      </c>
      <c r="E87" s="234" t="str">
        <f>Backlog[[#This Row],[Componente]]</f>
        <v>Gamma</v>
      </c>
      <c r="F87" s="234" t="str">
        <f>Backlog[[#This Row],[Area responsable de traccionar]]</f>
        <v>Mantenimiento</v>
      </c>
      <c r="G87" s="234">
        <f>Backlog[[#This Row],[OP]]</f>
        <v>7</v>
      </c>
      <c r="H87" s="234" t="str">
        <f>Backlog[[#This Row],[Estado]]</f>
        <v>A planificar</v>
      </c>
      <c r="I87" s="316">
        <f>IF(Backlog[[#This Row],[Fecha Requerida en Producción]]="","",Backlog[[#This Row],[Fecha Requerida en Producción]])</f>
        <v>46053</v>
      </c>
      <c r="J87" s="316" t="str">
        <f>IF(Backlog[[#This Row],[Fecha comprometida (para UAT)]]="","",Backlog[[#This Row],[Fecha comprometida (para UAT)]])</f>
        <v>MARZO</v>
      </c>
      <c r="K87" s="217" t="str">
        <f>IF(Backlog[[#This Row],[Fecha Real de Cierre]]="","",Backlog[[#This Row],[Fecha Real de Cierre]])</f>
        <v/>
      </c>
      <c r="L87" s="353">
        <f>Backlog[[#This Row],[Estimación Desarrollo]]</f>
        <v>13</v>
      </c>
      <c r="M87" s="353">
        <f>Backlog[[#This Row],[QA/UAT]]</f>
        <v>0</v>
      </c>
      <c r="N87" s="248"/>
      <c r="O87" s="248"/>
      <c r="P87" s="248"/>
      <c r="Q87" s="248"/>
    </row>
    <row r="88" spans="1:17" ht="15.75" hidden="1" customHeight="1">
      <c r="A88" s="309" t="e">
        <f>#REF!</f>
        <v>#REF!</v>
      </c>
      <c r="B88" s="234" t="str">
        <f>Backlog[[#This Row],[Clave del caso]]</f>
        <v>MAN-00008136</v>
      </c>
      <c r="C88" s="327" t="e">
        <f>#REF!</f>
        <v>#REF!</v>
      </c>
      <c r="D88" s="234" t="str">
        <f>Backlog[[#This Row],[Cliente que solicita]]</f>
        <v>Todas las provincias</v>
      </c>
      <c r="E88" s="234" t="str">
        <f>Backlog[[#This Row],[Componente]]</f>
        <v>Gamma</v>
      </c>
      <c r="F88" s="234" t="str">
        <f>Backlog[[#This Row],[Area responsable de traccionar]]</f>
        <v>Mantenimiento</v>
      </c>
      <c r="G88" s="234">
        <f>Backlog[[#This Row],[OP]]</f>
        <v>8</v>
      </c>
      <c r="H88" s="234" t="str">
        <f>Backlog[[#This Row],[Estado]]</f>
        <v>A planificar</v>
      </c>
      <c r="I88" s="316">
        <f>IF(Backlog[[#This Row],[Fecha Requerida en Producción]]="","",Backlog[[#This Row],[Fecha Requerida en Producción]])</f>
        <v>46053</v>
      </c>
      <c r="J88" s="316" t="str">
        <f>IF(Backlog[[#This Row],[Fecha comprometida (para UAT)]]="","",Backlog[[#This Row],[Fecha comprometida (para UAT)]])</f>
        <v>MARZO</v>
      </c>
      <c r="K88" s="217" t="str">
        <f>IF(Backlog[[#This Row],[Fecha Real de Cierre]]="","",Backlog[[#This Row],[Fecha Real de Cierre]])</f>
        <v/>
      </c>
      <c r="L88" s="353">
        <f>Backlog[[#This Row],[Estimación Desarrollo]]</f>
        <v>68</v>
      </c>
      <c r="M88" s="353" t="str">
        <f>Backlog[[#This Row],[QA/UAT]]</f>
        <v>Jimena</v>
      </c>
      <c r="N88" s="248"/>
      <c r="O88" s="248"/>
      <c r="P88" s="248"/>
      <c r="Q88" s="248"/>
    </row>
    <row r="89" spans="1:17" ht="15.75" hidden="1" customHeight="1">
      <c r="A89" s="307" t="e">
        <f>#REF!</f>
        <v>#REF!</v>
      </c>
      <c r="B89" s="243" t="str">
        <f>Backlog[[#This Row],[Clave del caso]]</f>
        <v>00008135</v>
      </c>
      <c r="C89" s="314" t="e">
        <f>#REF!</f>
        <v>#REF!</v>
      </c>
      <c r="D89" s="243" t="str">
        <f>Backlog[[#This Row],[Cliente que solicita]]</f>
        <v>Todas las provincias</v>
      </c>
      <c r="E89" s="243" t="str">
        <f>Backlog[[#This Row],[Componente]]</f>
        <v>Gamma</v>
      </c>
      <c r="F89" s="243" t="str">
        <f>Backlog[[#This Row],[Area responsable de traccionar]]</f>
        <v>Mantenimiento</v>
      </c>
      <c r="G89" s="243">
        <f>Backlog[[#This Row],[OP]]</f>
        <v>10</v>
      </c>
      <c r="H89" s="243" t="str">
        <f>Backlog[[#This Row],[Estado]]</f>
        <v>A planificar</v>
      </c>
      <c r="I89" s="256">
        <f>Backlog[[#This Row],[Fecha Requerida en Producción]]</f>
        <v>46053</v>
      </c>
      <c r="J89" s="317" t="str">
        <f>IF(Backlog[[#This Row],[Fecha comprometida (para UAT)]]="","",Backlog[[#This Row],[Fecha comprometida (para UAT)]])</f>
        <v>MARZO</v>
      </c>
      <c r="K89" s="229" t="str">
        <f>IF(Backlog[[#This Row],[Fecha Real de Cierre]]="","",Backlog[[#This Row],[Fecha Real de Cierre]])</f>
        <v/>
      </c>
      <c r="L89" s="353">
        <f>Backlog[[#This Row],[Estimación Desarrollo]]</f>
        <v>51</v>
      </c>
      <c r="M89" s="353" t="str">
        <f>Backlog[[#This Row],[QA/UAT]]</f>
        <v>Marcos</v>
      </c>
      <c r="N89" s="248"/>
      <c r="O89" s="248"/>
      <c r="P89" s="248"/>
      <c r="Q89" s="248"/>
    </row>
    <row r="90" spans="1:17" ht="15.75" hidden="1" customHeight="1">
      <c r="A90" s="307" t="e">
        <f>#REF!</f>
        <v>#REF!</v>
      </c>
      <c r="B90" s="243" t="str">
        <f>Backlog[[#This Row],[Clave del caso]]</f>
        <v>MAN-511</v>
      </c>
      <c r="C90" s="315" t="e">
        <f>#REF!</f>
        <v>#REF!</v>
      </c>
      <c r="D90" s="243" t="str">
        <f>Backlog[[#This Row],[Cliente que solicita]]</f>
        <v>Jujuy</v>
      </c>
      <c r="E90" s="243" t="str">
        <f>Backlog[[#This Row],[Componente]]</f>
        <v>Gamma</v>
      </c>
      <c r="F90" s="243" t="str">
        <f>Backlog[[#This Row],[Area responsable de traccionar]]</f>
        <v>Mantenimiento</v>
      </c>
      <c r="G90" s="243">
        <f>Backlog[[#This Row],[OP]]</f>
        <v>11</v>
      </c>
      <c r="H90" s="243" t="str">
        <f>Backlog[[#This Row],[Estado]]</f>
        <v>A planificar</v>
      </c>
      <c r="I90" s="317" t="str">
        <f>IF(Backlog[[#This Row],[Fecha Requerida en Producción]]="","",Backlog[[#This Row],[Fecha Requerida en Producción]])</f>
        <v/>
      </c>
      <c r="J90" s="317" t="str">
        <f>IF(Backlog[[#This Row],[Fecha comprometida (para UAT)]]="","",Backlog[[#This Row],[Fecha comprometida (para UAT)]])</f>
        <v>MARZO</v>
      </c>
      <c r="K90" s="229" t="str">
        <f>IF(Backlog[[#This Row],[Fecha Real de Cierre]]="","",Backlog[[#This Row],[Fecha Real de Cierre]])</f>
        <v/>
      </c>
      <c r="L90" s="353">
        <f>Backlog[[#This Row],[Estimación Desarrollo]]</f>
        <v>41</v>
      </c>
      <c r="M90" s="353" t="str">
        <f>Backlog[[#This Row],[QA/UAT]]</f>
        <v>Paolo</v>
      </c>
      <c r="N90" s="248"/>
      <c r="O90" s="248"/>
      <c r="P90" s="248"/>
      <c r="Q90" s="248"/>
    </row>
    <row r="91" spans="1:17" ht="15.75" hidden="1" customHeight="1">
      <c r="A91" s="309" t="e">
        <f>#REF!</f>
        <v>#REF!</v>
      </c>
      <c r="B91" s="234" t="str">
        <f>Backlog[[#This Row],[Clave del caso]]</f>
        <v>7855</v>
      </c>
      <c r="C91" s="311" t="e">
        <f>#REF!</f>
        <v>#REF!</v>
      </c>
      <c r="D91" s="234" t="str">
        <f>Backlog[[#This Row],[Cliente que solicita]]</f>
        <v>Corrientes</v>
      </c>
      <c r="E91" s="234" t="str">
        <f>Backlog[[#This Row],[Componente]]</f>
        <v>Gamma</v>
      </c>
      <c r="F91" s="234" t="str">
        <f>Backlog[[#This Row],[Area responsable de traccionar]]</f>
        <v>Mantenimiento</v>
      </c>
      <c r="G91" s="234">
        <f>Backlog[[#This Row],[OP]]</f>
        <v>12</v>
      </c>
      <c r="H91" s="234" t="str">
        <f>Backlog[[#This Row],[Estado]]</f>
        <v>A planificar</v>
      </c>
      <c r="I91" s="316" t="str">
        <f>IF(Backlog[[#This Row],[Fecha Requerida en Producción]]="","",Backlog[[#This Row],[Fecha Requerida en Producción]])</f>
        <v/>
      </c>
      <c r="J91" s="316" t="str">
        <f>IF(Backlog[[#This Row],[Fecha comprometida (para UAT)]]="","",Backlog[[#This Row],[Fecha comprometida (para UAT)]])</f>
        <v/>
      </c>
      <c r="K91" s="217" t="str">
        <f>IF(Backlog[[#This Row],[Fecha Real de Cierre]]="","",Backlog[[#This Row],[Fecha Real de Cierre]])</f>
        <v/>
      </c>
      <c r="L91" s="353">
        <f>Backlog[[#This Row],[Estimación Desarrollo]]</f>
        <v>14</v>
      </c>
      <c r="M91" s="353" t="str">
        <f>Backlog[[#This Row],[QA/UAT]]</f>
        <v>Jimena</v>
      </c>
      <c r="N91" s="248"/>
      <c r="O91" s="248"/>
      <c r="P91" s="248"/>
      <c r="Q91" s="248"/>
    </row>
    <row r="92" spans="1:17" ht="15.75" hidden="1" customHeight="1">
      <c r="A92" s="307" t="e">
        <f>#REF!</f>
        <v>#REF!</v>
      </c>
      <c r="B92" s="243" t="str">
        <f>Backlog[[#This Row],[Clave del caso]]</f>
        <v xml:space="preserve">MAN - 000093          10708
</v>
      </c>
      <c r="C92" s="351" t="e">
        <f>#REF!</f>
        <v>#REF!</v>
      </c>
      <c r="D92" s="243" t="str">
        <f>Backlog[[#This Row],[Cliente que solicita]]</f>
        <v>Jujuy</v>
      </c>
      <c r="E92" s="243" t="str">
        <f>Backlog[[#This Row],[Componente]]</f>
        <v>Gamma</v>
      </c>
      <c r="F92" s="243" t="str">
        <f>Backlog[[#This Row],[Area responsable de traccionar]]</f>
        <v>Mantenimiento</v>
      </c>
      <c r="G92" s="243">
        <f>Backlog[[#This Row],[OP]]</f>
        <v>13</v>
      </c>
      <c r="H92" s="243" t="str">
        <f>Backlog[[#This Row],[Estado]]</f>
        <v>A planificar</v>
      </c>
      <c r="I92" s="317" t="str">
        <f>IF(Backlog[[#This Row],[Fecha Requerida en Producción]]="","",Backlog[[#This Row],[Fecha Requerida en Producción]])</f>
        <v/>
      </c>
      <c r="J92" s="317" t="str">
        <f>IF(Backlog[[#This Row],[Fecha comprometida (para UAT)]]="","",Backlog[[#This Row],[Fecha comprometida (para UAT)]])</f>
        <v/>
      </c>
      <c r="K92" s="229" t="str">
        <f>IF(Backlog[[#This Row],[Fecha Real de Cierre]]="","",Backlog[[#This Row],[Fecha Real de Cierre]])</f>
        <v/>
      </c>
      <c r="L92" s="353">
        <f>Backlog[[#This Row],[Estimación Desarrollo]]</f>
        <v>14</v>
      </c>
      <c r="M92" s="353" t="str">
        <f>Backlog[[#This Row],[QA/UAT]]</f>
        <v>Alejandro</v>
      </c>
      <c r="N92" s="248"/>
      <c r="O92" s="248"/>
      <c r="P92" s="248"/>
      <c r="Q92" s="248"/>
    </row>
    <row r="93" spans="1:17" ht="15.75" hidden="1" customHeight="1">
      <c r="A93" s="309" t="e">
        <f>#REF!</f>
        <v>#REF!</v>
      </c>
      <c r="B93" s="234" t="str">
        <f>Backlog[[#This Row],[Clave del caso]]</f>
        <v>MAN-483</v>
      </c>
      <c r="C93" s="236" t="e">
        <f>#REF!</f>
        <v>#REF!</v>
      </c>
      <c r="D93" s="234" t="str">
        <f>Backlog[[#This Row],[Cliente que solicita]]</f>
        <v>Jujuy</v>
      </c>
      <c r="E93" s="234" t="str">
        <f>Backlog[[#This Row],[Componente]]</f>
        <v>Gamma</v>
      </c>
      <c r="F93" s="234" t="str">
        <f>Backlog[[#This Row],[Area responsable de traccionar]]</f>
        <v>Mantenimiento</v>
      </c>
      <c r="G93" s="234">
        <f>Backlog[[#This Row],[OP]]</f>
        <v>14</v>
      </c>
      <c r="H93" s="234" t="str">
        <f>Backlog[[#This Row],[Estado]]</f>
        <v>A planificar</v>
      </c>
      <c r="I93" s="316" t="str">
        <f>IF(Backlog[[#This Row],[Fecha Requerida en Producción]]="","",Backlog[[#This Row],[Fecha Requerida en Producción]])</f>
        <v/>
      </c>
      <c r="J93" s="316" t="str">
        <f>IF(Backlog[[#This Row],[Fecha comprometida (para UAT)]]="","",Backlog[[#This Row],[Fecha comprometida (para UAT)]])</f>
        <v/>
      </c>
      <c r="K93" s="217" t="str">
        <f>IF(Backlog[[#This Row],[Fecha Real de Cierre]]="","",Backlog[[#This Row],[Fecha Real de Cierre]])</f>
        <v/>
      </c>
      <c r="L93" s="353">
        <f>Backlog[[#This Row],[Estimación Desarrollo]]</f>
        <v>34</v>
      </c>
      <c r="M93" s="353" t="str">
        <f>Backlog[[#This Row],[QA/UAT]]</f>
        <v>Tejerina</v>
      </c>
      <c r="N93" s="248"/>
      <c r="O93" s="248"/>
      <c r="P93" s="248"/>
      <c r="Q93" s="248"/>
    </row>
    <row r="94" spans="1:17" ht="15.75" hidden="1" customHeight="1">
      <c r="A94" s="309" t="e">
        <f>#REF!</f>
        <v>#REF!</v>
      </c>
      <c r="B94" s="234" t="str">
        <f>Backlog[[#This Row],[Clave del caso]]</f>
        <v xml:space="preserve">MAN - 000061
</v>
      </c>
      <c r="C94" s="236" t="e">
        <f>#REF!</f>
        <v>#REF!</v>
      </c>
      <c r="D94" s="234" t="str">
        <f>Backlog[[#This Row],[Cliente que solicita]]</f>
        <v>Todas las provincias</v>
      </c>
      <c r="E94" s="234" t="str">
        <f>Backlog[[#This Row],[Componente]]</f>
        <v>NOA</v>
      </c>
      <c r="F94" s="234" t="str">
        <f>Backlog[[#This Row],[Area responsable de traccionar]]</f>
        <v>Mantenimiento</v>
      </c>
      <c r="G94" s="234">
        <f>Backlog[[#This Row],[OP]]</f>
        <v>15</v>
      </c>
      <c r="H94" s="234" t="str">
        <f>Backlog[[#This Row],[Estado]]</f>
        <v>A planificar</v>
      </c>
      <c r="I94" s="316">
        <f>IF(Backlog[[#This Row],[Fecha Requerida en Producción]]="","",Backlog[[#This Row],[Fecha Requerida en Producción]])</f>
        <v>45992</v>
      </c>
      <c r="J94" s="316" t="str">
        <f>IF(Backlog[[#This Row],[Fecha comprometida (para UAT)]]="","",Backlog[[#This Row],[Fecha comprometida (para UAT)]])</f>
        <v>MARZO</v>
      </c>
      <c r="K94" s="217" t="str">
        <f>IF(Backlog[[#This Row],[Fecha Real de Cierre]]="","",Backlog[[#This Row],[Fecha Real de Cierre]])</f>
        <v/>
      </c>
      <c r="L94" s="353">
        <f>Backlog[[#This Row],[Estimación Desarrollo]]</f>
        <v>4</v>
      </c>
      <c r="M94" s="353">
        <f>Backlog[[#This Row],[QA/UAT]]</f>
        <v>1</v>
      </c>
      <c r="N94" s="248"/>
      <c r="O94" s="248"/>
      <c r="P94" s="248"/>
      <c r="Q94" s="248"/>
    </row>
    <row r="95" spans="1:17" ht="15.75" hidden="1" customHeight="1">
      <c r="A95" s="309" t="e">
        <f>#REF!</f>
        <v>#REF!</v>
      </c>
      <c r="B95" s="234" t="str">
        <f>Backlog[[#This Row],[Clave del caso]]</f>
        <v>MAN-00012574</v>
      </c>
      <c r="C95" s="236" t="e">
        <f>#REF!</f>
        <v>#REF!</v>
      </c>
      <c r="D95" s="234" t="str">
        <f>Backlog[[#This Row],[Cliente que solicita]]</f>
        <v>Corrientes</v>
      </c>
      <c r="E95" s="234" t="str">
        <f>Backlog[[#This Row],[Componente]]</f>
        <v>NOA</v>
      </c>
      <c r="F95" s="234">
        <f>Backlog[[#This Row],[Area responsable de traccionar]]</f>
        <v>0</v>
      </c>
      <c r="G95" s="234">
        <f>Backlog[[#This Row],[OP]]</f>
        <v>16</v>
      </c>
      <c r="H95" s="234" t="str">
        <f>Backlog[[#This Row],[Estado]]</f>
        <v>A planificar</v>
      </c>
      <c r="I95" s="316" t="str">
        <f>IF(Backlog[[#This Row],[Fecha Requerida en Producción]]="","",Backlog[[#This Row],[Fecha Requerida en Producción]])</f>
        <v/>
      </c>
      <c r="J95" s="316" t="str">
        <f>IF(Backlog[[#This Row],[Fecha comprometida (para UAT)]]="","",Backlog[[#This Row],[Fecha comprometida (para UAT)]])</f>
        <v>MARZO</v>
      </c>
      <c r="K95" s="217" t="str">
        <f>IF(Backlog[[#This Row],[Fecha Real de Cierre]]="","",Backlog[[#This Row],[Fecha Real de Cierre]])</f>
        <v/>
      </c>
      <c r="L95" s="353">
        <f>Backlog[[#This Row],[Estimación Desarrollo]]</f>
        <v>41</v>
      </c>
      <c r="M95" s="353" t="str">
        <f>Backlog[[#This Row],[QA/UAT]]</f>
        <v>Paolo</v>
      </c>
      <c r="N95" s="248"/>
      <c r="O95" s="248"/>
      <c r="P95" s="248"/>
      <c r="Q95" s="248"/>
    </row>
    <row r="96" spans="1:17" ht="15.75" hidden="1" customHeight="1">
      <c r="A96" s="309" t="e">
        <f>#REF!</f>
        <v>#REF!</v>
      </c>
      <c r="B96" s="234" t="str">
        <f>Backlog[[#This Row],[Clave del caso]]</f>
        <v>MAN - 000094
10705</v>
      </c>
      <c r="C96" s="236" t="e">
        <f>#REF!</f>
        <v>#REF!</v>
      </c>
      <c r="D96" s="234" t="str">
        <f>Backlog[[#This Row],[Cliente que solicita]]</f>
        <v>Corrientes</v>
      </c>
      <c r="E96" s="234" t="str">
        <f>Backlog[[#This Row],[Componente]]</f>
        <v>Gamma</v>
      </c>
      <c r="F96" s="234" t="str">
        <f>Backlog[[#This Row],[Area responsable de traccionar]]</f>
        <v>Mantenimiento</v>
      </c>
      <c r="G96" s="234">
        <f>Backlog[[#This Row],[OP]]</f>
        <v>17</v>
      </c>
      <c r="H96" s="234" t="str">
        <f>Backlog[[#This Row],[Estado]]</f>
        <v>A planificar</v>
      </c>
      <c r="I96" s="316" t="str">
        <f>IF(Backlog[[#This Row],[Fecha Requerida en Producción]]="","",Backlog[[#This Row],[Fecha Requerida en Producción]])</f>
        <v/>
      </c>
      <c r="J96" s="316" t="str">
        <f>IF(Backlog[[#This Row],[Fecha comprometida (para UAT)]]="","",Backlog[[#This Row],[Fecha comprometida (para UAT)]])</f>
        <v>MARZO</v>
      </c>
      <c r="K96" s="217" t="str">
        <f>IF(Backlog[[#This Row],[Fecha Real de Cierre]]="","",Backlog[[#This Row],[Fecha Real de Cierre]])</f>
        <v/>
      </c>
      <c r="L96" s="353">
        <f>Backlog[[#This Row],[Estimación Desarrollo]]</f>
        <v>4</v>
      </c>
      <c r="M96" s="353" t="str">
        <f>Backlog[[#This Row],[QA/UAT]]</f>
        <v>Jimena</v>
      </c>
      <c r="N96" s="248"/>
      <c r="O96" s="248"/>
      <c r="P96" s="248"/>
      <c r="Q96" s="248"/>
    </row>
    <row r="97" spans="1:17" ht="15.75" hidden="1" customHeight="1">
      <c r="A97" s="309" t="e">
        <f>#REF!</f>
        <v>#REF!</v>
      </c>
      <c r="B97" s="234" t="str">
        <f>Backlog[[#This Row],[Clave del caso]]</f>
        <v>558</v>
      </c>
      <c r="C97" s="236" t="e">
        <f>#REF!</f>
        <v>#REF!</v>
      </c>
      <c r="D97" s="234" t="str">
        <f>Backlog[[#This Row],[Cliente que solicita]]</f>
        <v>Todas las provincias</v>
      </c>
      <c r="E97" s="234" t="str">
        <f>Backlog[[#This Row],[Componente]]</f>
        <v>Gamma</v>
      </c>
      <c r="F97" s="234" t="str">
        <f>Backlog[[#This Row],[Area responsable de traccionar]]</f>
        <v>Mantenimiento</v>
      </c>
      <c r="G97" s="234">
        <f>Backlog[[#This Row],[OP]]</f>
        <v>18</v>
      </c>
      <c r="H97" s="234" t="str">
        <f>Backlog[[#This Row],[Estado]]</f>
        <v>A planificar</v>
      </c>
      <c r="I97" s="316" t="str">
        <f>IF(Backlog[[#This Row],[Fecha Requerida en Producción]]="","",Backlog[[#This Row],[Fecha Requerida en Producción]])</f>
        <v/>
      </c>
      <c r="J97" s="316" t="str">
        <f>IF(Backlog[[#This Row],[Fecha comprometida (para UAT)]]="","",Backlog[[#This Row],[Fecha comprometida (para UAT)]])</f>
        <v/>
      </c>
      <c r="K97" s="217" t="str">
        <f>IF(Backlog[[#This Row],[Fecha Real de Cierre]]="","",Backlog[[#This Row],[Fecha Real de Cierre]])</f>
        <v/>
      </c>
      <c r="L97" s="353">
        <f>Backlog[[#This Row],[Estimación Desarrollo]]</f>
        <v>8</v>
      </c>
      <c r="M97" s="353" t="str">
        <f>Backlog[[#This Row],[QA/UAT]]</f>
        <v>Tejerina</v>
      </c>
      <c r="N97" s="248"/>
      <c r="O97" s="248"/>
      <c r="P97" s="248"/>
      <c r="Q97" s="248"/>
    </row>
    <row r="98" spans="1:17" ht="15.75" hidden="1" customHeight="1">
      <c r="A98" s="309" t="e">
        <f>#REF!</f>
        <v>#REF!</v>
      </c>
      <c r="B98" s="234" t="str">
        <f>Backlog[[#This Row],[Clave del caso]]</f>
        <v>595</v>
      </c>
      <c r="C98" s="236" t="e">
        <f>#REF!</f>
        <v>#REF!</v>
      </c>
      <c r="D98" s="234" t="str">
        <f>Backlog[[#This Row],[Cliente que solicita]]</f>
        <v>Todas las provincias</v>
      </c>
      <c r="E98" s="234" t="str">
        <f>Backlog[[#This Row],[Componente]]</f>
        <v>Gamma</v>
      </c>
      <c r="F98" s="234" t="str">
        <f>Backlog[[#This Row],[Area responsable de traccionar]]</f>
        <v>Mantenimiento</v>
      </c>
      <c r="G98" s="234">
        <f>Backlog[[#This Row],[OP]]</f>
        <v>19</v>
      </c>
      <c r="H98" s="234" t="str">
        <f>Backlog[[#This Row],[Estado]]</f>
        <v>A planificar</v>
      </c>
      <c r="I98" s="316" t="str">
        <f>IF(Backlog[[#This Row],[Fecha Requerida en Producción]]="","",Backlog[[#This Row],[Fecha Requerida en Producción]])</f>
        <v/>
      </c>
      <c r="J98" s="316" t="str">
        <f>IF(Backlog[[#This Row],[Fecha comprometida (para UAT)]]="","",Backlog[[#This Row],[Fecha comprometida (para UAT)]])</f>
        <v/>
      </c>
      <c r="K98" s="217" t="str">
        <f>IF(Backlog[[#This Row],[Fecha Real de Cierre]]="","",Backlog[[#This Row],[Fecha Real de Cierre]])</f>
        <v/>
      </c>
      <c r="L98" s="353">
        <f>Backlog[[#This Row],[Estimación Desarrollo]]</f>
        <v>4</v>
      </c>
      <c r="M98" s="353" t="str">
        <f>Backlog[[#This Row],[QA/UAT]]</f>
        <v>Tejerina</v>
      </c>
      <c r="N98" s="248"/>
      <c r="O98" s="248"/>
      <c r="P98" s="248"/>
      <c r="Q98" s="248"/>
    </row>
    <row r="99" spans="1:17" ht="15.75" hidden="1" customHeight="1">
      <c r="A99" s="309" t="e">
        <f>#REF!</f>
        <v>#REF!</v>
      </c>
      <c r="B99" s="234" t="str">
        <f>Backlog[[#This Row],[Clave del caso]]</f>
        <v>MAN-71</v>
      </c>
      <c r="C99" s="236" t="e">
        <f>#REF!</f>
        <v>#REF!</v>
      </c>
      <c r="D99" s="234" t="str">
        <f>Backlog[[#This Row],[Cliente que solicita]]</f>
        <v>Salta</v>
      </c>
      <c r="E99" s="234" t="str">
        <f>Backlog[[#This Row],[Componente]]</f>
        <v>Gamma</v>
      </c>
      <c r="F99" s="234" t="str">
        <f>Backlog[[#This Row],[Area responsable de traccionar]]</f>
        <v>Mantenimiento</v>
      </c>
      <c r="G99" s="234">
        <f>Backlog[[#This Row],[OP]]</f>
        <v>1</v>
      </c>
      <c r="H99" s="234" t="str">
        <f>Backlog[[#This Row],[Estado]]</f>
        <v>A planificar</v>
      </c>
      <c r="I99" s="316" t="str">
        <f>IF(Backlog[[#This Row],[Fecha Requerida en Producción]]="","",Backlog[[#This Row],[Fecha Requerida en Producción]])</f>
        <v/>
      </c>
      <c r="J99" s="316" t="str">
        <f>IF(Backlog[[#This Row],[Fecha comprometida (para UAT)]]="","",Backlog[[#This Row],[Fecha comprometida (para UAT)]])</f>
        <v>MARZO</v>
      </c>
      <c r="K99" s="217">
        <f>IF(Backlog[[#This Row],[Fecha Real de Cierre]]="","",Backlog[[#This Row],[Fecha Real de Cierre]])</f>
        <v>45967</v>
      </c>
      <c r="L99" s="353">
        <f>Backlog[[#This Row],[Estimación Desarrollo]]</f>
        <v>4</v>
      </c>
      <c r="M99" s="353" t="str">
        <f>Backlog[[#This Row],[QA/UAT]]</f>
        <v>Tejerina</v>
      </c>
      <c r="N99" s="248"/>
      <c r="O99" s="248"/>
      <c r="P99" s="248"/>
      <c r="Q99" s="248"/>
    </row>
    <row r="100" spans="1:17" ht="15.75" hidden="1" customHeight="1">
      <c r="A100" s="309" t="e">
        <f>#REF!</f>
        <v>#REF!</v>
      </c>
      <c r="B100" s="234" t="str">
        <f>Backlog[[#This Row],[Clave del caso]]</f>
        <v>00009746</v>
      </c>
      <c r="C100" s="236" t="e">
        <f>#REF!</f>
        <v>#REF!</v>
      </c>
      <c r="D100" s="234" t="str">
        <f>Backlog[[#This Row],[Cliente que solicita]]</f>
        <v>Corrientes</v>
      </c>
      <c r="E100" s="234" t="str">
        <f>Backlog[[#This Row],[Componente]]</f>
        <v>Gamma</v>
      </c>
      <c r="F100" s="234" t="str">
        <f>Backlog[[#This Row],[Area responsable de traccionar]]</f>
        <v>Mantenimiento</v>
      </c>
      <c r="G100" s="234">
        <f>Backlog[[#This Row],[OP]]</f>
        <v>20</v>
      </c>
      <c r="H100" s="234" t="str">
        <f>Backlog[[#This Row],[Estado]]</f>
        <v>A planificar</v>
      </c>
      <c r="I100" s="316" t="str">
        <f>IF(Backlog[[#This Row],[Fecha Requerida en Producción]]="","",Backlog[[#This Row],[Fecha Requerida en Producción]])</f>
        <v/>
      </c>
      <c r="J100" s="316" t="str">
        <f>IF(Backlog[[#This Row],[Fecha comprometida (para UAT)]]="","",Backlog[[#This Row],[Fecha comprometida (para UAT)]])</f>
        <v/>
      </c>
      <c r="K100" s="217">
        <f>IF(Backlog[[#This Row],[Fecha Real de Cierre]]="","",Backlog[[#This Row],[Fecha Real de Cierre]])</f>
        <v>45967</v>
      </c>
      <c r="L100" s="353">
        <f>Backlog[[#This Row],[Estimación Desarrollo]]</f>
        <v>6</v>
      </c>
      <c r="M100" s="353" t="str">
        <f>Backlog[[#This Row],[QA/UAT]]</f>
        <v>Alejandro</v>
      </c>
      <c r="N100" s="248"/>
      <c r="O100" s="248"/>
      <c r="P100" s="248"/>
      <c r="Q100" s="248"/>
    </row>
    <row r="101" spans="1:17" ht="15.75" hidden="1" customHeight="1">
      <c r="A101" s="309" t="e">
        <f>#REF!</f>
        <v>#REF!</v>
      </c>
      <c r="B101" s="234" t="str">
        <f>Backlog[[#This Row],[Clave del caso]]</f>
        <v>MAN-00011429</v>
      </c>
      <c r="C101" s="236" t="e">
        <f>#REF!</f>
        <v>#REF!</v>
      </c>
      <c r="D101" s="234" t="str">
        <f>Backlog[[#This Row],[Cliente que solicita]]</f>
        <v>Jujuy</v>
      </c>
      <c r="E101" s="234" t="str">
        <f>Backlog[[#This Row],[Componente]]</f>
        <v>Gamma</v>
      </c>
      <c r="F101" s="234" t="str">
        <f>Backlog[[#This Row],[Area responsable de traccionar]]</f>
        <v>Mantenimiento</v>
      </c>
      <c r="G101" s="234">
        <f>Backlog[[#This Row],[OP]]</f>
        <v>21</v>
      </c>
      <c r="H101" s="234" t="str">
        <f>Backlog[[#This Row],[Estado]]</f>
        <v>A planificar</v>
      </c>
      <c r="I101" s="316" t="str">
        <f>IF(Backlog[[#This Row],[Fecha Requerida en Producción]]="","",Backlog[[#This Row],[Fecha Requerida en Producción]])</f>
        <v/>
      </c>
      <c r="J101" s="316" t="str">
        <f>IF(Backlog[[#This Row],[Fecha comprometida (para UAT)]]="","",Backlog[[#This Row],[Fecha comprometida (para UAT)]])</f>
        <v/>
      </c>
      <c r="K101" s="217" t="str">
        <f>IF(Backlog[[#This Row],[Fecha Real de Cierre]]="","",Backlog[[#This Row],[Fecha Real de Cierre]])</f>
        <v/>
      </c>
      <c r="L101" s="353">
        <f>Backlog[[#This Row],[Estimación Desarrollo]]</f>
        <v>4</v>
      </c>
      <c r="M101" s="353" t="str">
        <f>Backlog[[#This Row],[QA/UAT]]</f>
        <v>Tejerina</v>
      </c>
      <c r="N101" s="248"/>
      <c r="O101" s="248"/>
      <c r="P101" s="248"/>
      <c r="Q101" s="248"/>
    </row>
    <row r="102" spans="1:17" ht="15.75" hidden="1" customHeight="1">
      <c r="A102" s="309" t="e">
        <f>#REF!</f>
        <v>#REF!</v>
      </c>
      <c r="B102" s="234" t="str">
        <f>Backlog[[#This Row],[Clave del caso]]</f>
        <v>00009735</v>
      </c>
      <c r="C102" s="236" t="e">
        <f>#REF!</f>
        <v>#REF!</v>
      </c>
      <c r="D102" s="234" t="str">
        <f>Backlog[[#This Row],[Cliente que solicita]]</f>
        <v>Jujuy</v>
      </c>
      <c r="E102" s="234" t="str">
        <f>Backlog[[#This Row],[Componente]]</f>
        <v>Gamma</v>
      </c>
      <c r="F102" s="234" t="str">
        <f>Backlog[[#This Row],[Area responsable de traccionar]]</f>
        <v>Mantenimiento</v>
      </c>
      <c r="G102" s="234">
        <f>Backlog[[#This Row],[OP]]</f>
        <v>22</v>
      </c>
      <c r="H102" s="234" t="str">
        <f>Backlog[[#This Row],[Estado]]</f>
        <v>A planificar</v>
      </c>
      <c r="I102" s="316" t="str">
        <f>IF(Backlog[[#This Row],[Fecha Requerida en Producción]]="","",Backlog[[#This Row],[Fecha Requerida en Producción]])</f>
        <v/>
      </c>
      <c r="J102" s="316" t="str">
        <f>IF(Backlog[[#This Row],[Fecha comprometida (para UAT)]]="","",Backlog[[#This Row],[Fecha comprometida (para UAT)]])</f>
        <v>MARZO</v>
      </c>
      <c r="K102" s="217" t="str">
        <f>IF(Backlog[[#This Row],[Fecha Real de Cierre]]="","",Backlog[[#This Row],[Fecha Real de Cierre]])</f>
        <v/>
      </c>
      <c r="L102" s="353">
        <f>Backlog[[#This Row],[Estimación Desarrollo]]</f>
        <v>8</v>
      </c>
      <c r="M102" s="353" t="str">
        <f>Backlog[[#This Row],[QA/UAT]]</f>
        <v>Tejerina</v>
      </c>
      <c r="N102" s="248"/>
      <c r="O102" s="248"/>
      <c r="P102" s="248"/>
      <c r="Q102" s="248"/>
    </row>
    <row r="103" spans="1:17" ht="15.75" hidden="1" customHeight="1">
      <c r="A103" s="307" t="e">
        <f>#REF!</f>
        <v>#REF!</v>
      </c>
      <c r="B103" s="243" t="str">
        <f>Backlog[[#This Row],[Clave del caso]]</f>
        <v>MAN-00011646</v>
      </c>
      <c r="C103" s="315" t="e">
        <f>#REF!</f>
        <v>#REF!</v>
      </c>
      <c r="D103" s="243" t="str">
        <f>Backlog[[#This Row],[Cliente que solicita]]</f>
        <v>Corrientes</v>
      </c>
      <c r="E103" s="243" t="str">
        <f>Backlog[[#This Row],[Componente]]</f>
        <v>Gamma</v>
      </c>
      <c r="F103" s="243">
        <f>Backlog[[#This Row],[Area responsable de traccionar]]</f>
        <v>0</v>
      </c>
      <c r="G103" s="243">
        <f>Backlog[[#This Row],[OP]]</f>
        <v>23</v>
      </c>
      <c r="H103" s="243" t="str">
        <f>Backlog[[#This Row],[Estado]]</f>
        <v>A planificar</v>
      </c>
      <c r="I103" s="256">
        <f>Backlog[[#This Row],[Fecha Requerida en Producción]]</f>
        <v>0</v>
      </c>
      <c r="J103" s="317" t="str">
        <f>IF(Backlog[[#This Row],[Fecha comprometida (para UAT)]]="","",Backlog[[#This Row],[Fecha comprometida (para UAT)]])</f>
        <v>MARZO</v>
      </c>
      <c r="K103" s="229" t="str">
        <f>IF(Backlog[[#This Row],[Fecha Real de Cierre]]="","",Backlog[[#This Row],[Fecha Real de Cierre]])</f>
        <v/>
      </c>
      <c r="L103" s="353">
        <f>Backlog[[#This Row],[Estimación Desarrollo]]</f>
        <v>8</v>
      </c>
      <c r="M103" s="353" t="str">
        <f>Backlog[[#This Row],[QA/UAT]]</f>
        <v>Paolo</v>
      </c>
      <c r="N103" s="248"/>
      <c r="O103" s="248"/>
      <c r="P103" s="248"/>
      <c r="Q103" s="248"/>
    </row>
    <row r="104" spans="1:17" ht="15.75" hidden="1" customHeight="1">
      <c r="A104" s="307" t="e">
        <f>#REF!</f>
        <v>#REF!</v>
      </c>
      <c r="B104" s="243" t="str">
        <f>Backlog[[#This Row],[Clave del caso]]</f>
        <v>MAN-00011480</v>
      </c>
      <c r="C104" s="244" t="e">
        <f>#REF!</f>
        <v>#REF!</v>
      </c>
      <c r="D104" s="243" t="str">
        <f>Backlog[[#This Row],[Cliente que solicita]]</f>
        <v>Todas las provincias</v>
      </c>
      <c r="E104" s="243" t="str">
        <f>Backlog[[#This Row],[Componente]]</f>
        <v>Gamma</v>
      </c>
      <c r="F104" s="243">
        <f>Backlog[[#This Row],[Area responsable de traccionar]]</f>
        <v>0</v>
      </c>
      <c r="G104" s="243">
        <f>Backlog[[#This Row],[OP]]</f>
        <v>24</v>
      </c>
      <c r="H104" s="243" t="str">
        <f>Backlog[[#This Row],[Estado]]</f>
        <v>A planificar</v>
      </c>
      <c r="I104" s="256">
        <f>Backlog[[#This Row],[Fecha Requerida en Producción]]</f>
        <v>0</v>
      </c>
      <c r="J104" s="317" t="str">
        <f>IF(Backlog[[#This Row],[Fecha comprometida (para UAT)]]="","",Backlog[[#This Row],[Fecha comprometida (para UAT)]])</f>
        <v/>
      </c>
      <c r="K104" s="229" t="str">
        <f>IF(Backlog[[#This Row],[Fecha Real de Cierre]]="","",Backlog[[#This Row],[Fecha Real de Cierre]])</f>
        <v/>
      </c>
      <c r="L104" s="353">
        <f>Backlog[[#This Row],[Estimación Desarrollo]]</f>
        <v>8</v>
      </c>
      <c r="M104" s="353" t="str">
        <f>Backlog[[#This Row],[QA/UAT]]</f>
        <v>Alejandro</v>
      </c>
      <c r="N104" s="248"/>
      <c r="O104" s="248"/>
      <c r="P104" s="248"/>
      <c r="Q104" s="248"/>
    </row>
    <row r="105" spans="1:17" ht="15.75" hidden="1" customHeight="1">
      <c r="A105" s="309" t="e">
        <f>#REF!</f>
        <v>#REF!</v>
      </c>
      <c r="B105" s="234" t="str">
        <f>Backlog[[#This Row],[Clave del caso]]</f>
        <v>MAN-00011546</v>
      </c>
      <c r="C105" s="195" t="e">
        <f>#REF!</f>
        <v>#REF!</v>
      </c>
      <c r="D105" s="234" t="str">
        <f>Backlog[[#This Row],[Cliente que solicita]]</f>
        <v>Corrientes</v>
      </c>
      <c r="E105" s="234" t="str">
        <f>Backlog[[#This Row],[Componente]]</f>
        <v>Gamma</v>
      </c>
      <c r="F105" s="234">
        <f>Backlog[[#This Row],[Area responsable de traccionar]]</f>
        <v>0</v>
      </c>
      <c r="G105" s="234">
        <f>Backlog[[#This Row],[OP]]</f>
        <v>25</v>
      </c>
      <c r="H105" s="234" t="str">
        <f>Backlog[[#This Row],[Estado]]</f>
        <v>A planificar</v>
      </c>
      <c r="I105" s="316" t="str">
        <f>IF(Backlog[[#This Row],[Fecha Requerida en Producción]]="","",Backlog[[#This Row],[Fecha Requerida en Producción]])</f>
        <v/>
      </c>
      <c r="J105" s="316" t="str">
        <f>IF(Backlog[[#This Row],[Fecha comprometida (para UAT)]]="","",Backlog[[#This Row],[Fecha comprometida (para UAT)]])</f>
        <v/>
      </c>
      <c r="K105" s="217" t="str">
        <f>IF(Backlog[[#This Row],[Fecha Real de Cierre]]="","",Backlog[[#This Row],[Fecha Real de Cierre]])</f>
        <v/>
      </c>
      <c r="L105" s="353">
        <f>Backlog[[#This Row],[Estimación Desarrollo]]</f>
        <v>16</v>
      </c>
      <c r="M105" s="353" t="str">
        <f>Backlog[[#This Row],[QA/UAT]]</f>
        <v>Jimena</v>
      </c>
      <c r="N105" s="248"/>
      <c r="O105" s="248"/>
      <c r="P105" s="248"/>
      <c r="Q105" s="248"/>
    </row>
    <row r="106" spans="1:17" ht="15.75" hidden="1" customHeight="1">
      <c r="A106" s="309" t="e">
        <f>#REF!</f>
        <v>#REF!</v>
      </c>
      <c r="B106" s="234" t="str">
        <f>Backlog[[#This Row],[Clave del caso]]</f>
        <v>367</v>
      </c>
      <c r="C106" s="195" t="e">
        <f>#REF!</f>
        <v>#REF!</v>
      </c>
      <c r="D106" s="234" t="str">
        <f>Backlog[[#This Row],[Cliente que solicita]]</f>
        <v>Todas las provincias</v>
      </c>
      <c r="E106" s="234" t="str">
        <f>Backlog[[#This Row],[Componente]]</f>
        <v>Gamma</v>
      </c>
      <c r="F106" s="234" t="str">
        <f>Backlog[[#This Row],[Area responsable de traccionar]]</f>
        <v>Mantenimiento</v>
      </c>
      <c r="G106" s="234">
        <f>Backlog[[#This Row],[OP]]</f>
        <v>0</v>
      </c>
      <c r="H106" s="234" t="str">
        <f>Backlog[[#This Row],[Estado]]</f>
        <v>A planificar</v>
      </c>
      <c r="I106" s="316" t="str">
        <f>IF(Backlog[[#This Row],[Fecha Requerida en Producción]]="","",Backlog[[#This Row],[Fecha Requerida en Producción]])</f>
        <v/>
      </c>
      <c r="J106" s="316" t="str">
        <f>IF(Backlog[[#This Row],[Fecha comprometida (para UAT)]]="","",Backlog[[#This Row],[Fecha comprometida (para UAT)]])</f>
        <v/>
      </c>
      <c r="K106" s="217" t="str">
        <f>IF(Backlog[[#This Row],[Fecha Real de Cierre]]="","",Backlog[[#This Row],[Fecha Real de Cierre]])</f>
        <v/>
      </c>
      <c r="L106" s="353">
        <f>Backlog[[#This Row],[Estimación Desarrollo]]</f>
        <v>16</v>
      </c>
      <c r="M106" s="353" t="str">
        <f>Backlog[[#This Row],[QA/UAT]]</f>
        <v>Tejerina</v>
      </c>
      <c r="N106" s="248"/>
      <c r="O106" s="248"/>
      <c r="P106" s="248"/>
      <c r="Q106" s="248"/>
    </row>
    <row r="107" spans="1:17" ht="15.75" hidden="1" customHeight="1">
      <c r="A107" s="309" t="e">
        <f>#REF!</f>
        <v>#REF!</v>
      </c>
      <c r="B107" s="234" t="str">
        <f>Backlog[[#This Row],[Clave del caso]]</f>
        <v>MAN-668 SF15881</v>
      </c>
      <c r="C107" s="195" t="e">
        <f>#REF!</f>
        <v>#REF!</v>
      </c>
      <c r="D107" s="234" t="str">
        <f>Backlog[[#This Row],[Cliente que solicita]]</f>
        <v>Santa Cruz</v>
      </c>
      <c r="E107" s="234" t="str">
        <f>Backlog[[#This Row],[Componente]]</f>
        <v>Gamma</v>
      </c>
      <c r="F107" s="234" t="str">
        <f>Backlog[[#This Row],[Area responsable de traccionar]]</f>
        <v>SAC</v>
      </c>
      <c r="G107" s="234">
        <f>Backlog[[#This Row],[OP]]</f>
        <v>3</v>
      </c>
      <c r="H107" s="234" t="str">
        <f>Backlog[[#This Row],[Estado]]</f>
        <v>A priorizar</v>
      </c>
      <c r="I107" s="316" t="str">
        <f>IF(Backlog[[#This Row],[Fecha Requerida en Producción]]="","",Backlog[[#This Row],[Fecha Requerida en Producción]])</f>
        <v/>
      </c>
      <c r="J107" s="316" t="str">
        <f>IF(Backlog[[#This Row],[Fecha comprometida (para UAT)]]="","",Backlog[[#This Row],[Fecha comprometida (para UAT)]])</f>
        <v/>
      </c>
      <c r="K107" s="217" t="str">
        <f>IF(Backlog[[#This Row],[Fecha Real de Cierre]]="","",Backlog[[#This Row],[Fecha Real de Cierre]])</f>
        <v/>
      </c>
      <c r="L107" s="353">
        <f>Backlog[[#This Row],[Estimación Desarrollo]]</f>
        <v>0</v>
      </c>
      <c r="M107" s="353">
        <f>Backlog[[#This Row],[QA/UAT]]</f>
        <v>0</v>
      </c>
      <c r="N107" s="248"/>
      <c r="O107" s="248"/>
      <c r="P107" s="248"/>
      <c r="Q107" s="248"/>
    </row>
    <row r="108" spans="1:17" ht="15.75" hidden="1" customHeight="1">
      <c r="A108" s="307" t="e">
        <f>#REF!</f>
        <v>#REF!</v>
      </c>
      <c r="B108" s="243" t="str">
        <f>Backlog[[#This Row],[Clave del caso]]</f>
        <v>MAN-620</v>
      </c>
      <c r="C108" s="245" t="e">
        <f>#REF!</f>
        <v>#REF!</v>
      </c>
      <c r="D108" s="243" t="str">
        <f>Backlog[[#This Row],[Cliente que solicita]]</f>
        <v>Salta</v>
      </c>
      <c r="E108" s="243" t="str">
        <f>Backlog[[#This Row],[Componente]]</f>
        <v>Gamma</v>
      </c>
      <c r="F108" s="245"/>
      <c r="G108" s="243">
        <f>Backlog[[#This Row],[OP]]</f>
        <v>999</v>
      </c>
      <c r="H108" s="243" t="str">
        <f>Backlog[[#This Row],[Estado]]</f>
        <v>A priorizar</v>
      </c>
      <c r="I108" s="317" t="str">
        <f>IF(Backlog[[#This Row],[Fecha Requerida en Producción]]="","",Backlog[[#This Row],[Fecha Requerida en Producción]])</f>
        <v/>
      </c>
      <c r="J108" s="317" t="str">
        <f>IF(Backlog[[#This Row],[Fecha comprometida (para UAT)]]="","",Backlog[[#This Row],[Fecha comprometida (para UAT)]])</f>
        <v/>
      </c>
      <c r="K108" s="229" t="str">
        <f>IF(Backlog[[#This Row],[Fecha Real de Cierre]]="","",Backlog[[#This Row],[Fecha Real de Cierre]])</f>
        <v/>
      </c>
      <c r="L108" s="353">
        <f>Backlog[[#This Row],[Estimación Desarrollo]]</f>
        <v>40</v>
      </c>
      <c r="M108" s="353">
        <f>Backlog[[#This Row],[QA/UAT]]</f>
        <v>0</v>
      </c>
      <c r="N108" s="248"/>
      <c r="O108" s="248"/>
      <c r="P108" s="248"/>
      <c r="Q108" s="248"/>
    </row>
    <row r="109" spans="1:17" ht="15.75" hidden="1" customHeight="1">
      <c r="A109" s="309" t="e">
        <f>#REF!</f>
        <v>#REF!</v>
      </c>
      <c r="B109" s="234" t="str">
        <f>Backlog[[#This Row],[Clave del caso]]</f>
        <v>00008137</v>
      </c>
      <c r="C109" s="195" t="e">
        <f>#REF!</f>
        <v>#REF!</v>
      </c>
      <c r="D109" s="234" t="str">
        <f>Backlog[[#This Row],[Cliente que solicita]]</f>
        <v>Todas las provincias</v>
      </c>
      <c r="E109" s="234" t="str">
        <f>Backlog[[#This Row],[Componente]]</f>
        <v>Gamma</v>
      </c>
      <c r="F109" s="234" t="str">
        <f>Backlog[[#This Row],[Area responsable de traccionar]]</f>
        <v>SAC</v>
      </c>
      <c r="G109" s="234">
        <f>Backlog[[#This Row],[OP]]</f>
        <v>999</v>
      </c>
      <c r="H109" s="234" t="str">
        <f>Backlog[[#This Row],[Estado]]</f>
        <v>A priorizar</v>
      </c>
      <c r="I109" s="316" t="str">
        <f>IF(Backlog[[#This Row],[Fecha Requerida en Producción]]="","",Backlog[[#This Row],[Fecha Requerida en Producción]])</f>
        <v/>
      </c>
      <c r="J109" s="316" t="str">
        <f>IF(Backlog[[#This Row],[Fecha comprometida (para UAT)]]="","",Backlog[[#This Row],[Fecha comprometida (para UAT)]])</f>
        <v/>
      </c>
      <c r="K109" s="217" t="str">
        <f>IF(Backlog[[#This Row],[Fecha Real de Cierre]]="","",Backlog[[#This Row],[Fecha Real de Cierre]])</f>
        <v/>
      </c>
      <c r="L109" s="353">
        <f>Backlog[[#This Row],[Estimación Desarrollo]]</f>
        <v>40</v>
      </c>
      <c r="M109" s="353" t="str">
        <f>Backlog[[#This Row],[QA/UAT]]</f>
        <v>Paolo</v>
      </c>
      <c r="N109" s="248"/>
      <c r="O109" s="248"/>
      <c r="P109" s="248"/>
      <c r="Q109" s="248"/>
    </row>
    <row r="110" spans="1:17" ht="15.75" hidden="1" customHeight="1">
      <c r="A110" s="309" t="e">
        <f>#REF!</f>
        <v>#REF!</v>
      </c>
      <c r="B110" s="234" t="str">
        <f>Backlog[[#This Row],[Clave del caso]]</f>
        <v>MAN-665 SF15922</v>
      </c>
      <c r="C110" s="195" t="e">
        <f>#REF!</f>
        <v>#REF!</v>
      </c>
      <c r="D110" s="234" t="str">
        <f>Backlog[[#This Row],[Cliente que solicita]]</f>
        <v>Salta</v>
      </c>
      <c r="E110" s="234" t="str">
        <f>Backlog[[#This Row],[Componente]]</f>
        <v>Gamma</v>
      </c>
      <c r="F110" s="234" t="str">
        <f>Backlog[[#This Row],[Area responsable de traccionar]]</f>
        <v>SAC</v>
      </c>
      <c r="G110" s="234">
        <f>Backlog[[#This Row],[OP]]</f>
        <v>5</v>
      </c>
      <c r="H110" s="234" t="str">
        <f>Backlog[[#This Row],[Estado]]</f>
        <v>A priorizar</v>
      </c>
      <c r="I110" s="316" t="str">
        <f>IF(Backlog[[#This Row],[Fecha Requerida en Producción]]="","",Backlog[[#This Row],[Fecha Requerida en Producción]])</f>
        <v/>
      </c>
      <c r="J110" s="316" t="str">
        <f>IF(Backlog[[#This Row],[Fecha comprometida (para UAT)]]="","",Backlog[[#This Row],[Fecha comprometida (para UAT)]])</f>
        <v/>
      </c>
      <c r="K110" s="217" t="str">
        <f>IF(Backlog[[#This Row],[Fecha Real de Cierre]]="","",Backlog[[#This Row],[Fecha Real de Cierre]])</f>
        <v/>
      </c>
      <c r="L110" s="353">
        <f>Backlog[[#This Row],[Estimación Desarrollo]]</f>
        <v>0</v>
      </c>
      <c r="M110" s="353">
        <f>Backlog[[#This Row],[QA/UAT]]</f>
        <v>0</v>
      </c>
      <c r="N110" s="248"/>
      <c r="O110" s="248"/>
      <c r="P110" s="248"/>
      <c r="Q110" s="248"/>
    </row>
    <row r="111" spans="1:17" ht="15.75" hidden="1" customHeight="1">
      <c r="A111" s="309" t="e">
        <f>#REF!</f>
        <v>#REF!</v>
      </c>
      <c r="B111" s="234" t="str">
        <f>Backlog[[#This Row],[Clave del caso]]</f>
        <v>MAN-00012734   MAN-00013568 ver correo 13568</v>
      </c>
      <c r="C111" s="195" t="e">
        <f>#REF!</f>
        <v>#REF!</v>
      </c>
      <c r="D111" s="234" t="str">
        <f>Backlog[[#This Row],[Cliente que solicita]]</f>
        <v>La Rioja</v>
      </c>
      <c r="E111" s="234" t="str">
        <f>Backlog[[#This Row],[Componente]]</f>
        <v>NOA</v>
      </c>
      <c r="F111" s="234" t="str">
        <f>Backlog[[#This Row],[Area responsable de traccionar]]</f>
        <v>SAC</v>
      </c>
      <c r="G111" s="234">
        <f>Backlog[[#This Row],[OP]]</f>
        <v>999</v>
      </c>
      <c r="H111" s="234" t="str">
        <f>Backlog[[#This Row],[Estado]]</f>
        <v>A priorizar</v>
      </c>
      <c r="I111" s="316" t="str">
        <f>IF(Backlog[[#This Row],[Fecha Requerida en Producción]]="","",Backlog[[#This Row],[Fecha Requerida en Producción]])</f>
        <v/>
      </c>
      <c r="J111" s="316" t="str">
        <f>IF(Backlog[[#This Row],[Fecha comprometida (para UAT)]]="","",Backlog[[#This Row],[Fecha comprometida (para UAT)]])</f>
        <v/>
      </c>
      <c r="K111" s="217" t="str">
        <f>IF(Backlog[[#This Row],[Fecha Real de Cierre]]="","",Backlog[[#This Row],[Fecha Real de Cierre]])</f>
        <v/>
      </c>
      <c r="L111" s="353">
        <f>Backlog[[#This Row],[Estimación Desarrollo]]</f>
        <v>8</v>
      </c>
      <c r="M111" s="353" t="str">
        <f>Backlog[[#This Row],[QA/UAT]]</f>
        <v>Marcos</v>
      </c>
      <c r="N111" s="248"/>
      <c r="O111" s="248"/>
      <c r="P111" s="248"/>
      <c r="Q111" s="248"/>
    </row>
    <row r="112" spans="1:17" ht="15.75" hidden="1" customHeight="1">
      <c r="A112" s="309" t="e">
        <f>#REF!</f>
        <v>#REF!</v>
      </c>
      <c r="B112" s="234" t="str">
        <f>Backlog[[#This Row],[Clave del caso]]</f>
        <v>MAN-669 SF15900</v>
      </c>
      <c r="C112" s="195" t="e">
        <f>#REF!</f>
        <v>#REF!</v>
      </c>
      <c r="D112" s="234" t="str">
        <f>Backlog[[#This Row],[Cliente que solicita]]</f>
        <v>Salta</v>
      </c>
      <c r="E112" s="234" t="str">
        <f>Backlog[[#This Row],[Componente]]</f>
        <v>Gamma</v>
      </c>
      <c r="F112" s="234" t="str">
        <f>Backlog[[#This Row],[Area responsable de traccionar]]</f>
        <v>SAC</v>
      </c>
      <c r="G112" s="234">
        <f>Backlog[[#This Row],[OP]]</f>
        <v>0</v>
      </c>
      <c r="H112" s="234" t="str">
        <f>Backlog[[#This Row],[Estado]]</f>
        <v>A priorizar</v>
      </c>
      <c r="I112" s="316" t="str">
        <f>IF(Backlog[[#This Row],[Fecha Requerida en Producción]]="","",Backlog[[#This Row],[Fecha Requerida en Producción]])</f>
        <v/>
      </c>
      <c r="J112" s="316" t="str">
        <f>IF(Backlog[[#This Row],[Fecha comprometida (para UAT)]]="","",Backlog[[#This Row],[Fecha comprometida (para UAT)]])</f>
        <v/>
      </c>
      <c r="K112" s="217" t="str">
        <f>IF(Backlog[[#This Row],[Fecha Real de Cierre]]="","",Backlog[[#This Row],[Fecha Real de Cierre]])</f>
        <v/>
      </c>
      <c r="L112" s="353">
        <f>Backlog[[#This Row],[Estimación Desarrollo]]</f>
        <v>0</v>
      </c>
      <c r="M112" s="353">
        <f>Backlog[[#This Row],[QA/UAT]]</f>
        <v>0</v>
      </c>
      <c r="N112" s="248"/>
      <c r="O112" s="248"/>
      <c r="P112" s="248"/>
      <c r="Q112" s="248"/>
    </row>
    <row r="113" spans="1:17" ht="15.75" hidden="1" customHeight="1">
      <c r="A113" s="309" t="e">
        <f>#REF!</f>
        <v>#REF!</v>
      </c>
      <c r="B113" s="234" t="str">
        <f>Backlog[[#This Row],[Clave del caso]]</f>
        <v>MAN-670 SF15939</v>
      </c>
      <c r="C113" s="195" t="e">
        <f>#REF!</f>
        <v>#REF!</v>
      </c>
      <c r="D113" s="234" t="str">
        <f>Backlog[[#This Row],[Cliente que solicita]]</f>
        <v>Corrientes</v>
      </c>
      <c r="E113" s="234" t="str">
        <f>Backlog[[#This Row],[Componente]]</f>
        <v>Gamma</v>
      </c>
      <c r="F113" s="234" t="str">
        <f>Backlog[[#This Row],[Area responsable de traccionar]]</f>
        <v>SAC</v>
      </c>
      <c r="G113" s="234">
        <f>Backlog[[#This Row],[OP]]</f>
        <v>0</v>
      </c>
      <c r="H113" s="234" t="str">
        <f>Backlog[[#This Row],[Estado]]</f>
        <v>A priorizar</v>
      </c>
      <c r="I113" s="316" t="str">
        <f>IF(Backlog[[#This Row],[Fecha Requerida en Producción]]="","",Backlog[[#This Row],[Fecha Requerida en Producción]])</f>
        <v/>
      </c>
      <c r="J113" s="316" t="str">
        <f>IF(Backlog[[#This Row],[Fecha comprometida (para UAT)]]="","",Backlog[[#This Row],[Fecha comprometida (para UAT)]])</f>
        <v/>
      </c>
      <c r="K113" s="217" t="str">
        <f>IF(Backlog[[#This Row],[Fecha Real de Cierre]]="","",Backlog[[#This Row],[Fecha Real de Cierre]])</f>
        <v/>
      </c>
      <c r="L113" s="353">
        <f>Backlog[[#This Row],[Estimación Desarrollo]]</f>
        <v>0</v>
      </c>
      <c r="M113" s="353">
        <f>Backlog[[#This Row],[QA/UAT]]</f>
        <v>0</v>
      </c>
      <c r="N113" s="248"/>
      <c r="O113" s="248"/>
      <c r="P113" s="248"/>
      <c r="Q113" s="248"/>
    </row>
    <row r="114" spans="1:17" ht="15.75" hidden="1" customHeight="1">
      <c r="A114" s="309" t="e">
        <f>#REF!</f>
        <v>#REF!</v>
      </c>
      <c r="B114" s="234">
        <f>Backlog[[#This Row],[Clave del caso]]</f>
        <v>10453</v>
      </c>
      <c r="C114" s="195" t="e">
        <f>#REF!</f>
        <v>#REF!</v>
      </c>
      <c r="D114" s="234" t="str">
        <f>Backlog[[#This Row],[Cliente que solicita]]</f>
        <v>Salta</v>
      </c>
      <c r="E114" s="234" t="str">
        <f>Backlog[[#This Row],[Componente]]</f>
        <v>Abaco</v>
      </c>
      <c r="F114" s="234" t="str">
        <f>Backlog[[#This Row],[Area responsable de traccionar]]</f>
        <v>SAC</v>
      </c>
      <c r="G114" s="234">
        <f>Backlog[[#This Row],[OP]]</f>
        <v>0</v>
      </c>
      <c r="H114" s="234" t="str">
        <f>Backlog[[#This Row],[Estado]]</f>
        <v>A priorizar</v>
      </c>
      <c r="I114" s="316" t="str">
        <f>IF(Backlog[[#This Row],[Fecha Requerida en Producción]]="","",Backlog[[#This Row],[Fecha Requerida en Producción]])</f>
        <v/>
      </c>
      <c r="J114" s="316" t="str">
        <f>IF(Backlog[[#This Row],[Fecha comprometida (para UAT)]]="","",Backlog[[#This Row],[Fecha comprometida (para UAT)]])</f>
        <v/>
      </c>
      <c r="K114" s="217" t="str">
        <f>IF(Backlog[[#This Row],[Fecha Real de Cierre]]="","",Backlog[[#This Row],[Fecha Real de Cierre]])</f>
        <v/>
      </c>
      <c r="L114" s="353">
        <f>Backlog[[#This Row],[Estimación Desarrollo]]</f>
        <v>4</v>
      </c>
      <c r="M114" s="353" t="str">
        <f>Backlog[[#This Row],[QA/UAT]]</f>
        <v>Marcos</v>
      </c>
      <c r="N114" s="248"/>
      <c r="O114" s="248"/>
      <c r="P114" s="248"/>
      <c r="Q114" s="248"/>
    </row>
    <row r="115" spans="1:17" ht="15.75" hidden="1" customHeight="1">
      <c r="A115" s="309" t="e">
        <f>#REF!</f>
        <v>#REF!</v>
      </c>
      <c r="B115" s="234" t="str">
        <f>Backlog[[#This Row],[Clave del caso]]</f>
        <v>MAN-121</v>
      </c>
      <c r="C115" s="195" t="e">
        <f>#REF!</f>
        <v>#REF!</v>
      </c>
      <c r="D115" s="234" t="str">
        <f>Backlog[[#This Row],[Cliente que solicita]]</f>
        <v>Salta</v>
      </c>
      <c r="E115" s="234" t="str">
        <f>Backlog[[#This Row],[Componente]]</f>
        <v>Gamma</v>
      </c>
      <c r="F115" s="234" t="str">
        <f>Backlog[[#This Row],[Area responsable de traccionar]]</f>
        <v>SAC</v>
      </c>
      <c r="G115" s="234">
        <f>Backlog[[#This Row],[OP]]</f>
        <v>4</v>
      </c>
      <c r="H115" s="234" t="str">
        <f>Backlog[[#This Row],[Estado]]</f>
        <v>A priorizar</v>
      </c>
      <c r="I115" s="316" t="str">
        <f>IF(Backlog[[#This Row],[Fecha Requerida en Producción]]="","",Backlog[[#This Row],[Fecha Requerida en Producción]])</f>
        <v/>
      </c>
      <c r="J115" s="316" t="str">
        <f>IF(Backlog[[#This Row],[Fecha comprometida (para UAT)]]="","",Backlog[[#This Row],[Fecha comprometida (para UAT)]])</f>
        <v>MARZO</v>
      </c>
      <c r="K115" s="217" t="str">
        <f>IF(Backlog[[#This Row],[Fecha Real de Cierre]]="","",Backlog[[#This Row],[Fecha Real de Cierre]])</f>
        <v/>
      </c>
      <c r="L115" s="353">
        <f>Backlog[[#This Row],[Estimación Desarrollo]]</f>
        <v>24</v>
      </c>
      <c r="M115" s="353" t="str">
        <f>Backlog[[#This Row],[QA/UAT]]</f>
        <v>Jimena</v>
      </c>
      <c r="N115" s="248"/>
      <c r="O115" s="248"/>
      <c r="P115" s="248"/>
      <c r="Q115" s="248"/>
    </row>
    <row r="116" spans="1:17" ht="15.75" hidden="1" customHeight="1">
      <c r="A116" s="309" t="e">
        <f>#REF!</f>
        <v>#REF!</v>
      </c>
      <c r="B116" s="234" t="str">
        <f>Backlog[[#This Row],[Clave del caso]]</f>
        <v>MAN-128</v>
      </c>
      <c r="C116" s="195" t="e">
        <f>#REF!</f>
        <v>#REF!</v>
      </c>
      <c r="D116" s="234" t="str">
        <f>Backlog[[#This Row],[Cliente que solicita]]</f>
        <v>Salta</v>
      </c>
      <c r="E116" s="234" t="str">
        <f>Backlog[[#This Row],[Componente]]</f>
        <v>Gamma</v>
      </c>
      <c r="F116" s="234" t="str">
        <f>Backlog[[#This Row],[Area responsable de traccionar]]</f>
        <v>SAC</v>
      </c>
      <c r="G116" s="234">
        <f>Backlog[[#This Row],[OP]]</f>
        <v>6</v>
      </c>
      <c r="H116" s="234" t="str">
        <f>Backlog[[#This Row],[Estado]]</f>
        <v>A priorizar</v>
      </c>
      <c r="I116" s="316" t="str">
        <f>IF(Backlog[[#This Row],[Fecha Requerida en Producción]]="","",Backlog[[#This Row],[Fecha Requerida en Producción]])</f>
        <v/>
      </c>
      <c r="J116" s="316" t="str">
        <f>IF(Backlog[[#This Row],[Fecha comprometida (para UAT)]]="","",Backlog[[#This Row],[Fecha comprometida (para UAT)]])</f>
        <v>MARZO</v>
      </c>
      <c r="K116" s="217" t="str">
        <f>IF(Backlog[[#This Row],[Fecha Real de Cierre]]="","",Backlog[[#This Row],[Fecha Real de Cierre]])</f>
        <v/>
      </c>
      <c r="L116" s="353">
        <f>Backlog[[#This Row],[Estimación Desarrollo]]</f>
        <v>8</v>
      </c>
      <c r="M116" s="353" t="str">
        <f>Backlog[[#This Row],[QA/UAT]]</f>
        <v>Tejerina</v>
      </c>
      <c r="N116" s="248"/>
      <c r="O116" s="248"/>
      <c r="P116" s="248"/>
      <c r="Q116" s="248"/>
    </row>
    <row r="117" spans="1:17" ht="15.75" hidden="1" customHeight="1">
      <c r="A117" s="309" t="e">
        <f>#REF!</f>
        <v>#REF!</v>
      </c>
      <c r="B117" s="234" t="str">
        <f>Backlog[[#This Row],[Clave del caso]]</f>
        <v>MAN-127</v>
      </c>
      <c r="C117" s="195" t="e">
        <f>#REF!</f>
        <v>#REF!</v>
      </c>
      <c r="D117" s="234" t="str">
        <f>Backlog[[#This Row],[Cliente que solicita]]</f>
        <v>Salta</v>
      </c>
      <c r="E117" s="234" t="str">
        <f>Backlog[[#This Row],[Componente]]</f>
        <v>Gamma</v>
      </c>
      <c r="F117" s="234" t="str">
        <f>Backlog[[#This Row],[Area responsable de traccionar]]</f>
        <v>SAC</v>
      </c>
      <c r="G117" s="234">
        <f>Backlog[[#This Row],[OP]]</f>
        <v>0</v>
      </c>
      <c r="H117" s="234" t="str">
        <f>Backlog[[#This Row],[Estado]]</f>
        <v>A priorizar</v>
      </c>
      <c r="I117" s="316" t="str">
        <f>IF(Backlog[[#This Row],[Fecha Requerida en Producción]]="","",Backlog[[#This Row],[Fecha Requerida en Producción]])</f>
        <v/>
      </c>
      <c r="J117" s="316" t="str">
        <f>IF(Backlog[[#This Row],[Fecha comprometida (para UAT)]]="","",Backlog[[#This Row],[Fecha comprometida (para UAT)]])</f>
        <v/>
      </c>
      <c r="K117" s="217" t="str">
        <f>IF(Backlog[[#This Row],[Fecha Real de Cierre]]="","",Backlog[[#This Row],[Fecha Real de Cierre]])</f>
        <v/>
      </c>
      <c r="L117" s="353">
        <f>Backlog[[#This Row],[Estimación Desarrollo]]</f>
        <v>80</v>
      </c>
      <c r="M117" s="353" t="str">
        <f>Backlog[[#This Row],[QA/UAT]]</f>
        <v>Alejandro</v>
      </c>
      <c r="N117" s="248"/>
      <c r="O117" s="248"/>
      <c r="P117" s="248"/>
      <c r="Q117" s="248"/>
    </row>
    <row r="118" spans="1:17" ht="15.75" hidden="1" customHeight="1">
      <c r="A118" s="309" t="e">
        <f>#REF!</f>
        <v>#REF!</v>
      </c>
      <c r="B118" s="234" t="str">
        <f>Backlog[[#This Row],[Clave del caso]]</f>
        <v>MAN-130</v>
      </c>
      <c r="C118" s="195" t="e">
        <f>#REF!</f>
        <v>#REF!</v>
      </c>
      <c r="D118" s="234" t="str">
        <f>Backlog[[#This Row],[Cliente que solicita]]</f>
        <v>Salta</v>
      </c>
      <c r="E118" s="234" t="str">
        <f>Backlog[[#This Row],[Componente]]</f>
        <v>Abaco</v>
      </c>
      <c r="F118" s="234" t="str">
        <f>Backlog[[#This Row],[Area responsable de traccionar]]</f>
        <v>SAC</v>
      </c>
      <c r="G118" s="234">
        <f>Backlog[[#This Row],[OP]]</f>
        <v>0</v>
      </c>
      <c r="H118" s="234" t="str">
        <f>Backlog[[#This Row],[Estado]]</f>
        <v>A priorizar</v>
      </c>
      <c r="I118" s="316" t="str">
        <f>IF(Backlog[[#This Row],[Fecha Requerida en Producción]]="","",Backlog[[#This Row],[Fecha Requerida en Producción]])</f>
        <v/>
      </c>
      <c r="J118" s="316" t="str">
        <f>IF(Backlog[[#This Row],[Fecha comprometida (para UAT)]]="","",Backlog[[#This Row],[Fecha comprometida (para UAT)]])</f>
        <v/>
      </c>
      <c r="K118" s="217" t="str">
        <f>IF(Backlog[[#This Row],[Fecha Real de Cierre]]="","",Backlog[[#This Row],[Fecha Real de Cierre]])</f>
        <v/>
      </c>
      <c r="L118" s="353">
        <f>Backlog[[#This Row],[Estimación Desarrollo]]</f>
        <v>8</v>
      </c>
      <c r="M118" s="353">
        <f>Backlog[[#This Row],[QA/UAT]]</f>
        <v>0</v>
      </c>
      <c r="N118" s="248"/>
      <c r="O118" s="248"/>
      <c r="P118" s="248"/>
      <c r="Q118" s="248"/>
    </row>
    <row r="119" spans="1:17" ht="15.75" hidden="1" customHeight="1">
      <c r="A119" s="309" t="e">
        <f>#REF!</f>
        <v>#REF!</v>
      </c>
      <c r="B119" s="234" t="str">
        <f>Backlog[[#This Row],[Clave del caso]]</f>
        <v>MAN-131</v>
      </c>
      <c r="C119" s="195" t="e">
        <f>#REF!</f>
        <v>#REF!</v>
      </c>
      <c r="D119" s="234" t="str">
        <f>Backlog[[#This Row],[Cliente que solicita]]</f>
        <v>Salta</v>
      </c>
      <c r="E119" s="234" t="str">
        <f>Backlog[[#This Row],[Componente]]</f>
        <v>Abaco</v>
      </c>
      <c r="F119" s="234" t="str">
        <f>Backlog[[#This Row],[Area responsable de traccionar]]</f>
        <v>SAC</v>
      </c>
      <c r="G119" s="234">
        <f>Backlog[[#This Row],[OP]]</f>
        <v>0</v>
      </c>
      <c r="H119" s="234" t="str">
        <f>Backlog[[#This Row],[Estado]]</f>
        <v>A priorizar</v>
      </c>
      <c r="I119" s="316" t="str">
        <f>IF(Backlog[[#This Row],[Fecha Requerida en Producción]]="","",Backlog[[#This Row],[Fecha Requerida en Producción]])</f>
        <v/>
      </c>
      <c r="J119" s="316" t="str">
        <f>IF(Backlog[[#This Row],[Fecha comprometida (para UAT)]]="","",Backlog[[#This Row],[Fecha comprometida (para UAT)]])</f>
        <v>MARZO</v>
      </c>
      <c r="K119" s="217" t="str">
        <f>IF(Backlog[[#This Row],[Fecha Real de Cierre]]="","",Backlog[[#This Row],[Fecha Real de Cierre]])</f>
        <v/>
      </c>
      <c r="L119" s="353">
        <f>Backlog[[#This Row],[Estimación Desarrollo]]</f>
        <v>8</v>
      </c>
      <c r="M119" s="353" t="str">
        <f>Backlog[[#This Row],[QA/UAT]]</f>
        <v>Paolo</v>
      </c>
      <c r="N119" s="248"/>
      <c r="O119" s="248"/>
      <c r="P119" s="248"/>
      <c r="Q119" s="248"/>
    </row>
    <row r="120" spans="1:17" ht="15.75" hidden="1" customHeight="1">
      <c r="A120" s="309" t="e">
        <f>#REF!</f>
        <v>#REF!</v>
      </c>
      <c r="B120" s="234" t="str">
        <f>Backlog[[#This Row],[Clave del caso]]</f>
        <v>MAN-132</v>
      </c>
      <c r="C120" s="195" t="e">
        <f>#REF!</f>
        <v>#REF!</v>
      </c>
      <c r="D120" s="234" t="str">
        <f>Backlog[[#This Row],[Cliente que solicita]]</f>
        <v>Salta</v>
      </c>
      <c r="E120" s="234" t="str">
        <f>Backlog[[#This Row],[Componente]]</f>
        <v>Abaco</v>
      </c>
      <c r="F120" s="234" t="str">
        <f>Backlog[[#This Row],[Area responsable de traccionar]]</f>
        <v>SAC</v>
      </c>
      <c r="G120" s="234">
        <f>Backlog[[#This Row],[OP]]</f>
        <v>0</v>
      </c>
      <c r="H120" s="234" t="str">
        <f>Backlog[[#This Row],[Estado]]</f>
        <v>A priorizar</v>
      </c>
      <c r="I120" s="316" t="str">
        <f>IF(Backlog[[#This Row],[Fecha Requerida en Producción]]="","",Backlog[[#This Row],[Fecha Requerida en Producción]])</f>
        <v/>
      </c>
      <c r="J120" s="316" t="str">
        <f>IF(Backlog[[#This Row],[Fecha comprometida (para UAT)]]="","",Backlog[[#This Row],[Fecha comprometida (para UAT)]])</f>
        <v/>
      </c>
      <c r="K120" s="217" t="str">
        <f>IF(Backlog[[#This Row],[Fecha Real de Cierre]]="","",Backlog[[#This Row],[Fecha Real de Cierre]])</f>
        <v/>
      </c>
      <c r="L120" s="353">
        <f>Backlog[[#This Row],[Estimación Desarrollo]]</f>
        <v>8</v>
      </c>
      <c r="M120" s="353">
        <f>Backlog[[#This Row],[QA/UAT]]</f>
        <v>0</v>
      </c>
      <c r="N120" s="248"/>
      <c r="O120" s="248"/>
      <c r="P120" s="248"/>
      <c r="Q120" s="248"/>
    </row>
    <row r="121" spans="1:17" ht="15.75" hidden="1" customHeight="1">
      <c r="A121" s="309" t="e">
        <f>#REF!</f>
        <v>#REF!</v>
      </c>
      <c r="B121" s="234" t="str">
        <f>Backlog[[#This Row],[Clave del caso]]</f>
        <v>MAN-136</v>
      </c>
      <c r="C121" s="195" t="e">
        <f>#REF!</f>
        <v>#REF!</v>
      </c>
      <c r="D121" s="234" t="str">
        <f>Backlog[[#This Row],[Cliente que solicita]]</f>
        <v>Salta</v>
      </c>
      <c r="E121" s="234" t="str">
        <f>Backlog[[#This Row],[Componente]]</f>
        <v>Abaco</v>
      </c>
      <c r="F121" s="234" t="str">
        <f>Backlog[[#This Row],[Area responsable de traccionar]]</f>
        <v>SAC</v>
      </c>
      <c r="G121" s="234">
        <f>Backlog[[#This Row],[OP]]</f>
        <v>0</v>
      </c>
      <c r="H121" s="234" t="str">
        <f>Backlog[[#This Row],[Estado]]</f>
        <v>A priorizar</v>
      </c>
      <c r="I121" s="316" t="str">
        <f>IF(Backlog[[#This Row],[Fecha Requerida en Producción]]="","",Backlog[[#This Row],[Fecha Requerida en Producción]])</f>
        <v/>
      </c>
      <c r="J121" s="316" t="str">
        <f>IF(Backlog[[#This Row],[Fecha comprometida (para UAT)]]="","",Backlog[[#This Row],[Fecha comprometida (para UAT)]])</f>
        <v/>
      </c>
      <c r="K121" s="217" t="str">
        <f>IF(Backlog[[#This Row],[Fecha Real de Cierre]]="","",Backlog[[#This Row],[Fecha Real de Cierre]])</f>
        <v/>
      </c>
      <c r="L121" s="353">
        <f>Backlog[[#This Row],[Estimación Desarrollo]]</f>
        <v>40</v>
      </c>
      <c r="M121" s="353">
        <f>Backlog[[#This Row],[QA/UAT]]</f>
        <v>0</v>
      </c>
      <c r="N121" s="248"/>
      <c r="O121" s="248"/>
      <c r="P121" s="248"/>
      <c r="Q121" s="248"/>
    </row>
    <row r="122" spans="1:17" ht="15.75" hidden="1" customHeight="1">
      <c r="A122" s="309" t="e">
        <f>#REF!</f>
        <v>#REF!</v>
      </c>
      <c r="B122" s="234" t="str">
        <f>Backlog[[#This Row],[Clave del caso]]</f>
        <v>MAN-313</v>
      </c>
      <c r="C122" s="195" t="e">
        <f>#REF!</f>
        <v>#REF!</v>
      </c>
      <c r="D122" s="234" t="str">
        <f>Backlog[[#This Row],[Cliente que solicita]]</f>
        <v>Salta</v>
      </c>
      <c r="E122" s="234" t="str">
        <f>Backlog[[#This Row],[Componente]]</f>
        <v>Abaco</v>
      </c>
      <c r="F122" s="234" t="str">
        <f>Backlog[[#This Row],[Area responsable de traccionar]]</f>
        <v>SAC</v>
      </c>
      <c r="G122" s="234">
        <f>Backlog[[#This Row],[OP]]</f>
        <v>0</v>
      </c>
      <c r="H122" s="234" t="str">
        <f>Backlog[[#This Row],[Estado]]</f>
        <v>A priorizar</v>
      </c>
      <c r="I122" s="316" t="str">
        <f>IF(Backlog[[#This Row],[Fecha Requerida en Producción]]="","",Backlog[[#This Row],[Fecha Requerida en Producción]])</f>
        <v/>
      </c>
      <c r="J122" s="316" t="str">
        <f>IF(Backlog[[#This Row],[Fecha comprometida (para UAT)]]="","",Backlog[[#This Row],[Fecha comprometida (para UAT)]])</f>
        <v/>
      </c>
      <c r="K122" s="217" t="str">
        <f>IF(Backlog[[#This Row],[Fecha Real de Cierre]]="","",Backlog[[#This Row],[Fecha Real de Cierre]])</f>
        <v/>
      </c>
      <c r="L122" s="353">
        <f>Backlog[[#This Row],[Estimación Desarrollo]]</f>
        <v>0</v>
      </c>
      <c r="M122" s="353">
        <f>Backlog[[#This Row],[QA/UAT]]</f>
        <v>0</v>
      </c>
      <c r="N122" s="248"/>
      <c r="O122" s="248"/>
      <c r="P122" s="248"/>
      <c r="Q122" s="248"/>
    </row>
    <row r="123" spans="1:17" ht="15.75" hidden="1" customHeight="1">
      <c r="A123" s="309" t="e">
        <f>#REF!</f>
        <v>#REF!</v>
      </c>
      <c r="B123" s="234" t="str">
        <f>Backlog[[#This Row],[Clave del caso]]</f>
        <v>MAN-395 6685</v>
      </c>
      <c r="C123" s="195" t="e">
        <f>#REF!</f>
        <v>#REF!</v>
      </c>
      <c r="D123" s="234" t="str">
        <f>Backlog[[#This Row],[Cliente que solicita]]</f>
        <v>Jujuy</v>
      </c>
      <c r="E123" s="234" t="str">
        <f>Backlog[[#This Row],[Componente]]</f>
        <v>Gamma</v>
      </c>
      <c r="F123" s="234" t="str">
        <f>Backlog[[#This Row],[Area responsable de traccionar]]</f>
        <v>SAC</v>
      </c>
      <c r="G123" s="234">
        <f>Backlog[[#This Row],[OP]]</f>
        <v>0</v>
      </c>
      <c r="H123" s="234" t="str">
        <f>Backlog[[#This Row],[Estado]]</f>
        <v>A priorizar</v>
      </c>
      <c r="I123" s="316" t="str">
        <f>IF(Backlog[[#This Row],[Fecha Requerida en Producción]]="","",Backlog[[#This Row],[Fecha Requerida en Producción]])</f>
        <v/>
      </c>
      <c r="J123" s="316" t="str">
        <f>IF(Backlog[[#This Row],[Fecha comprometida (para UAT)]]="","",Backlog[[#This Row],[Fecha comprometida (para UAT)]])</f>
        <v/>
      </c>
      <c r="K123" s="217" t="str">
        <f>IF(Backlog[[#This Row],[Fecha Real de Cierre]]="","",Backlog[[#This Row],[Fecha Real de Cierre]])</f>
        <v/>
      </c>
      <c r="L123" s="353">
        <f>Backlog[[#This Row],[Estimación Desarrollo]]</f>
        <v>8</v>
      </c>
      <c r="M123" s="353">
        <f>Backlog[[#This Row],[QA/UAT]]</f>
        <v>0</v>
      </c>
      <c r="N123" s="248"/>
      <c r="O123" s="248"/>
      <c r="P123" s="248"/>
      <c r="Q123" s="248"/>
    </row>
    <row r="124" spans="1:17" ht="15.75" hidden="1" customHeight="1">
      <c r="A124" s="309" t="e">
        <f>#REF!</f>
        <v>#REF!</v>
      </c>
      <c r="B124" s="234" t="str">
        <f>Backlog[[#This Row],[Clave del caso]]</f>
        <v>MAN-508</v>
      </c>
      <c r="C124" s="195" t="e">
        <f>#REF!</f>
        <v>#REF!</v>
      </c>
      <c r="D124" s="234" t="str">
        <f>Backlog[[#This Row],[Cliente que solicita]]</f>
        <v>Jujuy</v>
      </c>
      <c r="E124" s="234" t="str">
        <f>Backlog[[#This Row],[Componente]]</f>
        <v>Gamma</v>
      </c>
      <c r="F124" s="234" t="str">
        <f>Backlog[[#This Row],[Area responsable de traccionar]]</f>
        <v>SAC</v>
      </c>
      <c r="G124" s="234">
        <f>Backlog[[#This Row],[OP]]</f>
        <v>0</v>
      </c>
      <c r="H124" s="234" t="str">
        <f>Backlog[[#This Row],[Estado]]</f>
        <v>A priorizar</v>
      </c>
      <c r="I124" s="316" t="str">
        <f>IF(Backlog[[#This Row],[Fecha Requerida en Producción]]="","",Backlog[[#This Row],[Fecha Requerida en Producción]])</f>
        <v/>
      </c>
      <c r="J124" s="316" t="str">
        <f>IF(Backlog[[#This Row],[Fecha comprometida (para UAT)]]="","",Backlog[[#This Row],[Fecha comprometida (para UAT)]])</f>
        <v>MARZO</v>
      </c>
      <c r="K124" s="217" t="str">
        <f>IF(Backlog[[#This Row],[Fecha Real de Cierre]]="","",Backlog[[#This Row],[Fecha Real de Cierre]])</f>
        <v/>
      </c>
      <c r="L124" s="353">
        <f>Backlog[[#This Row],[Estimación Desarrollo]]</f>
        <v>24</v>
      </c>
      <c r="M124" s="353">
        <f>Backlog[[#This Row],[QA/UAT]]</f>
        <v>0</v>
      </c>
      <c r="N124" s="248"/>
      <c r="O124" s="248"/>
      <c r="P124" s="248"/>
      <c r="Q124" s="248"/>
    </row>
    <row r="125" spans="1:17" ht="15.75" hidden="1" customHeight="1">
      <c r="A125" s="309" t="e">
        <f>#REF!</f>
        <v>#REF!</v>
      </c>
      <c r="B125" s="234" t="str">
        <f>Backlog[[#This Row],[Clave del caso]]</f>
        <v xml:space="preserve">MAN-542                     GAMMA - 000507
</v>
      </c>
      <c r="C125" s="195" t="e">
        <f>#REF!</f>
        <v>#REF!</v>
      </c>
      <c r="D125" s="234" t="str">
        <f>Backlog[[#This Row],[Cliente que solicita]]</f>
        <v>Jujuy</v>
      </c>
      <c r="E125" s="234" t="str">
        <f>Backlog[[#This Row],[Componente]]</f>
        <v>Gamma</v>
      </c>
      <c r="F125" s="234" t="str">
        <f>Backlog[[#This Row],[Area responsable de traccionar]]</f>
        <v>SAC</v>
      </c>
      <c r="G125" s="234">
        <f>Backlog[[#This Row],[OP]]</f>
        <v>0</v>
      </c>
      <c r="H125" s="234" t="str">
        <f>Backlog[[#This Row],[Estado]]</f>
        <v>A priorizar</v>
      </c>
      <c r="I125" s="316" t="str">
        <f>IF(Backlog[[#This Row],[Fecha Requerida en Producción]]="","",Backlog[[#This Row],[Fecha Requerida en Producción]])</f>
        <v/>
      </c>
      <c r="J125" s="316" t="str">
        <f>IF(Backlog[[#This Row],[Fecha comprometida (para UAT)]]="","",Backlog[[#This Row],[Fecha comprometida (para UAT)]])</f>
        <v/>
      </c>
      <c r="K125" s="217" t="str">
        <f>IF(Backlog[[#This Row],[Fecha Real de Cierre]]="","",Backlog[[#This Row],[Fecha Real de Cierre]])</f>
        <v/>
      </c>
      <c r="L125" s="353">
        <f>Backlog[[#This Row],[Estimación Desarrollo]]</f>
        <v>0</v>
      </c>
      <c r="M125" s="353">
        <f>Backlog[[#This Row],[QA/UAT]]</f>
        <v>0</v>
      </c>
      <c r="N125" s="248"/>
      <c r="O125" s="248"/>
      <c r="P125" s="248"/>
      <c r="Q125" s="248"/>
    </row>
    <row r="126" spans="1:17" ht="15.75" hidden="1" customHeight="1">
      <c r="A126" s="309" t="e">
        <f>#REF!</f>
        <v>#REF!</v>
      </c>
      <c r="B126" s="234" t="str">
        <f>Backlog[[#This Row],[Clave del caso]]</f>
        <v xml:space="preserve">MAN-546        MAN - 000510
</v>
      </c>
      <c r="C126" s="195" t="e">
        <f>#REF!</f>
        <v>#REF!</v>
      </c>
      <c r="D126" s="234" t="str">
        <f>Backlog[[#This Row],[Cliente que solicita]]</f>
        <v>Jujuy</v>
      </c>
      <c r="E126" s="234" t="str">
        <f>Backlog[[#This Row],[Componente]]</f>
        <v>Gamma</v>
      </c>
      <c r="F126" s="234" t="str">
        <f>Backlog[[#This Row],[Area responsable de traccionar]]</f>
        <v>SAC</v>
      </c>
      <c r="G126" s="234">
        <f>Backlog[[#This Row],[OP]]</f>
        <v>0</v>
      </c>
      <c r="H126" s="234" t="str">
        <f>Backlog[[#This Row],[Estado]]</f>
        <v>A priorizar</v>
      </c>
      <c r="I126" s="316" t="str">
        <f>IF(Backlog[[#This Row],[Fecha Requerida en Producción]]="","",Backlog[[#This Row],[Fecha Requerida en Producción]])</f>
        <v/>
      </c>
      <c r="J126" s="316" t="str">
        <f>IF(Backlog[[#This Row],[Fecha comprometida (para UAT)]]="","",Backlog[[#This Row],[Fecha comprometida (para UAT)]])</f>
        <v/>
      </c>
      <c r="K126" s="217" t="str">
        <f>IF(Backlog[[#This Row],[Fecha Real de Cierre]]="","",Backlog[[#This Row],[Fecha Real de Cierre]])</f>
        <v/>
      </c>
      <c r="L126" s="353">
        <f>Backlog[[#This Row],[Estimación Desarrollo]]</f>
        <v>0</v>
      </c>
      <c r="M126" s="353">
        <f>Backlog[[#This Row],[QA/UAT]]</f>
        <v>0</v>
      </c>
      <c r="N126" s="248"/>
      <c r="O126" s="248"/>
      <c r="P126" s="248"/>
      <c r="Q126" s="248"/>
    </row>
    <row r="127" spans="1:17" ht="15.75" hidden="1" customHeight="1">
      <c r="A127" s="309" t="e">
        <f>#REF!</f>
        <v>#REF!</v>
      </c>
      <c r="B127" s="234" t="str">
        <f>Backlog[[#This Row],[Clave del caso]]</f>
        <v>MAN-562</v>
      </c>
      <c r="C127" s="195" t="e">
        <f>#REF!</f>
        <v>#REF!</v>
      </c>
      <c r="D127" s="234" t="str">
        <f>Backlog[[#This Row],[Cliente que solicita]]</f>
        <v>La Rioja</v>
      </c>
      <c r="E127" s="234" t="str">
        <f>Backlog[[#This Row],[Componente]]</f>
        <v>GAMMA</v>
      </c>
      <c r="F127" s="234" t="str">
        <f>Backlog[[#This Row],[Area responsable de traccionar]]</f>
        <v>SAC</v>
      </c>
      <c r="G127" s="234">
        <f>Backlog[[#This Row],[OP]]</f>
        <v>0</v>
      </c>
      <c r="H127" s="234" t="str">
        <f>Backlog[[#This Row],[Estado]]</f>
        <v>A priorizar</v>
      </c>
      <c r="I127" s="316" t="str">
        <f>IF(Backlog[[#This Row],[Fecha Requerida en Producción]]="","",Backlog[[#This Row],[Fecha Requerida en Producción]])</f>
        <v/>
      </c>
      <c r="J127" s="316">
        <f>IF(Backlog[[#This Row],[Fecha comprometida (para UAT)]]="","",Backlog[[#This Row],[Fecha comprometida (para UAT)]])</f>
        <v>45975</v>
      </c>
      <c r="K127" s="217" t="str">
        <f>IF(Backlog[[#This Row],[Fecha Real de Cierre]]="","",Backlog[[#This Row],[Fecha Real de Cierre]])</f>
        <v/>
      </c>
      <c r="L127" s="353">
        <f>Backlog[[#This Row],[Estimación Desarrollo]]</f>
        <v>8</v>
      </c>
      <c r="M127" s="353" t="str">
        <f>Backlog[[#This Row],[QA/UAT]]</f>
        <v>Marcos</v>
      </c>
      <c r="N127" s="248"/>
      <c r="O127" s="248"/>
      <c r="P127" s="248"/>
      <c r="Q127" s="248"/>
    </row>
    <row r="128" spans="1:17" ht="15.75" hidden="1" customHeight="1">
      <c r="A128" s="309" t="e">
        <f>#REF!</f>
        <v>#REF!</v>
      </c>
      <c r="B128" s="234" t="str">
        <f>Backlog[[#This Row],[Clave del caso]]</f>
        <v xml:space="preserve">MAN-573 </v>
      </c>
      <c r="C128" s="195" t="e">
        <f>#REF!</f>
        <v>#REF!</v>
      </c>
      <c r="D128" s="234" t="str">
        <f>Backlog[[#This Row],[Cliente que solicita]]</f>
        <v xml:space="preserve">Salta </v>
      </c>
      <c r="E128" s="234" t="str">
        <f>Backlog[[#This Row],[Componente]]</f>
        <v>Gamma</v>
      </c>
      <c r="F128" s="234" t="str">
        <f>Backlog[[#This Row],[Area responsable de traccionar]]</f>
        <v>SAC</v>
      </c>
      <c r="G128" s="234">
        <f>Backlog[[#This Row],[OP]]</f>
        <v>2</v>
      </c>
      <c r="H128" s="234" t="str">
        <f>Backlog[[#This Row],[Estado]]</f>
        <v>A priorizar</v>
      </c>
      <c r="I128" s="316" t="str">
        <f>IF(Backlog[[#This Row],[Fecha Requerida en Producción]]="","",Backlog[[#This Row],[Fecha Requerida en Producción]])</f>
        <v/>
      </c>
      <c r="J128" s="316" t="str">
        <f>IF(Backlog[[#This Row],[Fecha comprometida (para UAT)]]="","",Backlog[[#This Row],[Fecha comprometida (para UAT)]])</f>
        <v>MARZO</v>
      </c>
      <c r="K128" s="217" t="str">
        <f>IF(Backlog[[#This Row],[Fecha Real de Cierre]]="","",Backlog[[#This Row],[Fecha Real de Cierre]])</f>
        <v/>
      </c>
      <c r="L128" s="353">
        <f>Backlog[[#This Row],[Estimación Desarrollo]]</f>
        <v>100</v>
      </c>
      <c r="M128" s="353" t="str">
        <f>Backlog[[#This Row],[QA/UAT]]</f>
        <v>Tejerina</v>
      </c>
      <c r="N128" s="248"/>
      <c r="O128" s="248"/>
      <c r="P128" s="248"/>
      <c r="Q128" s="248"/>
    </row>
    <row r="129" spans="1:17" ht="15.75" hidden="1" customHeight="1">
      <c r="A129" s="309" t="e">
        <f>#REF!</f>
        <v>#REF!</v>
      </c>
      <c r="B129" s="234" t="str">
        <f>Backlog[[#This Row],[Clave del caso]]</f>
        <v>MAN-576</v>
      </c>
      <c r="C129" s="195" t="e">
        <f>#REF!</f>
        <v>#REF!</v>
      </c>
      <c r="D129" s="234" t="str">
        <f>Backlog[[#This Row],[Cliente que solicita]]</f>
        <v>La Rioja</v>
      </c>
      <c r="E129" s="234" t="str">
        <f>Backlog[[#This Row],[Componente]]</f>
        <v>NOA</v>
      </c>
      <c r="F129" s="234" t="str">
        <f>Backlog[[#This Row],[Area responsable de traccionar]]</f>
        <v>SAC</v>
      </c>
      <c r="G129" s="234">
        <f>Backlog[[#This Row],[OP]]</f>
        <v>0</v>
      </c>
      <c r="H129" s="234" t="str">
        <f>Backlog[[#This Row],[Estado]]</f>
        <v>A priorizar</v>
      </c>
      <c r="I129" s="316" t="str">
        <f>IF(Backlog[[#This Row],[Fecha Requerida en Producción]]="","",Backlog[[#This Row],[Fecha Requerida en Producción]])</f>
        <v/>
      </c>
      <c r="J129" s="316" t="str">
        <f>IF(Backlog[[#This Row],[Fecha comprometida (para UAT)]]="","",Backlog[[#This Row],[Fecha comprometida (para UAT)]])</f>
        <v/>
      </c>
      <c r="K129" s="217" t="str">
        <f>IF(Backlog[[#This Row],[Fecha Real de Cierre]]="","",Backlog[[#This Row],[Fecha Real de Cierre]])</f>
        <v/>
      </c>
      <c r="L129" s="353">
        <f>Backlog[[#This Row],[Estimación Desarrollo]]</f>
        <v>0</v>
      </c>
      <c r="M129" s="353">
        <f>Backlog[[#This Row],[QA/UAT]]</f>
        <v>0</v>
      </c>
      <c r="N129" s="248"/>
      <c r="O129" s="248"/>
      <c r="P129" s="248"/>
      <c r="Q129" s="248"/>
    </row>
    <row r="130" spans="1:17" ht="15.75" hidden="1" customHeight="1">
      <c r="A130" s="309" t="e">
        <f>#REF!</f>
        <v>#REF!</v>
      </c>
      <c r="B130" s="234" t="str">
        <f>Backlog[[#This Row],[Clave del caso]]</f>
        <v>MAN-577</v>
      </c>
      <c r="C130" s="195" t="e">
        <f>#REF!</f>
        <v>#REF!</v>
      </c>
      <c r="D130" s="234" t="str">
        <f>Backlog[[#This Row],[Cliente que solicita]]</f>
        <v>La Rioja</v>
      </c>
      <c r="E130" s="234" t="str">
        <f>Backlog[[#This Row],[Componente]]</f>
        <v>NOA</v>
      </c>
      <c r="F130" s="234" t="str">
        <f>Backlog[[#This Row],[Area responsable de traccionar]]</f>
        <v>SAC</v>
      </c>
      <c r="G130" s="234">
        <f>Backlog[[#This Row],[OP]]</f>
        <v>0</v>
      </c>
      <c r="H130" s="234" t="str">
        <f>Backlog[[#This Row],[Estado]]</f>
        <v>A priorizar</v>
      </c>
      <c r="I130" s="316" t="str">
        <f>IF(Backlog[[#This Row],[Fecha Requerida en Producción]]="","",Backlog[[#This Row],[Fecha Requerida en Producción]])</f>
        <v/>
      </c>
      <c r="J130" s="316" t="str">
        <f>IF(Backlog[[#This Row],[Fecha comprometida (para UAT)]]="","",Backlog[[#This Row],[Fecha comprometida (para UAT)]])</f>
        <v/>
      </c>
      <c r="K130" s="217" t="str">
        <f>IF(Backlog[[#This Row],[Fecha Real de Cierre]]="","",Backlog[[#This Row],[Fecha Real de Cierre]])</f>
        <v/>
      </c>
      <c r="L130" s="353">
        <f>Backlog[[#This Row],[Estimación Desarrollo]]</f>
        <v>4</v>
      </c>
      <c r="M130" s="353">
        <f>Backlog[[#This Row],[QA/UAT]]</f>
        <v>1</v>
      </c>
      <c r="N130" s="248"/>
      <c r="O130" s="248"/>
      <c r="P130" s="248"/>
      <c r="Q130" s="248"/>
    </row>
    <row r="131" spans="1:17" ht="15.75" hidden="1" customHeight="1">
      <c r="A131" s="309" t="e">
        <f>#REF!</f>
        <v>#REF!</v>
      </c>
      <c r="B131" s="234" t="str">
        <f>Backlog[[#This Row],[Clave del caso]]</f>
        <v>MAN-582</v>
      </c>
      <c r="C131" s="195" t="e">
        <f>#REF!</f>
        <v>#REF!</v>
      </c>
      <c r="D131" s="234" t="str">
        <f>Backlog[[#This Row],[Cliente que solicita]]</f>
        <v>Salta</v>
      </c>
      <c r="E131" s="234" t="str">
        <f>Backlog[[#This Row],[Componente]]</f>
        <v>GAMMA</v>
      </c>
      <c r="F131" s="234" t="str">
        <f>Backlog[[#This Row],[Area responsable de traccionar]]</f>
        <v>SAC</v>
      </c>
      <c r="G131" s="234">
        <f>Backlog[[#This Row],[OP]]</f>
        <v>0</v>
      </c>
      <c r="H131" s="234" t="str">
        <f>Backlog[[#This Row],[Estado]]</f>
        <v>A priorizar</v>
      </c>
      <c r="I131" s="316" t="str">
        <f>IF(Backlog[[#This Row],[Fecha Requerida en Producción]]="","",Backlog[[#This Row],[Fecha Requerida en Producción]])</f>
        <v/>
      </c>
      <c r="J131" s="316" t="str">
        <f>IF(Backlog[[#This Row],[Fecha comprometida (para UAT)]]="","",Backlog[[#This Row],[Fecha comprometida (para UAT)]])</f>
        <v/>
      </c>
      <c r="K131" s="217">
        <f>IF(Backlog[[#This Row],[Fecha Real de Cierre]]="","",Backlog[[#This Row],[Fecha Real de Cierre]])</f>
        <v>45957</v>
      </c>
      <c r="L131" s="353">
        <f>Backlog[[#This Row],[Estimación Desarrollo]]</f>
        <v>16</v>
      </c>
      <c r="M131" s="353" t="str">
        <f>Backlog[[#This Row],[QA/UAT]]</f>
        <v>Jimena</v>
      </c>
      <c r="N131" s="248"/>
      <c r="O131" s="248"/>
      <c r="P131" s="248"/>
      <c r="Q131" s="248"/>
    </row>
    <row r="132" spans="1:17" ht="15.75" hidden="1" customHeight="1">
      <c r="A132" s="309" t="e">
        <f>#REF!</f>
        <v>#REF!</v>
      </c>
      <c r="B132" s="234" t="str">
        <f>Backlog[[#This Row],[Clave del caso]]</f>
        <v>MAN-584</v>
      </c>
      <c r="C132" s="195" t="e">
        <f>#REF!</f>
        <v>#REF!</v>
      </c>
      <c r="D132" s="234" t="str">
        <f>Backlog[[#This Row],[Cliente que solicita]]</f>
        <v>Salta</v>
      </c>
      <c r="E132" s="234" t="str">
        <f>Backlog[[#This Row],[Componente]]</f>
        <v>GAMMA</v>
      </c>
      <c r="F132" s="234" t="str">
        <f>Backlog[[#This Row],[Area responsable de traccionar]]</f>
        <v>SAC</v>
      </c>
      <c r="G132" s="234">
        <f>Backlog[[#This Row],[OP]]</f>
        <v>0</v>
      </c>
      <c r="H132" s="234" t="str">
        <f>Backlog[[#This Row],[Estado]]</f>
        <v>A priorizar</v>
      </c>
      <c r="I132" s="316" t="str">
        <f>IF(Backlog[[#This Row],[Fecha Requerida en Producción]]="","",Backlog[[#This Row],[Fecha Requerida en Producción]])</f>
        <v/>
      </c>
      <c r="J132" s="316" t="str">
        <f>IF(Backlog[[#This Row],[Fecha comprometida (para UAT)]]="","",Backlog[[#This Row],[Fecha comprometida (para UAT)]])</f>
        <v/>
      </c>
      <c r="K132" s="217" t="str">
        <f>IF(Backlog[[#This Row],[Fecha Real de Cierre]]="","",Backlog[[#This Row],[Fecha Real de Cierre]])</f>
        <v/>
      </c>
      <c r="L132" s="353">
        <f>Backlog[[#This Row],[Estimación Desarrollo]]</f>
        <v>4</v>
      </c>
      <c r="M132" s="353" t="str">
        <f>Backlog[[#This Row],[QA/UAT]]</f>
        <v>Marcos</v>
      </c>
      <c r="N132" s="248"/>
      <c r="O132" s="248"/>
      <c r="P132" s="248"/>
      <c r="Q132" s="248"/>
    </row>
    <row r="133" spans="1:17" ht="15.75" hidden="1" customHeight="1">
      <c r="A133" s="309" t="e">
        <f>#REF!</f>
        <v>#REF!</v>
      </c>
      <c r="B133" s="234" t="str">
        <f>Backlog[[#This Row],[Clave del caso]]</f>
        <v>MAN - 000043
9781</v>
      </c>
      <c r="C133" s="195" t="e">
        <f>#REF!</f>
        <v>#REF!</v>
      </c>
      <c r="D133" s="234" t="str">
        <f>Backlog[[#This Row],[Cliente que solicita]]</f>
        <v>Corrientes</v>
      </c>
      <c r="E133" s="234" t="str">
        <f>Backlog[[#This Row],[Componente]]</f>
        <v>Gamma</v>
      </c>
      <c r="F133" s="234" t="str">
        <f>Backlog[[#This Row],[Area responsable de traccionar]]</f>
        <v>SAC</v>
      </c>
      <c r="G133" s="234">
        <f>Backlog[[#This Row],[OP]]</f>
        <v>0</v>
      </c>
      <c r="H133" s="234" t="str">
        <f>Backlog[[#This Row],[Estado]]</f>
        <v>A priorizar</v>
      </c>
      <c r="I133" s="316" t="str">
        <f>IF(Backlog[[#This Row],[Fecha Requerida en Producción]]="","",Backlog[[#This Row],[Fecha Requerida en Producción]])</f>
        <v/>
      </c>
      <c r="J133" s="316" t="str">
        <f>IF(Backlog[[#This Row],[Fecha comprometida (para UAT)]]="","",Backlog[[#This Row],[Fecha comprometida (para UAT)]])</f>
        <v/>
      </c>
      <c r="K133" s="217" t="str">
        <f>IF(Backlog[[#This Row],[Fecha Real de Cierre]]="","",Backlog[[#This Row],[Fecha Real de Cierre]])</f>
        <v/>
      </c>
      <c r="L133" s="353">
        <f>Backlog[[#This Row],[Estimación Desarrollo]]</f>
        <v>8</v>
      </c>
      <c r="M133" s="353">
        <f>Backlog[[#This Row],[QA/UAT]]</f>
        <v>0</v>
      </c>
      <c r="N133" s="248"/>
      <c r="O133" s="248"/>
      <c r="P133" s="248"/>
      <c r="Q133" s="248"/>
    </row>
    <row r="134" spans="1:17" ht="15.75" hidden="1" customHeight="1">
      <c r="A134" s="309" t="e">
        <f>#REF!</f>
        <v>#REF!</v>
      </c>
      <c r="B134" s="234" t="str">
        <f>Backlog[[#This Row],[Clave del caso]]</f>
        <v xml:space="preserve">00009676  Gamma - 000052
</v>
      </c>
      <c r="C134" s="195" t="e">
        <f>#REF!</f>
        <v>#REF!</v>
      </c>
      <c r="D134" s="234" t="str">
        <f>Backlog[[#This Row],[Cliente que solicita]]</f>
        <v>Corrientes</v>
      </c>
      <c r="E134" s="234" t="str">
        <f>Backlog[[#This Row],[Componente]]</f>
        <v>Abaco</v>
      </c>
      <c r="F134" s="234" t="str">
        <f>Backlog[[#This Row],[Area responsable de traccionar]]</f>
        <v>SAC</v>
      </c>
      <c r="G134" s="234">
        <f>Backlog[[#This Row],[OP]]</f>
        <v>0</v>
      </c>
      <c r="H134" s="234" t="str">
        <f>Backlog[[#This Row],[Estado]]</f>
        <v>A priorizar</v>
      </c>
      <c r="I134" s="316" t="str">
        <f>IF(Backlog[[#This Row],[Fecha Requerida en Producción]]="","",Backlog[[#This Row],[Fecha Requerida en Producción]])</f>
        <v/>
      </c>
      <c r="J134" s="316" t="str">
        <f>IF(Backlog[[#This Row],[Fecha comprometida (para UAT)]]="","",Backlog[[#This Row],[Fecha comprometida (para UAT)]])</f>
        <v/>
      </c>
      <c r="K134" s="217" t="str">
        <f>IF(Backlog[[#This Row],[Fecha Real de Cierre]]="","",Backlog[[#This Row],[Fecha Real de Cierre]])</f>
        <v/>
      </c>
      <c r="L134" s="353">
        <f>Backlog[[#This Row],[Estimación Desarrollo]]</f>
        <v>8</v>
      </c>
      <c r="M134" s="353">
        <f>Backlog[[#This Row],[QA/UAT]]</f>
        <v>0</v>
      </c>
      <c r="N134" s="248"/>
      <c r="O134" s="248"/>
      <c r="P134" s="248"/>
      <c r="Q134" s="248"/>
    </row>
    <row r="135" spans="1:17" ht="15.75" hidden="1" customHeight="1">
      <c r="A135" s="309" t="e">
        <f>#REF!</f>
        <v>#REF!</v>
      </c>
      <c r="B135" s="234" t="str">
        <f>Backlog[[#This Row],[Clave del caso]]</f>
        <v>00009747  Gamma - 000051
ID719</v>
      </c>
      <c r="C135" s="195" t="e">
        <f>#REF!</f>
        <v>#REF!</v>
      </c>
      <c r="D135" s="234" t="str">
        <f>Backlog[[#This Row],[Cliente que solicita]]</f>
        <v>Corrientes</v>
      </c>
      <c r="E135" s="234" t="str">
        <f>Backlog[[#This Row],[Componente]]</f>
        <v>Gamma</v>
      </c>
      <c r="F135" s="234" t="str">
        <f>Backlog[[#This Row],[Area responsable de traccionar]]</f>
        <v>SAC</v>
      </c>
      <c r="G135" s="234">
        <f>Backlog[[#This Row],[OP]]</f>
        <v>0</v>
      </c>
      <c r="H135" s="234" t="str">
        <f>Backlog[[#This Row],[Estado]]</f>
        <v>A priorizar</v>
      </c>
      <c r="I135" s="316" t="str">
        <f>IF(Backlog[[#This Row],[Fecha Requerida en Producción]]="","",Backlog[[#This Row],[Fecha Requerida en Producción]])</f>
        <v/>
      </c>
      <c r="J135" s="316" t="str">
        <f>IF(Backlog[[#This Row],[Fecha comprometida (para UAT)]]="","",Backlog[[#This Row],[Fecha comprometida (para UAT)]])</f>
        <v/>
      </c>
      <c r="K135" s="217" t="str">
        <f>IF(Backlog[[#This Row],[Fecha Real de Cierre]]="","",Backlog[[#This Row],[Fecha Real de Cierre]])</f>
        <v/>
      </c>
      <c r="L135" s="353">
        <f>Backlog[[#This Row],[Estimación Desarrollo]]</f>
        <v>16</v>
      </c>
      <c r="M135" s="353" t="str">
        <f>Backlog[[#This Row],[QA/UAT]]</f>
        <v>Marcos</v>
      </c>
      <c r="N135" s="248"/>
      <c r="O135" s="248"/>
      <c r="P135" s="248"/>
      <c r="Q135" s="248"/>
    </row>
    <row r="136" spans="1:17" ht="15.75" hidden="1" customHeight="1">
      <c r="A136" s="309" t="e">
        <f>#REF!</f>
        <v>#REF!</v>
      </c>
      <c r="B136" s="234" t="str">
        <f>Backlog[[#This Row],[Clave del caso]]</f>
        <v>00009748</v>
      </c>
      <c r="C136" s="195" t="e">
        <f>#REF!</f>
        <v>#REF!</v>
      </c>
      <c r="D136" s="234" t="str">
        <f>Backlog[[#This Row],[Cliente que solicita]]</f>
        <v>Corrientes</v>
      </c>
      <c r="E136" s="234" t="str">
        <f>Backlog[[#This Row],[Componente]]</f>
        <v>Gamma</v>
      </c>
      <c r="F136" s="234" t="str">
        <f>Backlog[[#This Row],[Area responsable de traccionar]]</f>
        <v>SAC</v>
      </c>
      <c r="G136" s="234">
        <f>Backlog[[#This Row],[OP]]</f>
        <v>0</v>
      </c>
      <c r="H136" s="234" t="str">
        <f>Backlog[[#This Row],[Estado]]</f>
        <v>A priorizar</v>
      </c>
      <c r="I136" s="316" t="str">
        <f>IF(Backlog[[#This Row],[Fecha Requerida en Producción]]="","",Backlog[[#This Row],[Fecha Requerida en Producción]])</f>
        <v/>
      </c>
      <c r="J136" s="316" t="str">
        <f>IF(Backlog[[#This Row],[Fecha comprometida (para UAT)]]="","",Backlog[[#This Row],[Fecha comprometida (para UAT)]])</f>
        <v/>
      </c>
      <c r="K136" s="217" t="str">
        <f>IF(Backlog[[#This Row],[Fecha Real de Cierre]]="","",Backlog[[#This Row],[Fecha Real de Cierre]])</f>
        <v/>
      </c>
      <c r="L136" s="353">
        <f>Backlog[[#This Row],[Estimación Desarrollo]]</f>
        <v>4</v>
      </c>
      <c r="M136" s="353" t="str">
        <f>Backlog[[#This Row],[QA/UAT]]</f>
        <v>Tejerina</v>
      </c>
      <c r="N136" s="248"/>
      <c r="O136" s="248"/>
      <c r="P136" s="248"/>
      <c r="Q136" s="248"/>
    </row>
    <row r="137" spans="1:17" ht="15.75" hidden="1" customHeight="1">
      <c r="A137" s="309" t="e">
        <f>#REF!</f>
        <v>#REF!</v>
      </c>
      <c r="B137" s="234" t="str">
        <f>Backlog[[#This Row],[Clave del caso]]</f>
        <v>00008122</v>
      </c>
      <c r="C137" s="195" t="e">
        <f>#REF!</f>
        <v>#REF!</v>
      </c>
      <c r="D137" s="234" t="str">
        <f>Backlog[[#This Row],[Cliente que solicita]]</f>
        <v>Todas las provincias</v>
      </c>
      <c r="E137" s="234" t="str">
        <f>Backlog[[#This Row],[Componente]]</f>
        <v>Gamma</v>
      </c>
      <c r="F137" s="234" t="str">
        <f>Backlog[[#This Row],[Area responsable de traccionar]]</f>
        <v>SAC</v>
      </c>
      <c r="G137" s="234">
        <f>Backlog[[#This Row],[OP]]</f>
        <v>0</v>
      </c>
      <c r="H137" s="234" t="str">
        <f>Backlog[[#This Row],[Estado]]</f>
        <v>A priorizar</v>
      </c>
      <c r="I137" s="316" t="str">
        <f>IF(Backlog[[#This Row],[Fecha Requerida en Producción]]="","",Backlog[[#This Row],[Fecha Requerida en Producción]])</f>
        <v/>
      </c>
      <c r="J137" s="316" t="str">
        <f>IF(Backlog[[#This Row],[Fecha comprometida (para UAT)]]="","",Backlog[[#This Row],[Fecha comprometida (para UAT)]])</f>
        <v>MARZO</v>
      </c>
      <c r="K137" s="217" t="str">
        <f>IF(Backlog[[#This Row],[Fecha Real de Cierre]]="","",Backlog[[#This Row],[Fecha Real de Cierre]])</f>
        <v/>
      </c>
      <c r="L137" s="353">
        <f>Backlog[[#This Row],[Estimación Desarrollo]]</f>
        <v>0</v>
      </c>
      <c r="M137" s="353">
        <f>Backlog[[#This Row],[QA/UAT]]</f>
        <v>0</v>
      </c>
      <c r="N137" s="248"/>
      <c r="O137" s="248"/>
      <c r="P137" s="248"/>
      <c r="Q137" s="248"/>
    </row>
    <row r="138" spans="1:17" ht="15.75" hidden="1" customHeight="1">
      <c r="A138" s="309" t="e">
        <f>#REF!</f>
        <v>#REF!</v>
      </c>
      <c r="B138" s="234" t="str">
        <f>Backlog[[#This Row],[Clave del caso]]</f>
        <v>00008243</v>
      </c>
      <c r="C138" s="195" t="e">
        <f>#REF!</f>
        <v>#REF!</v>
      </c>
      <c r="D138" s="234" t="str">
        <f>Backlog[[#This Row],[Cliente que solicita]]</f>
        <v>Jujuy</v>
      </c>
      <c r="E138" s="234" t="str">
        <f>Backlog[[#This Row],[Componente]]</f>
        <v>Gamma</v>
      </c>
      <c r="F138" s="234" t="str">
        <f>Backlog[[#This Row],[Area responsable de traccionar]]</f>
        <v>SAC</v>
      </c>
      <c r="G138" s="234">
        <f>Backlog[[#This Row],[OP]]</f>
        <v>0</v>
      </c>
      <c r="H138" s="234" t="str">
        <f>Backlog[[#This Row],[Estado]]</f>
        <v>A priorizar</v>
      </c>
      <c r="I138" s="316" t="str">
        <f>IF(Backlog[[#This Row],[Fecha Requerida en Producción]]="","",Backlog[[#This Row],[Fecha Requerida en Producción]])</f>
        <v/>
      </c>
      <c r="J138" s="316" t="str">
        <f>IF(Backlog[[#This Row],[Fecha comprometida (para UAT)]]="","",Backlog[[#This Row],[Fecha comprometida (para UAT)]])</f>
        <v/>
      </c>
      <c r="K138" s="217" t="str">
        <f>IF(Backlog[[#This Row],[Fecha Real de Cierre]]="","",Backlog[[#This Row],[Fecha Real de Cierre]])</f>
        <v/>
      </c>
      <c r="L138" s="353">
        <f>Backlog[[#This Row],[Estimación Desarrollo]]</f>
        <v>0</v>
      </c>
      <c r="M138" s="353">
        <f>Backlog[[#This Row],[QA/UAT]]</f>
        <v>0</v>
      </c>
      <c r="N138" s="248"/>
      <c r="O138" s="248"/>
      <c r="P138" s="248"/>
      <c r="Q138" s="248"/>
    </row>
    <row r="139" spans="1:17" ht="15.75" hidden="1" customHeight="1">
      <c r="A139" s="309" t="e">
        <f>#REF!</f>
        <v>#REF!</v>
      </c>
      <c r="B139" s="234" t="str">
        <f>Backlog[[#This Row],[Clave del caso]]</f>
        <v>00008393</v>
      </c>
      <c r="C139" s="195" t="e">
        <f>#REF!</f>
        <v>#REF!</v>
      </c>
      <c r="D139" s="234" t="str">
        <f>Backlog[[#This Row],[Cliente que solicita]]</f>
        <v>Corrientes</v>
      </c>
      <c r="E139" s="234" t="str">
        <f>Backlog[[#This Row],[Componente]]</f>
        <v>Gamma</v>
      </c>
      <c r="F139" s="234" t="str">
        <f>Backlog[[#This Row],[Area responsable de traccionar]]</f>
        <v>SAC</v>
      </c>
      <c r="G139" s="234">
        <f>Backlog[[#This Row],[OP]]</f>
        <v>0</v>
      </c>
      <c r="H139" s="234" t="str">
        <f>Backlog[[#This Row],[Estado]]</f>
        <v>A priorizar</v>
      </c>
      <c r="I139" s="316" t="str">
        <f>IF(Backlog[[#This Row],[Fecha Requerida en Producción]]="","",Backlog[[#This Row],[Fecha Requerida en Producción]])</f>
        <v/>
      </c>
      <c r="J139" s="316" t="str">
        <f>IF(Backlog[[#This Row],[Fecha comprometida (para UAT)]]="","",Backlog[[#This Row],[Fecha comprometida (para UAT)]])</f>
        <v/>
      </c>
      <c r="K139" s="217" t="str">
        <f>IF(Backlog[[#This Row],[Fecha Real de Cierre]]="","",Backlog[[#This Row],[Fecha Real de Cierre]])</f>
        <v/>
      </c>
      <c r="L139" s="353">
        <f>Backlog[[#This Row],[Estimación Desarrollo]]</f>
        <v>0</v>
      </c>
      <c r="M139" s="353">
        <f>Backlog[[#This Row],[QA/UAT]]</f>
        <v>0</v>
      </c>
      <c r="N139" s="248"/>
      <c r="O139" s="248"/>
      <c r="P139" s="248"/>
      <c r="Q139" s="248"/>
    </row>
    <row r="140" spans="1:17" ht="15.75" hidden="1" customHeight="1">
      <c r="A140" s="309" t="e">
        <f>#REF!</f>
        <v>#REF!</v>
      </c>
      <c r="B140" s="234" t="str">
        <f>Backlog[[#This Row],[Clave del caso]]</f>
        <v>00006924</v>
      </c>
      <c r="C140" s="195" t="e">
        <f>#REF!</f>
        <v>#REF!</v>
      </c>
      <c r="D140" s="234" t="str">
        <f>Backlog[[#This Row],[Cliente que solicita]]</f>
        <v>Salta</v>
      </c>
      <c r="E140" s="234" t="str">
        <f>Backlog[[#This Row],[Componente]]</f>
        <v>Abaco</v>
      </c>
      <c r="F140" s="234" t="str">
        <f>Backlog[[#This Row],[Area responsable de traccionar]]</f>
        <v>SAC</v>
      </c>
      <c r="G140" s="234">
        <f>Backlog[[#This Row],[OP]]</f>
        <v>0</v>
      </c>
      <c r="H140" s="234" t="str">
        <f>Backlog[[#This Row],[Estado]]</f>
        <v>A priorizar</v>
      </c>
      <c r="I140" s="316" t="str">
        <f>IF(Backlog[[#This Row],[Fecha Requerida en Producción]]="","",Backlog[[#This Row],[Fecha Requerida en Producción]])</f>
        <v/>
      </c>
      <c r="J140" s="316" t="str">
        <f>IF(Backlog[[#This Row],[Fecha comprometida (para UAT)]]="","",Backlog[[#This Row],[Fecha comprometida (para UAT)]])</f>
        <v/>
      </c>
      <c r="K140" s="217" t="str">
        <f>IF(Backlog[[#This Row],[Fecha Real de Cierre]]="","",Backlog[[#This Row],[Fecha Real de Cierre]])</f>
        <v/>
      </c>
      <c r="L140" s="353">
        <f>Backlog[[#This Row],[Estimación Desarrollo]]</f>
        <v>8</v>
      </c>
      <c r="M140" s="353">
        <f>Backlog[[#This Row],[QA/UAT]]</f>
        <v>0</v>
      </c>
      <c r="N140" s="248"/>
      <c r="O140" s="248"/>
      <c r="P140" s="248"/>
      <c r="Q140" s="248"/>
    </row>
    <row r="141" spans="1:17" ht="15.75" hidden="1" customHeight="1">
      <c r="A141" s="309" t="e">
        <f>#REF!</f>
        <v>#REF!</v>
      </c>
      <c r="B141" s="234" t="str">
        <f>Backlog[[#This Row],[Clave del caso]]</f>
        <v>MAN-000100</v>
      </c>
      <c r="C141" s="195" t="e">
        <f>#REF!</f>
        <v>#REF!</v>
      </c>
      <c r="D141" s="234" t="str">
        <f>Backlog[[#This Row],[Cliente que solicita]]</f>
        <v>Todas las provincias</v>
      </c>
      <c r="E141" s="234" t="str">
        <f>Backlog[[#This Row],[Componente]]</f>
        <v>NOA</v>
      </c>
      <c r="F141" s="234" t="str">
        <f>Backlog[[#This Row],[Area responsable de traccionar]]</f>
        <v>SAC</v>
      </c>
      <c r="G141" s="234">
        <f>Backlog[[#This Row],[OP]]</f>
        <v>0</v>
      </c>
      <c r="H141" s="234" t="str">
        <f>Backlog[[#This Row],[Estado]]</f>
        <v>A priorizar</v>
      </c>
      <c r="I141" s="316" t="str">
        <f>IF(Backlog[[#This Row],[Fecha Requerida en Producción]]="","",Backlog[[#This Row],[Fecha Requerida en Producción]])</f>
        <v/>
      </c>
      <c r="J141" s="316" t="str">
        <f>IF(Backlog[[#This Row],[Fecha comprometida (para UAT)]]="","",Backlog[[#This Row],[Fecha comprometida (para UAT)]])</f>
        <v/>
      </c>
      <c r="K141" s="217" t="str">
        <f>IF(Backlog[[#This Row],[Fecha Real de Cierre]]="","",Backlog[[#This Row],[Fecha Real de Cierre]])</f>
        <v/>
      </c>
      <c r="L141" s="353">
        <f>Backlog[[#This Row],[Estimación Desarrollo]]</f>
        <v>16</v>
      </c>
      <c r="M141" s="353">
        <f>Backlog[[#This Row],[QA/UAT]]</f>
        <v>0</v>
      </c>
      <c r="N141" s="248"/>
      <c r="O141" s="248"/>
      <c r="P141" s="248"/>
      <c r="Q141" s="248"/>
    </row>
    <row r="142" spans="1:17" ht="15.75" hidden="1" customHeight="1">
      <c r="A142" s="309" t="e">
        <f>#REF!</f>
        <v>#REF!</v>
      </c>
      <c r="B142" s="234" t="str">
        <f>Backlog[[#This Row],[Clave del caso]]</f>
        <v xml:space="preserve">MAN - 000095
</v>
      </c>
      <c r="C142" s="195" t="e">
        <f>#REF!</f>
        <v>#REF!</v>
      </c>
      <c r="D142" s="234" t="str">
        <f>Backlog[[#This Row],[Cliente que solicita]]</f>
        <v>Todas las provincias</v>
      </c>
      <c r="E142" s="234" t="str">
        <f>Backlog[[#This Row],[Componente]]</f>
        <v>NOA</v>
      </c>
      <c r="F142" s="234" t="str">
        <f>Backlog[[#This Row],[Area responsable de traccionar]]</f>
        <v>SAC</v>
      </c>
      <c r="G142" s="234">
        <f>Backlog[[#This Row],[OP]]</f>
        <v>0</v>
      </c>
      <c r="H142" s="234" t="str">
        <f>Backlog[[#This Row],[Estado]]</f>
        <v>A priorizar</v>
      </c>
      <c r="I142" s="316" t="str">
        <f>IF(Backlog[[#This Row],[Fecha Requerida en Producción]]="","",Backlog[[#This Row],[Fecha Requerida en Producción]])</f>
        <v/>
      </c>
      <c r="J142" s="316" t="str">
        <f>IF(Backlog[[#This Row],[Fecha comprometida (para UAT)]]="","",Backlog[[#This Row],[Fecha comprometida (para UAT)]])</f>
        <v/>
      </c>
      <c r="K142" s="217" t="str">
        <f>IF(Backlog[[#This Row],[Fecha Real de Cierre]]="","",Backlog[[#This Row],[Fecha Real de Cierre]])</f>
        <v/>
      </c>
      <c r="L142" s="353">
        <f>Backlog[[#This Row],[Estimación Desarrollo]]</f>
        <v>16</v>
      </c>
      <c r="M142" s="353">
        <f>Backlog[[#This Row],[QA/UAT]]</f>
        <v>0</v>
      </c>
      <c r="N142" s="248"/>
      <c r="O142" s="248"/>
      <c r="P142" s="248"/>
      <c r="Q142" s="248"/>
    </row>
    <row r="143" spans="1:17" ht="15.75" hidden="1" customHeight="1">
      <c r="A143" s="309" t="e">
        <f>#REF!</f>
        <v>#REF!</v>
      </c>
      <c r="B143" s="234" t="str">
        <f>Backlog[[#This Row],[Clave del caso]]</f>
        <v xml:space="preserve">00010318                      MAN - 000074
</v>
      </c>
      <c r="C143" s="195" t="e">
        <f>#REF!</f>
        <v>#REF!</v>
      </c>
      <c r="D143" s="234" t="str">
        <f>Backlog[[#This Row],[Cliente que solicita]]</f>
        <v>Jujuy</v>
      </c>
      <c r="E143" s="234" t="str">
        <f>Backlog[[#This Row],[Componente]]</f>
        <v>Gamma</v>
      </c>
      <c r="F143" s="234" t="str">
        <f>Backlog[[#This Row],[Area responsable de traccionar]]</f>
        <v>SAC</v>
      </c>
      <c r="G143" s="234">
        <f>Backlog[[#This Row],[OP]]</f>
        <v>0</v>
      </c>
      <c r="H143" s="234" t="str">
        <f>Backlog[[#This Row],[Estado]]</f>
        <v>A priorizar</v>
      </c>
      <c r="I143" s="316" t="str">
        <f>IF(Backlog[[#This Row],[Fecha Requerida en Producción]]="","",Backlog[[#This Row],[Fecha Requerida en Producción]])</f>
        <v/>
      </c>
      <c r="J143" s="316" t="str">
        <f>IF(Backlog[[#This Row],[Fecha comprometida (para UAT)]]="","",Backlog[[#This Row],[Fecha comprometida (para UAT)]])</f>
        <v/>
      </c>
      <c r="K143" s="193"/>
      <c r="L143" s="353">
        <f>Backlog[[#This Row],[Estimación Desarrollo]]</f>
        <v>0</v>
      </c>
      <c r="M143" s="353">
        <f>Backlog[[#This Row],[QA/UAT]]</f>
        <v>0</v>
      </c>
      <c r="N143" s="248"/>
      <c r="O143" s="248"/>
      <c r="P143" s="248"/>
      <c r="Q143" s="248"/>
    </row>
    <row r="144" spans="1:17" ht="15.75" hidden="1" customHeight="1">
      <c r="A144" s="309" t="e">
        <f>#REF!</f>
        <v>#REF!</v>
      </c>
      <c r="B144" s="234" t="str">
        <f>Backlog[[#This Row],[Clave del caso]]</f>
        <v>00009894</v>
      </c>
      <c r="C144" s="195" t="e">
        <f>#REF!</f>
        <v>#REF!</v>
      </c>
      <c r="D144" s="234" t="str">
        <f>Backlog[[#This Row],[Cliente que solicita]]</f>
        <v>Santa Cruz</v>
      </c>
      <c r="E144" s="234" t="str">
        <f>Backlog[[#This Row],[Componente]]</f>
        <v>Gamma</v>
      </c>
      <c r="F144" s="234" t="str">
        <f>Backlog[[#This Row],[Area responsable de traccionar]]</f>
        <v>SAC</v>
      </c>
      <c r="G144" s="234">
        <f>Backlog[[#This Row],[OP]]</f>
        <v>0</v>
      </c>
      <c r="H144" s="234" t="str">
        <f>Backlog[[#This Row],[Estado]]</f>
        <v>A priorizar</v>
      </c>
      <c r="I144" s="316" t="str">
        <f>IF(Backlog[[#This Row],[Fecha Requerida en Producción]]="","",Backlog[[#This Row],[Fecha Requerida en Producción]])</f>
        <v/>
      </c>
      <c r="J144" s="316" t="str">
        <f>IF(Backlog[[#This Row],[Fecha comprometida (para UAT)]]="","",Backlog[[#This Row],[Fecha comprometida (para UAT)]])</f>
        <v>MARZO</v>
      </c>
      <c r="K144" s="193"/>
      <c r="L144" s="193"/>
      <c r="M144" s="193"/>
      <c r="N144" s="248"/>
      <c r="O144" s="248"/>
      <c r="P144" s="248"/>
      <c r="Q144" s="248"/>
    </row>
    <row r="145" spans="1:17" ht="15.75" hidden="1" customHeight="1">
      <c r="A145" s="309" t="e">
        <f>#REF!</f>
        <v>#REF!</v>
      </c>
      <c r="B145" s="234" t="str">
        <f>Backlog[[#This Row],[Clave del caso]]</f>
        <v>00009950</v>
      </c>
      <c r="C145" s="195" t="e">
        <f>#REF!</f>
        <v>#REF!</v>
      </c>
      <c r="D145" s="234" t="str">
        <f>Backlog[[#This Row],[Cliente que solicita]]</f>
        <v>Santa Cruz</v>
      </c>
      <c r="E145" s="234" t="str">
        <f>Backlog[[#This Row],[Componente]]</f>
        <v>Gamma</v>
      </c>
      <c r="F145" s="234" t="str">
        <f>Backlog[[#This Row],[Area responsable de traccionar]]</f>
        <v>SAC</v>
      </c>
      <c r="G145" s="234">
        <f>Backlog[[#This Row],[OP]]</f>
        <v>0</v>
      </c>
      <c r="H145" s="234" t="str">
        <f>Backlog[[#This Row],[Estado]]</f>
        <v>A priorizar</v>
      </c>
      <c r="I145" s="316" t="str">
        <f>IF(Backlog[[#This Row],[Fecha Requerida en Producción]]="","",Backlog[[#This Row],[Fecha Requerida en Producción]])</f>
        <v/>
      </c>
      <c r="J145" s="316">
        <f>IF(Backlog[[#This Row],[Fecha comprometida (para UAT)]]="","",Backlog[[#This Row],[Fecha comprometida (para UAT)]])</f>
        <v>45975</v>
      </c>
      <c r="K145" s="193"/>
      <c r="L145" s="193"/>
      <c r="M145" s="193"/>
      <c r="N145" s="248"/>
      <c r="O145" s="248"/>
      <c r="P145" s="248"/>
      <c r="Q145" s="248"/>
    </row>
    <row r="146" spans="1:17" ht="15.75" hidden="1" customHeight="1">
      <c r="A146" s="309" t="e">
        <f>#REF!</f>
        <v>#REF!</v>
      </c>
      <c r="B146" s="234" t="str">
        <f>Backlog[[#This Row],[Clave del caso]]</f>
        <v>764</v>
      </c>
      <c r="C146" s="195" t="e">
        <f>#REF!</f>
        <v>#REF!</v>
      </c>
      <c r="D146" s="234" t="str">
        <f>Backlog[[#This Row],[Cliente que solicita]]</f>
        <v>Todas las provincias</v>
      </c>
      <c r="E146" s="234" t="str">
        <f>Backlog[[#This Row],[Componente]]</f>
        <v>Gamma</v>
      </c>
      <c r="F146" s="234" t="str">
        <f>Backlog[[#This Row],[Area responsable de traccionar]]</f>
        <v>SAC</v>
      </c>
      <c r="G146" s="234">
        <f>Backlog[[#This Row],[OP]]</f>
        <v>0</v>
      </c>
      <c r="H146" s="234" t="str">
        <f>Backlog[[#This Row],[Estado]]</f>
        <v>A priorizar</v>
      </c>
      <c r="I146" s="316" t="str">
        <f>IF(Backlog[[#This Row],[Fecha Requerida en Producción]]="","",Backlog[[#This Row],[Fecha Requerida en Producción]])</f>
        <v/>
      </c>
      <c r="J146" s="316" t="str">
        <f>IF(Backlog[[#This Row],[Fecha comprometida (para UAT)]]="","",Backlog[[#This Row],[Fecha comprometida (para UAT)]])</f>
        <v/>
      </c>
      <c r="K146" s="193"/>
      <c r="L146" s="353">
        <f>Backlog[[#This Row],[Estimación Desarrollo]]</f>
        <v>0</v>
      </c>
      <c r="M146" s="353">
        <f>Backlog[[#This Row],[QA/UAT]]</f>
        <v>0</v>
      </c>
      <c r="N146" s="248"/>
      <c r="O146" s="248"/>
      <c r="P146" s="248"/>
      <c r="Q146" s="248"/>
    </row>
    <row r="147" spans="1:17" ht="15.75" hidden="1" customHeight="1">
      <c r="A147" s="309" t="e">
        <f>#REF!</f>
        <v>#REF!</v>
      </c>
      <c r="B147" s="234" t="str">
        <f>Backlog[[#This Row],[Clave del caso]]</f>
        <v>00011038</v>
      </c>
      <c r="C147" s="195" t="e">
        <f>#REF!</f>
        <v>#REF!</v>
      </c>
      <c r="D147" s="234" t="str">
        <f>Backlog[[#This Row],[Cliente que solicita]]</f>
        <v>Corrientes</v>
      </c>
      <c r="E147" s="234" t="str">
        <f>Backlog[[#This Row],[Componente]]</f>
        <v>Abaco</v>
      </c>
      <c r="F147" s="234" t="str">
        <f>Backlog[[#This Row],[Area responsable de traccionar]]</f>
        <v>SAC</v>
      </c>
      <c r="G147" s="234">
        <f>Backlog[[#This Row],[OP]]</f>
        <v>0</v>
      </c>
      <c r="H147" s="234" t="str">
        <f>Backlog[[#This Row],[Estado]]</f>
        <v>A priorizar</v>
      </c>
      <c r="I147" s="316" t="str">
        <f>IF(Backlog[[#This Row],[Fecha Requerida en Producción]]="","",Backlog[[#This Row],[Fecha Requerida en Producción]])</f>
        <v/>
      </c>
      <c r="J147" s="316" t="str">
        <f>IF(Backlog[[#This Row],[Fecha comprometida (para UAT)]]="","",Backlog[[#This Row],[Fecha comprometida (para UAT)]])</f>
        <v/>
      </c>
      <c r="K147" s="193"/>
      <c r="L147" s="353">
        <f>Backlog[[#This Row],[Estimación Desarrollo]]</f>
        <v>0</v>
      </c>
      <c r="M147" s="353">
        <f>Backlog[[#This Row],[QA/UAT]]</f>
        <v>0</v>
      </c>
      <c r="N147" s="248"/>
      <c r="O147" s="248"/>
      <c r="P147" s="248"/>
      <c r="Q147" s="248"/>
    </row>
    <row r="148" spans="1:17" ht="15.75" hidden="1" customHeight="1">
      <c r="A148" s="309" t="e">
        <f>#REF!</f>
        <v>#REF!</v>
      </c>
      <c r="B148" s="234" t="str">
        <f>Backlog[[#This Row],[Clave del caso]]</f>
        <v>00011039</v>
      </c>
      <c r="C148" s="195" t="e">
        <f>#REF!</f>
        <v>#REF!</v>
      </c>
      <c r="D148" s="234" t="str">
        <f>Backlog[[#This Row],[Cliente que solicita]]</f>
        <v>Corrientes</v>
      </c>
      <c r="E148" s="234" t="str">
        <f>Backlog[[#This Row],[Componente]]</f>
        <v>Abaco</v>
      </c>
      <c r="F148" s="234" t="str">
        <f>Backlog[[#This Row],[Area responsable de traccionar]]</f>
        <v>SAC</v>
      </c>
      <c r="G148" s="234">
        <f>Backlog[[#This Row],[OP]]</f>
        <v>0</v>
      </c>
      <c r="H148" s="234" t="str">
        <f>Backlog[[#This Row],[Estado]]</f>
        <v>A priorizar</v>
      </c>
      <c r="I148" s="316" t="str">
        <f>IF(Backlog[[#This Row],[Fecha Requerida en Producción]]="","",Backlog[[#This Row],[Fecha Requerida en Producción]])</f>
        <v/>
      </c>
      <c r="J148" s="316" t="str">
        <f>IF(Backlog[[#This Row],[Fecha comprometida (para UAT)]]="","",Backlog[[#This Row],[Fecha comprometida (para UAT)]])</f>
        <v/>
      </c>
      <c r="K148" s="193"/>
      <c r="L148" s="193"/>
      <c r="M148" s="193"/>
      <c r="N148" s="248"/>
      <c r="O148" s="248"/>
      <c r="P148" s="248"/>
      <c r="Q148" s="248"/>
    </row>
    <row r="149" spans="1:17" ht="15.75" hidden="1" customHeight="1">
      <c r="A149" s="309" t="e">
        <f>#REF!</f>
        <v>#REF!</v>
      </c>
      <c r="B149" s="234" t="str">
        <f>Backlog[[#This Row],[Clave del caso]]</f>
        <v>00010775</v>
      </c>
      <c r="C149" s="195" t="e">
        <f>#REF!</f>
        <v>#REF!</v>
      </c>
      <c r="D149" s="234" t="str">
        <f>Backlog[[#This Row],[Cliente que solicita]]</f>
        <v>Santa Cruz</v>
      </c>
      <c r="E149" s="234" t="str">
        <f>Backlog[[#This Row],[Componente]]</f>
        <v>NOA</v>
      </c>
      <c r="F149" s="234" t="str">
        <f>Backlog[[#This Row],[Area responsable de traccionar]]</f>
        <v>SAC</v>
      </c>
      <c r="G149" s="234">
        <f>Backlog[[#This Row],[OP]]</f>
        <v>0</v>
      </c>
      <c r="H149" s="234" t="str">
        <f>Backlog[[#This Row],[Estado]]</f>
        <v>A priorizar</v>
      </c>
      <c r="I149" s="316" t="str">
        <f>IF(Backlog[[#This Row],[Fecha Requerida en Producción]]="","",Backlog[[#This Row],[Fecha Requerida en Producción]])</f>
        <v/>
      </c>
      <c r="J149" s="316" t="str">
        <f>IF(Backlog[[#This Row],[Fecha comprometida (para UAT)]]="","",Backlog[[#This Row],[Fecha comprometida (para UAT)]])</f>
        <v/>
      </c>
      <c r="K149" s="193"/>
      <c r="L149" s="193"/>
      <c r="M149" s="193"/>
      <c r="N149" s="248"/>
      <c r="O149" s="248"/>
      <c r="P149" s="248"/>
      <c r="Q149" s="248"/>
    </row>
    <row r="150" spans="1:17" ht="15.75" hidden="1" customHeight="1">
      <c r="A150" s="309" t="e">
        <f>#REF!</f>
        <v>#REF!</v>
      </c>
      <c r="B150" s="234" t="str">
        <f>Backlog[[#This Row],[Clave del caso]]</f>
        <v>MAN-00011121</v>
      </c>
      <c r="C150" s="195" t="e">
        <f>#REF!</f>
        <v>#REF!</v>
      </c>
      <c r="D150" s="234" t="str">
        <f>Backlog[[#This Row],[Cliente que solicita]]</f>
        <v>Corrientes</v>
      </c>
      <c r="E150" s="234" t="str">
        <f>Backlog[[#This Row],[Componente]]</f>
        <v>Gamma</v>
      </c>
      <c r="F150" s="234" t="str">
        <f>Backlog[[#This Row],[Area responsable de traccionar]]</f>
        <v>SAC</v>
      </c>
      <c r="G150" s="234">
        <f>Backlog[[#This Row],[OP]]</f>
        <v>0</v>
      </c>
      <c r="H150" s="234" t="str">
        <f>Backlog[[#This Row],[Estado]]</f>
        <v>A priorizar</v>
      </c>
      <c r="I150" s="316" t="str">
        <f>IF(Backlog[[#This Row],[Fecha Requerida en Producción]]="","",Backlog[[#This Row],[Fecha Requerida en Producción]])</f>
        <v/>
      </c>
      <c r="J150" s="316" t="str">
        <f>IF(Backlog[[#This Row],[Fecha comprometida (para UAT)]]="","",Backlog[[#This Row],[Fecha comprometida (para UAT)]])</f>
        <v/>
      </c>
      <c r="K150" s="193"/>
      <c r="L150" s="353">
        <f>Backlog[[#This Row],[Estimación Desarrollo]]</f>
        <v>0</v>
      </c>
      <c r="M150" s="353">
        <f>Backlog[[#This Row],[QA/UAT]]</f>
        <v>0</v>
      </c>
      <c r="N150" s="248"/>
      <c r="O150" s="248"/>
      <c r="P150" s="248"/>
      <c r="Q150" s="248"/>
    </row>
    <row r="151" spans="1:17" ht="15.75" hidden="1" customHeight="1">
      <c r="A151" s="309" t="e">
        <f>#REF!</f>
        <v>#REF!</v>
      </c>
      <c r="B151" s="234" t="str">
        <f>Backlog[[#This Row],[Clave del caso]]</f>
        <v>MAN-00011272</v>
      </c>
      <c r="C151" s="195" t="e">
        <f>#REF!</f>
        <v>#REF!</v>
      </c>
      <c r="D151" s="234" t="str">
        <f>Backlog[[#This Row],[Cliente que solicita]]</f>
        <v>Corrientes</v>
      </c>
      <c r="E151" s="234" t="str">
        <f>Backlog[[#This Row],[Componente]]</f>
        <v>Gamma</v>
      </c>
      <c r="F151" s="234" t="str">
        <f>Backlog[[#This Row],[Area responsable de traccionar]]</f>
        <v>SAC</v>
      </c>
      <c r="G151" s="234">
        <f>Backlog[[#This Row],[OP]]</f>
        <v>0</v>
      </c>
      <c r="H151" s="234" t="str">
        <f>Backlog[[#This Row],[Estado]]</f>
        <v>A priorizar</v>
      </c>
      <c r="I151" s="316" t="str">
        <f>IF(Backlog[[#This Row],[Fecha Requerida en Producción]]="","",Backlog[[#This Row],[Fecha Requerida en Producción]])</f>
        <v/>
      </c>
      <c r="J151" s="316" t="str">
        <f>IF(Backlog[[#This Row],[Fecha comprometida (para UAT)]]="","",Backlog[[#This Row],[Fecha comprometida (para UAT)]])</f>
        <v/>
      </c>
      <c r="K151" s="193"/>
      <c r="L151" s="353">
        <f>Backlog[[#This Row],[Estimación Desarrollo]]</f>
        <v>16</v>
      </c>
      <c r="M151" s="353" t="str">
        <f>Backlog[[#This Row],[QA/UAT]]</f>
        <v>? Buscar</v>
      </c>
      <c r="N151" s="248"/>
      <c r="O151" s="248"/>
      <c r="P151" s="248"/>
      <c r="Q151" s="248"/>
    </row>
    <row r="152" spans="1:17" ht="15.75" hidden="1" customHeight="1">
      <c r="A152" s="309" t="e">
        <f>#REF!</f>
        <v>#REF!</v>
      </c>
      <c r="B152" s="234" t="str">
        <f>Backlog[[#This Row],[Clave del caso]]</f>
        <v>MAN-00011379</v>
      </c>
      <c r="C152" s="195" t="e">
        <f>#REF!</f>
        <v>#REF!</v>
      </c>
      <c r="D152" s="234" t="str">
        <f>Backlog[[#This Row],[Cliente que solicita]]</f>
        <v>Jujuy</v>
      </c>
      <c r="E152" s="234" t="str">
        <f>Backlog[[#This Row],[Componente]]</f>
        <v>Gamma</v>
      </c>
      <c r="F152" s="234" t="str">
        <f>Backlog[[#This Row],[Area responsable de traccionar]]</f>
        <v>SAC</v>
      </c>
      <c r="G152" s="234">
        <f>Backlog[[#This Row],[OP]]</f>
        <v>0</v>
      </c>
      <c r="H152" s="234" t="str">
        <f>Backlog[[#This Row],[Estado]]</f>
        <v>A priorizar</v>
      </c>
      <c r="I152" s="316" t="str">
        <f>IF(Backlog[[#This Row],[Fecha Requerida en Producción]]="","",Backlog[[#This Row],[Fecha Requerida en Producción]])</f>
        <v/>
      </c>
      <c r="J152" s="316" t="str">
        <f>IF(Backlog[[#This Row],[Fecha comprometida (para UAT)]]="","",Backlog[[#This Row],[Fecha comprometida (para UAT)]])</f>
        <v/>
      </c>
      <c r="K152" s="193"/>
      <c r="L152" s="193"/>
      <c r="M152" s="193"/>
      <c r="N152" s="248"/>
      <c r="O152" s="248"/>
      <c r="P152" s="248"/>
      <c r="Q152" s="248"/>
    </row>
    <row r="153" spans="1:17" ht="47.25" hidden="1" customHeight="1">
      <c r="A153" s="307" t="e">
        <f>#REF!</f>
        <v>#REF!</v>
      </c>
      <c r="B153" s="243" t="str">
        <f>Backlog[[#This Row],[Clave del caso]]</f>
        <v>MAN-00011431</v>
      </c>
      <c r="C153" s="244" t="e">
        <f>#REF!</f>
        <v>#REF!</v>
      </c>
      <c r="D153" s="243" t="str">
        <f>Backlog[[#This Row],[Cliente que solicita]]</f>
        <v>Jujuy</v>
      </c>
      <c r="E153" s="243" t="str">
        <f>Backlog[[#This Row],[Componente]]</f>
        <v>Gamma</v>
      </c>
      <c r="F153" s="243" t="str">
        <f>Backlog[[#This Row],[Area responsable de traccionar]]</f>
        <v>SAC</v>
      </c>
      <c r="G153" s="243">
        <f>Backlog[[#This Row],[OP]]</f>
        <v>0</v>
      </c>
      <c r="H153" s="243" t="str">
        <f>Backlog[[#This Row],[Estado]]</f>
        <v>A priorizar</v>
      </c>
      <c r="I153" s="317" t="str">
        <f>IF(Backlog[[#This Row],[Fecha Requerida en Producción]]="","",Backlog[[#This Row],[Fecha Requerida en Producción]])</f>
        <v/>
      </c>
      <c r="J153" s="317" t="str">
        <f>IF(Backlog[[#This Row],[Fecha comprometida (para UAT)]]="","",Backlog[[#This Row],[Fecha comprometida (para UAT)]])</f>
        <v/>
      </c>
      <c r="K153" s="232"/>
      <c r="L153" s="232"/>
      <c r="M153" s="232"/>
      <c r="N153" s="248"/>
      <c r="O153" s="248"/>
      <c r="P153" s="248"/>
      <c r="Q153" s="248"/>
    </row>
    <row r="154" spans="1:17" ht="15.75" hidden="1" customHeight="1">
      <c r="A154" s="309" t="e">
        <f>#REF!</f>
        <v>#REF!</v>
      </c>
      <c r="B154" s="234" t="str">
        <f>Backlog[[#This Row],[Clave del caso]]</f>
        <v>MAN-00011430</v>
      </c>
      <c r="C154" s="195" t="e">
        <f>#REF!</f>
        <v>#REF!</v>
      </c>
      <c r="D154" s="234" t="str">
        <f>Backlog[[#This Row],[Cliente que solicita]]</f>
        <v>Jujuy</v>
      </c>
      <c r="E154" s="234" t="str">
        <f>Backlog[[#This Row],[Componente]]</f>
        <v>Gamma</v>
      </c>
      <c r="F154" s="234" t="str">
        <f>Backlog[[#This Row],[Area responsable de traccionar]]</f>
        <v>SAC</v>
      </c>
      <c r="G154" s="234">
        <f>Backlog[[#This Row],[OP]]</f>
        <v>0</v>
      </c>
      <c r="H154" s="234" t="str">
        <f>Backlog[[#This Row],[Estado]]</f>
        <v>A priorizar</v>
      </c>
      <c r="I154" s="316" t="str">
        <f>IF(Backlog[[#This Row],[Fecha Requerida en Producción]]="","",Backlog[[#This Row],[Fecha Requerida en Producción]])</f>
        <v/>
      </c>
      <c r="J154" s="316" t="str">
        <f>IF(Backlog[[#This Row],[Fecha comprometida (para UAT)]]="","",Backlog[[#This Row],[Fecha comprometida (para UAT)]])</f>
        <v/>
      </c>
      <c r="K154" s="193"/>
      <c r="L154" s="193"/>
      <c r="M154" s="193"/>
      <c r="N154" s="248"/>
      <c r="O154" s="248"/>
      <c r="P154" s="248"/>
      <c r="Q154" s="248"/>
    </row>
    <row r="155" spans="1:17" ht="15.75" hidden="1" customHeight="1">
      <c r="A155" s="309" t="e">
        <f>#REF!</f>
        <v>#REF!</v>
      </c>
      <c r="B155" s="234" t="str">
        <f>Backlog[[#This Row],[Clave del caso]]</f>
        <v>MAN-00011423</v>
      </c>
      <c r="C155" s="202" t="e">
        <f>#REF!</f>
        <v>#REF!</v>
      </c>
      <c r="D155" s="234" t="str">
        <f>Backlog[[#This Row],[Cliente que solicita]]</f>
        <v>Jujuy</v>
      </c>
      <c r="E155" s="234" t="str">
        <f>Backlog[[#This Row],[Componente]]</f>
        <v>Gamma</v>
      </c>
      <c r="F155" s="234" t="str">
        <f>Backlog[[#This Row],[Area responsable de traccionar]]</f>
        <v>SAC</v>
      </c>
      <c r="G155" s="234">
        <f>Backlog[[#This Row],[OP]]</f>
        <v>0</v>
      </c>
      <c r="H155" s="234" t="str">
        <f>Backlog[[#This Row],[Estado]]</f>
        <v>A priorizar</v>
      </c>
      <c r="I155" s="316" t="str">
        <f>IF(Backlog[[#This Row],[Fecha Requerida en Producción]]="","",Backlog[[#This Row],[Fecha Requerida en Producción]])</f>
        <v/>
      </c>
      <c r="J155" s="316" t="str">
        <f>IF(Backlog[[#This Row],[Fecha comprometida (para UAT)]]="","",Backlog[[#This Row],[Fecha comprometida (para UAT)]])</f>
        <v/>
      </c>
      <c r="K155" s="193"/>
      <c r="L155" s="193"/>
      <c r="M155" s="193"/>
      <c r="N155" s="248"/>
      <c r="O155" s="248"/>
      <c r="P155" s="248"/>
      <c r="Q155" s="248"/>
    </row>
    <row r="156" spans="1:17" ht="15.75" hidden="1" customHeight="1">
      <c r="A156" s="309" t="e">
        <f>#REF!</f>
        <v>#REF!</v>
      </c>
      <c r="B156" s="234" t="str">
        <f>Backlog[[#This Row],[Clave del caso]]</f>
        <v>MAN-00011424</v>
      </c>
      <c r="C156" s="202" t="e">
        <f>#REF!</f>
        <v>#REF!</v>
      </c>
      <c r="D156" s="234" t="str">
        <f>Backlog[[#This Row],[Cliente que solicita]]</f>
        <v>Jujuy</v>
      </c>
      <c r="E156" s="234" t="str">
        <f>Backlog[[#This Row],[Componente]]</f>
        <v>Gamma</v>
      </c>
      <c r="F156" s="234" t="str">
        <f>Backlog[[#This Row],[Area responsable de traccionar]]</f>
        <v>SAC</v>
      </c>
      <c r="G156" s="234">
        <f>Backlog[[#This Row],[OP]]</f>
        <v>0</v>
      </c>
      <c r="H156" s="234" t="str">
        <f>Backlog[[#This Row],[Estado]]</f>
        <v>A priorizar</v>
      </c>
      <c r="I156" s="316" t="str">
        <f>IF(Backlog[[#This Row],[Fecha Requerida en Producción]]="","",Backlog[[#This Row],[Fecha Requerida en Producción]])</f>
        <v/>
      </c>
      <c r="J156" s="316" t="str">
        <f>IF(Backlog[[#This Row],[Fecha comprometida (para UAT)]]="","",Backlog[[#This Row],[Fecha comprometida (para UAT)]])</f>
        <v>MARZO</v>
      </c>
      <c r="K156" s="193"/>
      <c r="L156" s="193"/>
      <c r="M156" s="193"/>
      <c r="N156" s="248"/>
      <c r="O156" s="248"/>
      <c r="P156" s="248"/>
      <c r="Q156" s="248"/>
    </row>
    <row r="157" spans="1:17" ht="15.75" hidden="1" customHeight="1">
      <c r="A157" s="309" t="e">
        <f>#REF!</f>
        <v>#REF!</v>
      </c>
      <c r="B157" s="234" t="str">
        <f>Backlog[[#This Row],[Clave del caso]]</f>
        <v>MAN-00012627</v>
      </c>
      <c r="C157" s="202" t="e">
        <f>#REF!</f>
        <v>#REF!</v>
      </c>
      <c r="D157" s="234" t="str">
        <f>Backlog[[#This Row],[Cliente que solicita]]</f>
        <v>Corrientes</v>
      </c>
      <c r="E157" s="234" t="str">
        <f>Backlog[[#This Row],[Componente]]</f>
        <v>Panel Agentes-Abaco</v>
      </c>
      <c r="F157" s="234" t="str">
        <f>Backlog[[#This Row],[Area responsable de traccionar]]</f>
        <v>SAC</v>
      </c>
      <c r="G157" s="234">
        <f>Backlog[[#This Row],[OP]]</f>
        <v>0</v>
      </c>
      <c r="H157" s="234" t="str">
        <f>Backlog[[#This Row],[Estado]]</f>
        <v>A priorizar</v>
      </c>
      <c r="I157" s="316" t="str">
        <f>IF(Backlog[[#This Row],[Fecha Requerida en Producción]]="","",Backlog[[#This Row],[Fecha Requerida en Producción]])</f>
        <v/>
      </c>
      <c r="J157" s="316" t="str">
        <f>IF(Backlog[[#This Row],[Fecha comprometida (para UAT)]]="","",Backlog[[#This Row],[Fecha comprometida (para UAT)]])</f>
        <v/>
      </c>
      <c r="K157" s="193"/>
      <c r="L157" s="193"/>
      <c r="M157" s="193"/>
      <c r="N157" s="248"/>
      <c r="O157" s="248"/>
      <c r="P157" s="248"/>
      <c r="Q157" s="248"/>
    </row>
    <row r="158" spans="1:17" ht="15.75" hidden="1" customHeight="1">
      <c r="A158" s="309" t="e">
        <f>#REF!</f>
        <v>#REF!</v>
      </c>
      <c r="B158" s="234" t="str">
        <f>Backlog[[#This Row],[Clave del caso]]</f>
        <v>13227</v>
      </c>
      <c r="C158" s="202" t="e">
        <f>#REF!</f>
        <v>#REF!</v>
      </c>
      <c r="D158" s="234" t="str">
        <f>Backlog[[#This Row],[Cliente que solicita]]</f>
        <v>Corrientes</v>
      </c>
      <c r="E158" s="234" t="str">
        <f>Backlog[[#This Row],[Componente]]</f>
        <v>Gamma</v>
      </c>
      <c r="F158" s="234" t="str">
        <f>Backlog[[#This Row],[Area responsable de traccionar]]</f>
        <v>mantenimiento</v>
      </c>
      <c r="G158" s="234">
        <f>Backlog[[#This Row],[OP]]</f>
        <v>1</v>
      </c>
      <c r="H158" s="234" t="str">
        <f>Backlog[[#This Row],[Estado]]</f>
        <v>Cerrado</v>
      </c>
      <c r="I158" s="316" t="str">
        <f>IF(Backlog[[#This Row],[Fecha Requerida en Producción]]="","",Backlog[[#This Row],[Fecha Requerida en Producción]])</f>
        <v/>
      </c>
      <c r="J158" s="316">
        <f>IF(Backlog[[#This Row],[Fecha comprometida (para UAT)]]="","",Backlog[[#This Row],[Fecha comprometida (para UAT)]])</f>
        <v>46066</v>
      </c>
      <c r="K158" s="193"/>
      <c r="L158" s="193"/>
      <c r="M158" s="193"/>
      <c r="N158" s="248"/>
      <c r="O158" s="248"/>
      <c r="P158" s="248"/>
      <c r="Q158" s="248"/>
    </row>
    <row r="159" spans="1:17" ht="15.75" hidden="1" customHeight="1">
      <c r="A159" s="309" t="e">
        <f>#REF!</f>
        <v>#REF!</v>
      </c>
      <c r="B159" s="234" t="str">
        <f>Backlog[[#This Row],[Clave del caso]]</f>
        <v>10541</v>
      </c>
      <c r="C159" s="202" t="e">
        <f>#REF!</f>
        <v>#REF!</v>
      </c>
      <c r="D159" s="234" t="str">
        <f>Backlog[[#This Row],[Cliente que solicita]]</f>
        <v>Corrientes</v>
      </c>
      <c r="E159" s="234" t="str">
        <f>Backlog[[#This Row],[Componente]]</f>
        <v>Gamma</v>
      </c>
      <c r="F159" s="234">
        <f>Backlog[[#This Row],[Area responsable de traccionar]]</f>
        <v>0</v>
      </c>
      <c r="G159" s="234">
        <f>Backlog[[#This Row],[OP]]</f>
        <v>0</v>
      </c>
      <c r="H159" s="234" t="str">
        <f>Backlog[[#This Row],[Estado]]</f>
        <v>Cerrado</v>
      </c>
      <c r="I159" s="316" t="str">
        <f>IF(Backlog[[#This Row],[Fecha Requerida en Producción]]="","",Backlog[[#This Row],[Fecha Requerida en Producción]])</f>
        <v/>
      </c>
      <c r="J159" s="316" t="str">
        <f>IF(Backlog[[#This Row],[Fecha comprometida (para UAT)]]="","",Backlog[[#This Row],[Fecha comprometida (para UAT)]])</f>
        <v/>
      </c>
      <c r="K159" s="193"/>
      <c r="L159" s="193"/>
      <c r="M159" s="193"/>
      <c r="N159" s="248"/>
      <c r="O159" s="248"/>
      <c r="P159" s="248"/>
      <c r="Q159" s="248"/>
    </row>
    <row r="160" spans="1:17" ht="15.75" hidden="1" customHeight="1">
      <c r="A160" s="309" t="e">
        <f>#REF!</f>
        <v>#REF!</v>
      </c>
      <c r="B160" s="234" t="str">
        <f>Backlog[[#This Row],[Clave del caso]]</f>
        <v>MAN-00014096</v>
      </c>
      <c r="C160" s="202" t="e">
        <f>#REF!</f>
        <v>#REF!</v>
      </c>
      <c r="D160" s="234" t="str">
        <f>Backlog[[#This Row],[Cliente que solicita]]</f>
        <v>Corrientes</v>
      </c>
      <c r="E160" s="234" t="str">
        <f>Backlog[[#This Row],[Componente]]</f>
        <v>Gamma</v>
      </c>
      <c r="F160" s="234">
        <f>Backlog[[#This Row],[Area responsable de traccionar]]</f>
        <v>0</v>
      </c>
      <c r="G160" s="234">
        <f>Backlog[[#This Row],[OP]]</f>
        <v>0</v>
      </c>
      <c r="H160" s="234" t="str">
        <f>Backlog[[#This Row],[Estado]]</f>
        <v>Cerrado</v>
      </c>
      <c r="I160" s="316" t="str">
        <f>IF(Backlog[[#This Row],[Fecha Requerida en Producción]]="","",Backlog[[#This Row],[Fecha Requerida en Producción]])</f>
        <v/>
      </c>
      <c r="J160" s="316" t="str">
        <f>IF(Backlog[[#This Row],[Fecha comprometida (para UAT)]]="","",Backlog[[#This Row],[Fecha comprometida (para UAT)]])</f>
        <v/>
      </c>
      <c r="K160" s="193"/>
      <c r="L160" s="193"/>
      <c r="M160" s="193"/>
      <c r="N160" s="248"/>
      <c r="O160" s="248"/>
      <c r="P160" s="248"/>
      <c r="Q160" s="248"/>
    </row>
    <row r="161" spans="1:17" ht="15.75" hidden="1" customHeight="1">
      <c r="A161" s="309" t="e">
        <f>#REF!</f>
        <v>#REF!</v>
      </c>
      <c r="B161" s="234" t="str">
        <f>Backlog[[#This Row],[Clave del caso]]</f>
        <v>MAN-00014170</v>
      </c>
      <c r="C161" s="202" t="e">
        <f>#REF!</f>
        <v>#REF!</v>
      </c>
      <c r="D161" s="234" t="str">
        <f>Backlog[[#This Row],[Cliente que solicita]]</f>
        <v>Todas las provincias</v>
      </c>
      <c r="E161" s="234" t="str">
        <f>Backlog[[#This Row],[Componente]]</f>
        <v>Gamma</v>
      </c>
      <c r="F161" s="234">
        <f>Backlog[[#This Row],[Area responsable de traccionar]]</f>
        <v>0</v>
      </c>
      <c r="G161" s="234">
        <f>Backlog[[#This Row],[OP]]</f>
        <v>0</v>
      </c>
      <c r="H161" s="234" t="str">
        <f>Backlog[[#This Row],[Estado]]</f>
        <v>Cerrado</v>
      </c>
      <c r="I161" s="316" t="str">
        <f>IF(Backlog[[#This Row],[Fecha Requerida en Producción]]="","",Backlog[[#This Row],[Fecha Requerida en Producción]])</f>
        <v/>
      </c>
      <c r="J161" s="316" t="str">
        <f>IF(Backlog[[#This Row],[Fecha comprometida (para UAT)]]="","",Backlog[[#This Row],[Fecha comprometida (para UAT)]])</f>
        <v/>
      </c>
      <c r="K161" s="193"/>
      <c r="L161" s="193"/>
      <c r="M161" s="193"/>
      <c r="N161" s="248"/>
      <c r="O161" s="248"/>
      <c r="P161" s="248"/>
      <c r="Q161" s="248"/>
    </row>
    <row r="162" spans="1:17" ht="15.75" hidden="1" customHeight="1">
      <c r="A162" s="309" t="e">
        <f>#REF!</f>
        <v>#REF!</v>
      </c>
      <c r="B162" s="234" t="str">
        <f>Backlog[[#This Row],[Clave del caso]]</f>
        <v>MAN-658 SF15876</v>
      </c>
      <c r="C162" s="202" t="e">
        <f>#REF!</f>
        <v>#REF!</v>
      </c>
      <c r="D162" s="234" t="str">
        <f>Backlog[[#This Row],[Cliente que solicita]]</f>
        <v>Salta</v>
      </c>
      <c r="E162" s="234" t="str">
        <f>Backlog[[#This Row],[Componente]]</f>
        <v>Gamma</v>
      </c>
      <c r="F162" s="234">
        <f>Backlog[[#This Row],[Area responsable de traccionar]]</f>
        <v>0</v>
      </c>
      <c r="G162" s="234">
        <f>Backlog[[#This Row],[OP]]</f>
        <v>0</v>
      </c>
      <c r="H162" s="234" t="str">
        <f>Backlog[[#This Row],[Estado]]</f>
        <v>Cerrado</v>
      </c>
      <c r="I162" s="316" t="str">
        <f>IF(Backlog[[#This Row],[Fecha Requerida en Producción]]="","",Backlog[[#This Row],[Fecha Requerida en Producción]])</f>
        <v/>
      </c>
      <c r="J162" s="316" t="str">
        <f>IF(Backlog[[#This Row],[Fecha comprometida (para UAT)]]="","",Backlog[[#This Row],[Fecha comprometida (para UAT)]])</f>
        <v/>
      </c>
      <c r="K162" s="193"/>
      <c r="L162" s="193"/>
      <c r="M162" s="193"/>
      <c r="N162" s="248"/>
      <c r="O162" s="248"/>
      <c r="P162" s="248"/>
      <c r="Q162" s="248"/>
    </row>
    <row r="163" spans="1:17" ht="15.75" hidden="1" customHeight="1">
      <c r="A163" s="309" t="e">
        <f>#REF!</f>
        <v>#REF!</v>
      </c>
      <c r="B163" s="234" t="str">
        <f>Backlog[[#This Row],[Clave del caso]]</f>
        <v>MAN-662 SF15902</v>
      </c>
      <c r="C163" s="202" t="e">
        <f>#REF!</f>
        <v>#REF!</v>
      </c>
      <c r="D163" s="234" t="str">
        <f>Backlog[[#This Row],[Cliente que solicita]]</f>
        <v>Salta</v>
      </c>
      <c r="E163" s="234" t="str">
        <f>Backlog[[#This Row],[Componente]]</f>
        <v>Gamma</v>
      </c>
      <c r="F163" s="234">
        <f>Backlog[[#This Row],[Area responsable de traccionar]]</f>
        <v>0</v>
      </c>
      <c r="G163" s="234">
        <f>Backlog[[#This Row],[OP]]</f>
        <v>0</v>
      </c>
      <c r="H163" s="234" t="str">
        <f>Backlog[[#This Row],[Estado]]</f>
        <v>Cerrado</v>
      </c>
      <c r="I163" s="316" t="str">
        <f>IF(Backlog[[#This Row],[Fecha Requerida en Producción]]="","",Backlog[[#This Row],[Fecha Requerida en Producción]])</f>
        <v/>
      </c>
      <c r="J163" s="316" t="str">
        <f>IF(Backlog[[#This Row],[Fecha comprometida (para UAT)]]="","",Backlog[[#This Row],[Fecha comprometida (para UAT)]])</f>
        <v/>
      </c>
      <c r="K163" s="193"/>
      <c r="L163" s="193"/>
      <c r="M163" s="193"/>
      <c r="N163" s="248"/>
      <c r="O163" s="248"/>
      <c r="P163" s="248"/>
      <c r="Q163" s="248"/>
    </row>
    <row r="164" spans="1:17" ht="15.75" hidden="1" customHeight="1">
      <c r="A164" s="309" t="e">
        <f>#REF!</f>
        <v>#REF!</v>
      </c>
      <c r="B164" s="234" t="str">
        <f>Backlog[[#This Row],[Clave del caso]]</f>
        <v>MAN-666 SF15955</v>
      </c>
      <c r="C164" s="202" t="e">
        <f>#REF!</f>
        <v>#REF!</v>
      </c>
      <c r="D164" s="234" t="str">
        <f>Backlog[[#This Row],[Cliente que solicita]]</f>
        <v>Salta</v>
      </c>
      <c r="E164" s="234" t="str">
        <f>Backlog[[#This Row],[Componente]]</f>
        <v>Gamma</v>
      </c>
      <c r="F164" s="234">
        <f>Backlog[[#This Row],[Area responsable de traccionar]]</f>
        <v>0</v>
      </c>
      <c r="G164" s="234">
        <f>Backlog[[#This Row],[OP]]</f>
        <v>0</v>
      </c>
      <c r="H164" s="234" t="str">
        <f>Backlog[[#This Row],[Estado]]</f>
        <v>Cerrado</v>
      </c>
      <c r="I164" s="316" t="str">
        <f>IF(Backlog[[#This Row],[Fecha Requerida en Producción]]="","",Backlog[[#This Row],[Fecha Requerida en Producción]])</f>
        <v/>
      </c>
      <c r="J164" s="316" t="str">
        <f>IF(Backlog[[#This Row],[Fecha comprometida (para UAT)]]="","",Backlog[[#This Row],[Fecha comprometida (para UAT)]])</f>
        <v/>
      </c>
      <c r="K164" s="193"/>
      <c r="L164" s="193"/>
      <c r="M164" s="193"/>
      <c r="N164" s="248"/>
      <c r="O164" s="248"/>
      <c r="P164" s="248"/>
      <c r="Q164" s="248"/>
    </row>
    <row r="165" spans="1:17" ht="15.75" hidden="1" customHeight="1">
      <c r="A165" s="309" t="e">
        <f>#REF!</f>
        <v>#REF!</v>
      </c>
      <c r="B165" s="234" t="str">
        <f>Backlog[[#This Row],[Clave del caso]]</f>
        <v>00008131</v>
      </c>
      <c r="C165" s="202" t="e">
        <f>#REF!</f>
        <v>#REF!</v>
      </c>
      <c r="D165" s="234" t="str">
        <f>Backlog[[#This Row],[Cliente que solicita]]</f>
        <v>Todas las provincias</v>
      </c>
      <c r="E165" s="234" t="str">
        <f>Backlog[[#This Row],[Componente]]</f>
        <v>Gamma</v>
      </c>
      <c r="F165" s="234" t="str">
        <f>Backlog[[#This Row],[Area responsable de traccionar]]</f>
        <v>Mantenimiento</v>
      </c>
      <c r="G165" s="234">
        <f>Backlog[[#This Row],[OP]]</f>
        <v>0</v>
      </c>
      <c r="H165" s="234" t="str">
        <f>Backlog[[#This Row],[Estado]]</f>
        <v>Cerrado</v>
      </c>
      <c r="I165" s="316">
        <f>IF(Backlog[[#This Row],[Fecha Requerida en Producción]]="","",Backlog[[#This Row],[Fecha Requerida en Producción]])</f>
        <v>46053</v>
      </c>
      <c r="J165" s="316" t="str">
        <f>IF(Backlog[[#This Row],[Fecha comprometida (para UAT)]]="","",Backlog[[#This Row],[Fecha comprometida (para UAT)]])</f>
        <v>MARZO</v>
      </c>
      <c r="K165" s="193"/>
      <c r="L165" s="193"/>
      <c r="M165" s="193"/>
      <c r="N165" s="248"/>
      <c r="O165" s="248"/>
      <c r="P165" s="248"/>
      <c r="Q165" s="248"/>
    </row>
    <row r="166" spans="1:17" ht="15.75" hidden="1" customHeight="1">
      <c r="A166" s="309" t="e">
        <f>#REF!</f>
        <v>#REF!</v>
      </c>
      <c r="B166" s="234" t="str">
        <f>Backlog[[#This Row],[Clave del caso]]</f>
        <v>MAN-592</v>
      </c>
      <c r="C166" s="202" t="e">
        <f>#REF!</f>
        <v>#REF!</v>
      </c>
      <c r="D166" s="234" t="str">
        <f>Backlog[[#This Row],[Cliente que solicita]]</f>
        <v>Salta</v>
      </c>
      <c r="E166" s="234" t="str">
        <f>Backlog[[#This Row],[Componente]]</f>
        <v>Abaco</v>
      </c>
      <c r="F166" s="234" t="str">
        <f>Backlog[[#This Row],[Area responsable de traccionar]]</f>
        <v>Mantenimiento</v>
      </c>
      <c r="G166" s="234">
        <f>Backlog[[#This Row],[OP]]</f>
        <v>0</v>
      </c>
      <c r="H166" s="234" t="str">
        <f>Backlog[[#This Row],[Estado]]</f>
        <v>Cerrado</v>
      </c>
      <c r="I166" s="316" t="str">
        <f>IF(Backlog[[#This Row],[Fecha Requerida en Producción]]="","",Backlog[[#This Row],[Fecha Requerida en Producción]])</f>
        <v/>
      </c>
      <c r="J166" s="316" t="str">
        <f>IF(Backlog[[#This Row],[Fecha comprometida (para UAT)]]="","",Backlog[[#This Row],[Fecha comprometida (para UAT)]])</f>
        <v>MARZO</v>
      </c>
      <c r="K166" s="193"/>
      <c r="L166" s="193"/>
      <c r="M166" s="193"/>
      <c r="N166" s="248"/>
      <c r="O166" s="248"/>
      <c r="P166" s="248"/>
      <c r="Q166" s="248"/>
    </row>
    <row r="167" spans="1:17" ht="15.75" hidden="1" customHeight="1">
      <c r="A167" s="309" t="e">
        <f>#REF!</f>
        <v>#REF!</v>
      </c>
      <c r="B167" s="234" t="str">
        <f>Backlog[[#This Row],[Clave del caso]]</f>
        <v>MAN-69</v>
      </c>
      <c r="C167" s="202" t="e">
        <f>#REF!</f>
        <v>#REF!</v>
      </c>
      <c r="D167" s="234" t="str">
        <f>Backlog[[#This Row],[Cliente que solicita]]</f>
        <v>Salta</v>
      </c>
      <c r="E167" s="234" t="str">
        <f>Backlog[[#This Row],[Componente]]</f>
        <v>Gamma</v>
      </c>
      <c r="F167" s="234" t="str">
        <f>Backlog[[#This Row],[Area responsable de traccionar]]</f>
        <v>SAC</v>
      </c>
      <c r="G167" s="234">
        <f>Backlog[[#This Row],[OP]]</f>
        <v>0</v>
      </c>
      <c r="H167" s="234" t="str">
        <f>Backlog[[#This Row],[Estado]]</f>
        <v>Cerrado</v>
      </c>
      <c r="I167" s="316" t="str">
        <f>IF(Backlog[[#This Row],[Fecha Requerida en Producción]]="","",Backlog[[#This Row],[Fecha Requerida en Producción]])</f>
        <v/>
      </c>
      <c r="J167" s="316" t="str">
        <f>IF(Backlog[[#This Row],[Fecha comprometida (para UAT)]]="","",Backlog[[#This Row],[Fecha comprometida (para UAT)]])</f>
        <v/>
      </c>
      <c r="K167" s="193"/>
      <c r="L167" s="193"/>
      <c r="M167" s="193"/>
      <c r="N167" s="248"/>
      <c r="O167" s="248"/>
      <c r="P167" s="248"/>
      <c r="Q167" s="248"/>
    </row>
    <row r="168" spans="1:17" ht="15.75" hidden="1" customHeight="1">
      <c r="A168" s="309" t="e">
        <f>#REF!</f>
        <v>#REF!</v>
      </c>
      <c r="B168" s="234" t="str">
        <f>Backlog[[#This Row],[Clave del caso]]</f>
        <v>MAN-135</v>
      </c>
      <c r="C168" s="202" t="e">
        <f>#REF!</f>
        <v>#REF!</v>
      </c>
      <c r="D168" s="234" t="str">
        <f>Backlog[[#This Row],[Cliente que solicita]]</f>
        <v>Salta</v>
      </c>
      <c r="E168" s="234" t="str">
        <f>Backlog[[#This Row],[Componente]]</f>
        <v>Abaco</v>
      </c>
      <c r="F168" s="234" t="str">
        <f>Backlog[[#This Row],[Area responsable de traccionar]]</f>
        <v>SAC</v>
      </c>
      <c r="G168" s="234">
        <f>Backlog[[#This Row],[OP]]</f>
        <v>0</v>
      </c>
      <c r="H168" s="234" t="str">
        <f>Backlog[[#This Row],[Estado]]</f>
        <v>Cerrado</v>
      </c>
      <c r="I168" s="316" t="str">
        <f>IF(Backlog[[#This Row],[Fecha Requerida en Producción]]="","",Backlog[[#This Row],[Fecha Requerida en Producción]])</f>
        <v/>
      </c>
      <c r="J168" s="316" t="str">
        <f>IF(Backlog[[#This Row],[Fecha comprometida (para UAT)]]="","",Backlog[[#This Row],[Fecha comprometida (para UAT)]])</f>
        <v/>
      </c>
      <c r="K168" s="193"/>
      <c r="L168" s="193"/>
      <c r="M168" s="193"/>
      <c r="N168" s="248"/>
      <c r="O168" s="248"/>
      <c r="P168" s="248"/>
      <c r="Q168" s="248"/>
    </row>
    <row r="169" spans="1:17" ht="15.75" hidden="1" customHeight="1">
      <c r="A169" s="309" t="e">
        <f>#REF!</f>
        <v>#REF!</v>
      </c>
      <c r="B169" s="234" t="str">
        <f>Backlog[[#This Row],[Clave del caso]]</f>
        <v>MAN-386</v>
      </c>
      <c r="C169" s="202" t="e">
        <f>#REF!</f>
        <v>#REF!</v>
      </c>
      <c r="D169" s="234" t="str">
        <f>Backlog[[#This Row],[Cliente que solicita]]</f>
        <v>Jujuy</v>
      </c>
      <c r="E169" s="234" t="str">
        <f>Backlog[[#This Row],[Componente]]</f>
        <v>Gamma</v>
      </c>
      <c r="F169" s="234" t="str">
        <f>Backlog[[#This Row],[Area responsable de traccionar]]</f>
        <v>SAC</v>
      </c>
      <c r="G169" s="234">
        <f>Backlog[[#This Row],[OP]]</f>
        <v>0</v>
      </c>
      <c r="H169" s="234" t="str">
        <f>Backlog[[#This Row],[Estado]]</f>
        <v>Cerrado</v>
      </c>
      <c r="I169" s="316" t="str">
        <f>IF(Backlog[[#This Row],[Fecha Requerida en Producción]]="","",Backlog[[#This Row],[Fecha Requerida en Producción]])</f>
        <v/>
      </c>
      <c r="J169" s="316">
        <f>IF(Backlog[[#This Row],[Fecha comprometida (para UAT)]]="","",Backlog[[#This Row],[Fecha comprometida (para UAT)]])</f>
        <v>45961</v>
      </c>
      <c r="K169" s="193"/>
      <c r="L169" s="193"/>
      <c r="M169" s="193"/>
      <c r="N169" s="248"/>
      <c r="O169" s="248"/>
      <c r="P169" s="248"/>
      <c r="Q169" s="248"/>
    </row>
    <row r="170" spans="1:17" ht="15.75" hidden="1" customHeight="1">
      <c r="A170" s="309" t="e">
        <f>#REF!</f>
        <v>#REF!</v>
      </c>
      <c r="B170" s="234" t="str">
        <f>Backlog[[#This Row],[Clave del caso]]</f>
        <v>00010425</v>
      </c>
      <c r="C170" s="202" t="e">
        <f>#REF!</f>
        <v>#REF!</v>
      </c>
      <c r="D170" s="234" t="str">
        <f>Backlog[[#This Row],[Cliente que solicita]]</f>
        <v>Corrientes</v>
      </c>
      <c r="E170" s="234" t="str">
        <f>Backlog[[#This Row],[Componente]]</f>
        <v>Abaco</v>
      </c>
      <c r="F170" s="234" t="str">
        <f>Backlog[[#This Row],[Area responsable de traccionar]]</f>
        <v>Mantenimiento</v>
      </c>
      <c r="G170" s="234">
        <f>Backlog[[#This Row],[OP]]</f>
        <v>0</v>
      </c>
      <c r="H170" s="234" t="str">
        <f>Backlog[[#This Row],[Estado]]</f>
        <v>Cerrado</v>
      </c>
      <c r="I170" s="316">
        <f>IF(Backlog[[#This Row],[Fecha Requerida en Producción]]="","",Backlog[[#This Row],[Fecha Requerida en Producción]])</f>
        <v>45968</v>
      </c>
      <c r="J170" s="316">
        <f>IF(Backlog[[#This Row],[Fecha comprometida (para UAT)]]="","",Backlog[[#This Row],[Fecha comprometida (para UAT)]])</f>
        <v>45981</v>
      </c>
      <c r="K170" s="193"/>
      <c r="L170" s="193"/>
      <c r="M170" s="193"/>
      <c r="N170" s="248"/>
      <c r="O170" s="248"/>
      <c r="P170" s="248"/>
      <c r="Q170" s="248"/>
    </row>
    <row r="171" spans="1:17" ht="15.75" hidden="1" customHeight="1">
      <c r="A171" s="309" t="e">
        <f>#REF!</f>
        <v>#REF!</v>
      </c>
      <c r="B171" s="234" t="str">
        <f>Backlog[[#This Row],[Clave del caso]]</f>
        <v>MAN-00011111</v>
      </c>
      <c r="C171" s="202" t="e">
        <f>#REF!</f>
        <v>#REF!</v>
      </c>
      <c r="D171" s="234" t="str">
        <f>Backlog[[#This Row],[Cliente que solicita]]</f>
        <v>Corrientes</v>
      </c>
      <c r="E171" s="234" t="str">
        <f>Backlog[[#This Row],[Componente]]</f>
        <v>Abaco</v>
      </c>
      <c r="F171" s="234" t="str">
        <f>Backlog[[#This Row],[Area responsable de traccionar]]</f>
        <v>SAC</v>
      </c>
      <c r="G171" s="234">
        <f>Backlog[[#This Row],[OP]]</f>
        <v>0</v>
      </c>
      <c r="H171" s="234" t="str">
        <f>Backlog[[#This Row],[Estado]]</f>
        <v>Cerrado</v>
      </c>
      <c r="I171" s="316" t="str">
        <f>IF(Backlog[[#This Row],[Fecha Requerida en Producción]]="","",Backlog[[#This Row],[Fecha Requerida en Producción]])</f>
        <v/>
      </c>
      <c r="J171" s="316">
        <f>IF(Backlog[[#This Row],[Fecha comprometida (para UAT)]]="","",Backlog[[#This Row],[Fecha comprometida (para UAT)]])</f>
        <v>45975</v>
      </c>
      <c r="K171" s="193"/>
      <c r="L171" s="193"/>
      <c r="M171" s="193"/>
      <c r="N171" s="248"/>
      <c r="O171" s="248"/>
      <c r="P171" s="248"/>
      <c r="Q171" s="248"/>
    </row>
    <row r="172" spans="1:17" ht="15.75" hidden="1" customHeight="1">
      <c r="A172" s="309" t="e">
        <f>#REF!</f>
        <v>#REF!</v>
      </c>
      <c r="B172" s="234">
        <f>Backlog[[#This Row],[Clave del caso]]</f>
        <v>9544</v>
      </c>
      <c r="C172" s="202" t="e">
        <f>#REF!</f>
        <v>#REF!</v>
      </c>
      <c r="D172" s="234" t="str">
        <f>Backlog[[#This Row],[Cliente que solicita]]</f>
        <v>Salta</v>
      </c>
      <c r="E172" s="234" t="str">
        <f>Backlog[[#This Row],[Componente]]</f>
        <v>Gamma</v>
      </c>
      <c r="F172" s="234" t="str">
        <f>Backlog[[#This Row],[Area responsable de traccionar]]</f>
        <v>SAC</v>
      </c>
      <c r="G172" s="234">
        <f>Backlog[[#This Row],[OP]]</f>
        <v>0</v>
      </c>
      <c r="H172" s="234" t="str">
        <f>Backlog[[#This Row],[Estado]]</f>
        <v>Cerrado</v>
      </c>
      <c r="I172" s="316" t="str">
        <f>IF(Backlog[[#This Row],[Fecha Requerida en Producción]]="","",Backlog[[#This Row],[Fecha Requerida en Producción]])</f>
        <v/>
      </c>
      <c r="J172" s="316" t="str">
        <f>IF(Backlog[[#This Row],[Fecha comprometida (para UAT)]]="","",Backlog[[#This Row],[Fecha comprometida (para UAT)]])</f>
        <v/>
      </c>
      <c r="K172" s="193"/>
      <c r="L172" s="193"/>
      <c r="M172" s="193"/>
      <c r="N172" s="248"/>
      <c r="O172" s="248"/>
      <c r="P172" s="248"/>
      <c r="Q172" s="248"/>
    </row>
    <row r="173" spans="1:17" ht="15.75" hidden="1" customHeight="1">
      <c r="A173" s="309" t="e">
        <f>#REF!</f>
        <v>#REF!</v>
      </c>
      <c r="B173" s="234">
        <f>Backlog[[#This Row],[Clave del caso]]</f>
        <v>10212</v>
      </c>
      <c r="C173" s="202" t="e">
        <f>#REF!</f>
        <v>#REF!</v>
      </c>
      <c r="D173" s="234" t="str">
        <f>Backlog[[#This Row],[Cliente que solicita]]</f>
        <v>Salta</v>
      </c>
      <c r="E173" s="234" t="str">
        <f>Backlog[[#This Row],[Componente]]</f>
        <v>Gamma</v>
      </c>
      <c r="F173" s="234" t="str">
        <f>Backlog[[#This Row],[Area responsable de traccionar]]</f>
        <v>SAC</v>
      </c>
      <c r="G173" s="234">
        <f>Backlog[[#This Row],[OP]]</f>
        <v>0</v>
      </c>
      <c r="H173" s="234" t="str">
        <f>Backlog[[#This Row],[Estado]]</f>
        <v>Cerrado</v>
      </c>
      <c r="I173" s="316" t="str">
        <f>IF(Backlog[[#This Row],[Fecha Requerida en Producción]]="","",Backlog[[#This Row],[Fecha Requerida en Producción]])</f>
        <v/>
      </c>
      <c r="J173" s="316" t="str">
        <f>IF(Backlog[[#This Row],[Fecha comprometida (para UAT)]]="","",Backlog[[#This Row],[Fecha comprometida (para UAT)]])</f>
        <v/>
      </c>
      <c r="K173" s="193"/>
      <c r="L173" s="193"/>
      <c r="M173" s="193"/>
      <c r="N173" s="248"/>
      <c r="O173" s="248"/>
      <c r="P173" s="248"/>
      <c r="Q173" s="248"/>
    </row>
    <row r="174" spans="1:17" ht="15.75" hidden="1" customHeight="1">
      <c r="A174" s="309" t="e">
        <f>#REF!</f>
        <v>#REF!</v>
      </c>
      <c r="B174" s="234" t="str">
        <f>Backlog[[#This Row],[Clave del caso]]</f>
        <v>MAN-134</v>
      </c>
      <c r="C174" s="202" t="e">
        <f>#REF!</f>
        <v>#REF!</v>
      </c>
      <c r="D174" s="234" t="str">
        <f>Backlog[[#This Row],[Cliente que solicita]]</f>
        <v>Salta</v>
      </c>
      <c r="E174" s="234" t="str">
        <f>Backlog[[#This Row],[Componente]]</f>
        <v>Abaco</v>
      </c>
      <c r="F174" s="234" t="str">
        <f>Backlog[[#This Row],[Area responsable de traccionar]]</f>
        <v>SAC</v>
      </c>
      <c r="G174" s="234">
        <f>Backlog[[#This Row],[OP]]</f>
        <v>0</v>
      </c>
      <c r="H174" s="234" t="str">
        <f>Backlog[[#This Row],[Estado]]</f>
        <v>Cerrado</v>
      </c>
      <c r="I174" s="316" t="str">
        <f>IF(Backlog[[#This Row],[Fecha Requerida en Producción]]="","",Backlog[[#This Row],[Fecha Requerida en Producción]])</f>
        <v/>
      </c>
      <c r="J174" s="316" t="str">
        <f>IF(Backlog[[#This Row],[Fecha comprometida (para UAT)]]="","",Backlog[[#This Row],[Fecha comprometida (para UAT)]])</f>
        <v/>
      </c>
      <c r="K174" s="193"/>
      <c r="L174" s="193"/>
      <c r="M174" s="193"/>
      <c r="N174" s="248"/>
      <c r="O174" s="248"/>
      <c r="P174" s="248"/>
      <c r="Q174" s="248"/>
    </row>
    <row r="175" spans="1:17" ht="15.75" hidden="1" customHeight="1">
      <c r="A175" s="309" t="e">
        <f>#REF!</f>
        <v>#REF!</v>
      </c>
      <c r="B175" s="234" t="str">
        <f>Backlog[[#This Row],[Clave del caso]]</f>
        <v>MAN-418</v>
      </c>
      <c r="C175" s="202" t="e">
        <f>#REF!</f>
        <v>#REF!</v>
      </c>
      <c r="D175" s="234" t="str">
        <f>Backlog[[#This Row],[Cliente que solicita]]</f>
        <v>Salta</v>
      </c>
      <c r="E175" s="234" t="str">
        <f>Backlog[[#This Row],[Componente]]</f>
        <v>Gamma</v>
      </c>
      <c r="F175" s="234" t="str">
        <f>Backlog[[#This Row],[Area responsable de traccionar]]</f>
        <v>SAC</v>
      </c>
      <c r="G175" s="234">
        <f>Backlog[[#This Row],[OP]]</f>
        <v>0</v>
      </c>
      <c r="H175" s="234" t="str">
        <f>Backlog[[#This Row],[Estado]]</f>
        <v>Cerrado</v>
      </c>
      <c r="I175" s="316">
        <f>IF(Backlog[[#This Row],[Fecha Requerida en Producción]]="","",Backlog[[#This Row],[Fecha Requerida en Producción]])</f>
        <v>45968</v>
      </c>
      <c r="J175" s="316" t="str">
        <f>IF(Backlog[[#This Row],[Fecha comprometida (para UAT)]]="","",Backlog[[#This Row],[Fecha comprometida (para UAT)]])</f>
        <v/>
      </c>
      <c r="K175" s="193"/>
      <c r="L175" s="193"/>
      <c r="M175" s="193"/>
      <c r="N175" s="248"/>
      <c r="O175" s="248"/>
      <c r="P175" s="248"/>
      <c r="Q175" s="248"/>
    </row>
    <row r="176" spans="1:17" ht="15.75" hidden="1" customHeight="1">
      <c r="A176" s="309" t="e">
        <f>#REF!</f>
        <v>#REF!</v>
      </c>
      <c r="B176" s="234" t="str">
        <f>Backlog[[#This Row],[Clave del caso]]</f>
        <v>MAN-429</v>
      </c>
      <c r="C176" s="202" t="e">
        <f>#REF!</f>
        <v>#REF!</v>
      </c>
      <c r="D176" s="234" t="str">
        <f>Backlog[[#This Row],[Cliente que solicita]]</f>
        <v>Jujuy</v>
      </c>
      <c r="E176" s="234" t="str">
        <f>Backlog[[#This Row],[Componente]]</f>
        <v>Abaco</v>
      </c>
      <c r="F176" s="234" t="str">
        <f>Backlog[[#This Row],[Area responsable de traccionar]]</f>
        <v>SAC</v>
      </c>
      <c r="G176" s="234">
        <f>Backlog[[#This Row],[OP]]</f>
        <v>0</v>
      </c>
      <c r="H176" s="234" t="str">
        <f>Backlog[[#This Row],[Estado]]</f>
        <v>Cerrado</v>
      </c>
      <c r="I176" s="316" t="str">
        <f>IF(Backlog[[#This Row],[Fecha Requerida en Producción]]="","",Backlog[[#This Row],[Fecha Requerida en Producción]])</f>
        <v/>
      </c>
      <c r="J176" s="316" t="str">
        <f>IF(Backlog[[#This Row],[Fecha comprometida (para UAT)]]="","",Backlog[[#This Row],[Fecha comprometida (para UAT)]])</f>
        <v/>
      </c>
      <c r="K176" s="193"/>
      <c r="L176" s="193"/>
      <c r="M176" s="193"/>
      <c r="N176" s="248"/>
      <c r="O176" s="248"/>
      <c r="P176" s="248"/>
      <c r="Q176" s="248"/>
    </row>
    <row r="177" spans="1:17" ht="15.75" hidden="1" customHeight="1">
      <c r="A177" s="309" t="e">
        <f>#REF!</f>
        <v>#REF!</v>
      </c>
      <c r="B177" s="234" t="str">
        <f>Backlog[[#This Row],[Clave del caso]]</f>
        <v>MAN-447</v>
      </c>
      <c r="C177" s="202" t="e">
        <f>#REF!</f>
        <v>#REF!</v>
      </c>
      <c r="D177" s="234" t="str">
        <f>Backlog[[#This Row],[Cliente que solicita]]</f>
        <v>Jujuy</v>
      </c>
      <c r="E177" s="234" t="str">
        <f>Backlog[[#This Row],[Componente]]</f>
        <v>Gamma</v>
      </c>
      <c r="F177" s="234" t="str">
        <f>Backlog[[#This Row],[Area responsable de traccionar]]</f>
        <v>Mantenimiento</v>
      </c>
      <c r="G177" s="234">
        <f>Backlog[[#This Row],[OP]]</f>
        <v>0</v>
      </c>
      <c r="H177" s="234" t="str">
        <f>Backlog[[#This Row],[Estado]]</f>
        <v>Cerrado</v>
      </c>
      <c r="I177" s="316" t="str">
        <f>IF(Backlog[[#This Row],[Fecha Requerida en Producción]]="","",Backlog[[#This Row],[Fecha Requerida en Producción]])</f>
        <v/>
      </c>
      <c r="J177" s="316" t="str">
        <f>IF(Backlog[[#This Row],[Fecha comprometida (para UAT)]]="","",Backlog[[#This Row],[Fecha comprometida (para UAT)]])</f>
        <v/>
      </c>
      <c r="K177" s="193"/>
      <c r="L177" s="193"/>
      <c r="M177" s="193"/>
      <c r="N177" s="248"/>
      <c r="O177" s="248"/>
      <c r="P177" s="248"/>
      <c r="Q177" s="248"/>
    </row>
    <row r="178" spans="1:17" ht="15.75" hidden="1" customHeight="1">
      <c r="A178" s="309" t="e">
        <f>#REF!</f>
        <v>#REF!</v>
      </c>
      <c r="B178" s="234" t="str">
        <f>Backlog[[#This Row],[Clave del caso]]</f>
        <v>MAN-448</v>
      </c>
      <c r="C178" s="202" t="e">
        <f>#REF!</f>
        <v>#REF!</v>
      </c>
      <c r="D178" s="234" t="str">
        <f>Backlog[[#This Row],[Cliente que solicita]]</f>
        <v>Jujuy</v>
      </c>
      <c r="E178" s="234" t="str">
        <f>Backlog[[#This Row],[Componente]]</f>
        <v>Abaco</v>
      </c>
      <c r="F178" s="234" t="str">
        <f>Backlog[[#This Row],[Area responsable de traccionar]]</f>
        <v>SAC</v>
      </c>
      <c r="G178" s="234">
        <f>Backlog[[#This Row],[OP]]</f>
        <v>0</v>
      </c>
      <c r="H178" s="234" t="str">
        <f>Backlog[[#This Row],[Estado]]</f>
        <v>Cerrado</v>
      </c>
      <c r="I178" s="316" t="str">
        <f>IF(Backlog[[#This Row],[Fecha Requerida en Producción]]="","",Backlog[[#This Row],[Fecha Requerida en Producción]])</f>
        <v/>
      </c>
      <c r="J178" s="316" t="str">
        <f>IF(Backlog[[#This Row],[Fecha comprometida (para UAT)]]="","",Backlog[[#This Row],[Fecha comprometida (para UAT)]])</f>
        <v/>
      </c>
      <c r="K178" s="193"/>
      <c r="L178" s="193"/>
      <c r="M178" s="193"/>
      <c r="N178" s="248"/>
      <c r="O178" s="248"/>
      <c r="P178" s="248"/>
      <c r="Q178" s="248"/>
    </row>
    <row r="179" spans="1:17" ht="15.75" hidden="1" customHeight="1">
      <c r="A179" s="309" t="e">
        <f>#REF!</f>
        <v>#REF!</v>
      </c>
      <c r="B179" s="234" t="str">
        <f>Backlog[[#This Row],[Clave del caso]]</f>
        <v>MAN-451</v>
      </c>
      <c r="C179" s="202" t="e">
        <f>#REF!</f>
        <v>#REF!</v>
      </c>
      <c r="D179" s="234" t="str">
        <f>Backlog[[#This Row],[Cliente que solicita]]</f>
        <v>Jujuy</v>
      </c>
      <c r="E179" s="234" t="str">
        <f>Backlog[[#This Row],[Componente]]</f>
        <v>Abaco</v>
      </c>
      <c r="F179" s="234" t="str">
        <f>Backlog[[#This Row],[Area responsable de traccionar]]</f>
        <v>SAC</v>
      </c>
      <c r="G179" s="234">
        <f>Backlog[[#This Row],[OP]]</f>
        <v>0</v>
      </c>
      <c r="H179" s="234" t="str">
        <f>Backlog[[#This Row],[Estado]]</f>
        <v>Cerrado</v>
      </c>
      <c r="I179" s="316" t="str">
        <f>IF(Backlog[[#This Row],[Fecha Requerida en Producción]]="","",Backlog[[#This Row],[Fecha Requerida en Producción]])</f>
        <v/>
      </c>
      <c r="J179" s="316" t="str">
        <f>IF(Backlog[[#This Row],[Fecha comprometida (para UAT)]]="","",Backlog[[#This Row],[Fecha comprometida (para UAT)]])</f>
        <v/>
      </c>
      <c r="K179" s="193"/>
      <c r="L179" s="193"/>
      <c r="M179" s="193"/>
      <c r="N179" s="248"/>
      <c r="O179" s="248"/>
      <c r="P179" s="248"/>
      <c r="Q179" s="248"/>
    </row>
    <row r="180" spans="1:17" ht="15.75" hidden="1" customHeight="1">
      <c r="A180" s="309" t="e">
        <f>#REF!</f>
        <v>#REF!</v>
      </c>
      <c r="B180" s="234" t="str">
        <f>Backlog[[#This Row],[Clave del caso]]</f>
        <v>MAN-484</v>
      </c>
      <c r="C180" s="202" t="e">
        <f>#REF!</f>
        <v>#REF!</v>
      </c>
      <c r="D180" s="234" t="str">
        <f>Backlog[[#This Row],[Cliente que solicita]]</f>
        <v>Jujuy</v>
      </c>
      <c r="E180" s="234" t="str">
        <f>Backlog[[#This Row],[Componente]]</f>
        <v>Gamma</v>
      </c>
      <c r="F180" s="234" t="str">
        <f>Backlog[[#This Row],[Area responsable de traccionar]]</f>
        <v>SAC</v>
      </c>
      <c r="G180" s="234">
        <f>Backlog[[#This Row],[OP]]</f>
        <v>0</v>
      </c>
      <c r="H180" s="234" t="str">
        <f>Backlog[[#This Row],[Estado]]</f>
        <v>Cerrado</v>
      </c>
      <c r="I180" s="316">
        <f>IF(Backlog[[#This Row],[Fecha Requerida en Producción]]="","",Backlog[[#This Row],[Fecha Requerida en Producción]])</f>
        <v>45967</v>
      </c>
      <c r="J180" s="316" t="str">
        <f>IF(Backlog[[#This Row],[Fecha comprometida (para UAT)]]="","",Backlog[[#This Row],[Fecha comprometida (para UAT)]])</f>
        <v/>
      </c>
      <c r="K180" s="193"/>
      <c r="L180" s="193"/>
      <c r="M180" s="193"/>
      <c r="N180" s="248"/>
      <c r="O180" s="248"/>
      <c r="P180" s="248"/>
      <c r="Q180" s="248"/>
    </row>
    <row r="181" spans="1:17" ht="15.75" hidden="1" customHeight="1">
      <c r="A181" s="309" t="e">
        <f>#REF!</f>
        <v>#REF!</v>
      </c>
      <c r="B181" s="234" t="str">
        <f>Backlog[[#This Row],[Clave del caso]]</f>
        <v>MAN-488</v>
      </c>
      <c r="C181" s="202" t="e">
        <f>#REF!</f>
        <v>#REF!</v>
      </c>
      <c r="D181" s="234" t="str">
        <f>Backlog[[#This Row],[Cliente que solicita]]</f>
        <v>Jujuy</v>
      </c>
      <c r="E181" s="234" t="str">
        <f>Backlog[[#This Row],[Componente]]</f>
        <v>Gamma</v>
      </c>
      <c r="F181" s="234" t="str">
        <f>Backlog[[#This Row],[Area responsable de traccionar]]</f>
        <v>SAC</v>
      </c>
      <c r="G181" s="234">
        <f>Backlog[[#This Row],[OP]]</f>
        <v>0</v>
      </c>
      <c r="H181" s="234" t="str">
        <f>Backlog[[#This Row],[Estado]]</f>
        <v>Cerrado</v>
      </c>
      <c r="I181" s="316">
        <f>IF(Backlog[[#This Row],[Fecha Requerida en Producción]]="","",Backlog[[#This Row],[Fecha Requerida en Producción]])</f>
        <v>45971</v>
      </c>
      <c r="J181" s="316" t="str">
        <f>IF(Backlog[[#This Row],[Fecha comprometida (para UAT)]]="","",Backlog[[#This Row],[Fecha comprometida (para UAT)]])</f>
        <v/>
      </c>
      <c r="K181" s="193"/>
      <c r="L181" s="193"/>
      <c r="M181" s="193"/>
      <c r="N181" s="248"/>
      <c r="O181" s="248"/>
      <c r="P181" s="248"/>
      <c r="Q181" s="248"/>
    </row>
    <row r="182" spans="1:17" ht="15.75" hidden="1" customHeight="1">
      <c r="A182" s="309" t="e">
        <f>#REF!</f>
        <v>#REF!</v>
      </c>
      <c r="B182" s="234" t="str">
        <f>Backlog[[#This Row],[Clave del caso]]</f>
        <v>MAN-524</v>
      </c>
      <c r="C182" s="202" t="e">
        <f>#REF!</f>
        <v>#REF!</v>
      </c>
      <c r="D182" s="234" t="str">
        <f>Backlog[[#This Row],[Cliente que solicita]]</f>
        <v>Jujuy</v>
      </c>
      <c r="E182" s="234" t="str">
        <f>Backlog[[#This Row],[Componente]]</f>
        <v>NOA</v>
      </c>
      <c r="F182" s="234" t="str">
        <f>Backlog[[#This Row],[Area responsable de traccionar]]</f>
        <v>SAC</v>
      </c>
      <c r="G182" s="234">
        <f>Backlog[[#This Row],[OP]]</f>
        <v>0</v>
      </c>
      <c r="H182" s="234" t="str">
        <f>Backlog[[#This Row],[Estado]]</f>
        <v>Cerrado</v>
      </c>
      <c r="I182" s="316" t="str">
        <f>IF(Backlog[[#This Row],[Fecha Requerida en Producción]]="","",Backlog[[#This Row],[Fecha Requerida en Producción]])</f>
        <v/>
      </c>
      <c r="J182" s="316" t="str">
        <f>IF(Backlog[[#This Row],[Fecha comprometida (para UAT)]]="","",Backlog[[#This Row],[Fecha comprometida (para UAT)]])</f>
        <v/>
      </c>
      <c r="K182" s="193"/>
      <c r="L182" s="193"/>
      <c r="M182" s="193"/>
      <c r="N182" s="248"/>
      <c r="O182" s="248"/>
      <c r="P182" s="248"/>
      <c r="Q182" s="248"/>
    </row>
    <row r="183" spans="1:17" ht="15.75" hidden="1" customHeight="1">
      <c r="A183" s="309" t="e">
        <f>#REF!</f>
        <v>#REF!</v>
      </c>
      <c r="B183" s="234" t="str">
        <f>Backlog[[#This Row],[Clave del caso]]</f>
        <v>MAN-543   Duplicado con MAN-11424</v>
      </c>
      <c r="C183" s="202" t="e">
        <f>#REF!</f>
        <v>#REF!</v>
      </c>
      <c r="D183" s="234" t="str">
        <f>Backlog[[#This Row],[Cliente que solicita]]</f>
        <v>Jujuy</v>
      </c>
      <c r="E183" s="234" t="str">
        <f>Backlog[[#This Row],[Componente]]</f>
        <v>Gamma</v>
      </c>
      <c r="F183" s="234" t="str">
        <f>Backlog[[#This Row],[Area responsable de traccionar]]</f>
        <v>SAC</v>
      </c>
      <c r="G183" s="234">
        <f>Backlog[[#This Row],[OP]]</f>
        <v>0</v>
      </c>
      <c r="H183" s="234" t="str">
        <f>Backlog[[#This Row],[Estado]]</f>
        <v>Cerrado</v>
      </c>
      <c r="I183" s="316" t="str">
        <f>IF(Backlog[[#This Row],[Fecha Requerida en Producción]]="","",Backlog[[#This Row],[Fecha Requerida en Producción]])</f>
        <v/>
      </c>
      <c r="J183" s="316" t="str">
        <f>IF(Backlog[[#This Row],[Fecha comprometida (para UAT)]]="","",Backlog[[#This Row],[Fecha comprometida (para UAT)]])</f>
        <v/>
      </c>
      <c r="K183" s="193"/>
      <c r="L183" s="193"/>
      <c r="M183" s="193"/>
      <c r="N183" s="248"/>
      <c r="O183" s="248"/>
      <c r="P183" s="248"/>
      <c r="Q183" s="248"/>
    </row>
    <row r="184" spans="1:17" ht="15.75" hidden="1" customHeight="1">
      <c r="A184" s="309" t="e">
        <f>#REF!</f>
        <v>#REF!</v>
      </c>
      <c r="B184" s="234" t="str">
        <f>Backlog[[#This Row],[Clave del caso]]</f>
        <v>MAN-557</v>
      </c>
      <c r="C184" s="202" t="e">
        <f>#REF!</f>
        <v>#REF!</v>
      </c>
      <c r="D184" s="234" t="str">
        <f>Backlog[[#This Row],[Cliente que solicita]]</f>
        <v xml:space="preserve">Salta </v>
      </c>
      <c r="E184" s="234" t="str">
        <f>Backlog[[#This Row],[Componente]]</f>
        <v>Notificaciones</v>
      </c>
      <c r="F184" s="234" t="str">
        <f>Backlog[[#This Row],[Area responsable de traccionar]]</f>
        <v>SAC</v>
      </c>
      <c r="G184" s="234">
        <f>Backlog[[#This Row],[OP]]</f>
        <v>0</v>
      </c>
      <c r="H184" s="234" t="str">
        <f>Backlog[[#This Row],[Estado]]</f>
        <v>Cerrado</v>
      </c>
      <c r="I184" s="316" t="str">
        <f>IF(Backlog[[#This Row],[Fecha Requerida en Producción]]="","",Backlog[[#This Row],[Fecha Requerida en Producción]])</f>
        <v/>
      </c>
      <c r="J184" s="316" t="str">
        <f>IF(Backlog[[#This Row],[Fecha comprometida (para UAT)]]="","",Backlog[[#This Row],[Fecha comprometida (para UAT)]])</f>
        <v/>
      </c>
      <c r="K184" s="193"/>
      <c r="L184" s="193"/>
      <c r="M184" s="193"/>
      <c r="N184" s="248"/>
      <c r="O184" s="248"/>
      <c r="P184" s="248"/>
      <c r="Q184" s="248"/>
    </row>
    <row r="185" spans="1:17" ht="15.75" hidden="1" customHeight="1">
      <c r="A185" s="309" t="e">
        <f>#REF!</f>
        <v>#REF!</v>
      </c>
      <c r="B185" s="234" t="str">
        <f>Backlog[[#This Row],[Clave del caso]]</f>
        <v>MAN-575                  Duplicado con 11424</v>
      </c>
      <c r="C185" s="202" t="e">
        <f>#REF!</f>
        <v>#REF!</v>
      </c>
      <c r="D185" s="234" t="str">
        <f>Backlog[[#This Row],[Cliente que solicita]]</f>
        <v>Jujuy</v>
      </c>
      <c r="E185" s="234" t="str">
        <f>Backlog[[#This Row],[Componente]]</f>
        <v>Gamma</v>
      </c>
      <c r="F185" s="234" t="str">
        <f>Backlog[[#This Row],[Area responsable de traccionar]]</f>
        <v>SAC</v>
      </c>
      <c r="G185" s="234">
        <f>Backlog[[#This Row],[OP]]</f>
        <v>0</v>
      </c>
      <c r="H185" s="234" t="str">
        <f>Backlog[[#This Row],[Estado]]</f>
        <v>Cerrado</v>
      </c>
      <c r="I185" s="316" t="str">
        <f>IF(Backlog[[#This Row],[Fecha Requerida en Producción]]="","",Backlog[[#This Row],[Fecha Requerida en Producción]])</f>
        <v/>
      </c>
      <c r="J185" s="316" t="str">
        <f>IF(Backlog[[#This Row],[Fecha comprometida (para UAT)]]="","",Backlog[[#This Row],[Fecha comprometida (para UAT)]])</f>
        <v/>
      </c>
      <c r="K185" s="193"/>
      <c r="L185" s="193"/>
      <c r="M185" s="193"/>
      <c r="N185" s="248"/>
      <c r="O185" s="248"/>
      <c r="P185" s="248"/>
      <c r="Q185" s="248"/>
    </row>
    <row r="186" spans="1:17" ht="15.75" hidden="1" customHeight="1">
      <c r="A186" s="309" t="e">
        <f>#REF!</f>
        <v>#REF!</v>
      </c>
      <c r="B186" s="234" t="str">
        <f>Backlog[[#This Row],[Clave del caso]]</f>
        <v>MAN-593</v>
      </c>
      <c r="C186" s="202" t="e">
        <f>#REF!</f>
        <v>#REF!</v>
      </c>
      <c r="D186" s="234" t="str">
        <f>Backlog[[#This Row],[Cliente que solicita]]</f>
        <v>Salta</v>
      </c>
      <c r="E186" s="234" t="str">
        <f>Backlog[[#This Row],[Componente]]</f>
        <v>Abaco</v>
      </c>
      <c r="F186" s="234" t="str">
        <f>Backlog[[#This Row],[Area responsable de traccionar]]</f>
        <v>SAC</v>
      </c>
      <c r="G186" s="234">
        <f>Backlog[[#This Row],[OP]]</f>
        <v>0</v>
      </c>
      <c r="H186" s="234" t="str">
        <f>Backlog[[#This Row],[Estado]]</f>
        <v>Cerrado</v>
      </c>
      <c r="I186" s="316" t="str">
        <f>IF(Backlog[[#This Row],[Fecha Requerida en Producción]]="","",Backlog[[#This Row],[Fecha Requerida en Producción]])</f>
        <v/>
      </c>
      <c r="J186" s="316" t="str">
        <f>IF(Backlog[[#This Row],[Fecha comprometida (para UAT)]]="","",Backlog[[#This Row],[Fecha comprometida (para UAT)]])</f>
        <v/>
      </c>
      <c r="K186" s="193"/>
      <c r="L186" s="193"/>
      <c r="M186" s="193"/>
      <c r="N186" s="248"/>
      <c r="O186" s="248"/>
      <c r="P186" s="248"/>
      <c r="Q186" s="248"/>
    </row>
    <row r="187" spans="1:17" ht="15.75" hidden="1" customHeight="1">
      <c r="A187" s="309" t="e">
        <f>#REF!</f>
        <v>#REF!</v>
      </c>
      <c r="B187" s="234" t="str">
        <f>Backlog[[#This Row],[Clave del caso]]</f>
        <v>MAN-594</v>
      </c>
      <c r="C187" s="202" t="e">
        <f>#REF!</f>
        <v>#REF!</v>
      </c>
      <c r="D187" s="234" t="str">
        <f>Backlog[[#This Row],[Cliente que solicita]]</f>
        <v>Salta</v>
      </c>
      <c r="E187" s="234" t="str">
        <f>Backlog[[#This Row],[Componente]]</f>
        <v>Abaco</v>
      </c>
      <c r="F187" s="234" t="str">
        <f>Backlog[[#This Row],[Area responsable de traccionar]]</f>
        <v>SAC</v>
      </c>
      <c r="G187" s="234">
        <f>Backlog[[#This Row],[OP]]</f>
        <v>0</v>
      </c>
      <c r="H187" s="234" t="str">
        <f>Backlog[[#This Row],[Estado]]</f>
        <v>Cerrado</v>
      </c>
      <c r="I187" s="316" t="str">
        <f>IF(Backlog[[#This Row],[Fecha Requerida en Producción]]="","",Backlog[[#This Row],[Fecha Requerida en Producción]])</f>
        <v/>
      </c>
      <c r="J187" s="316" t="str">
        <f>IF(Backlog[[#This Row],[Fecha comprometida (para UAT)]]="","",Backlog[[#This Row],[Fecha comprometida (para UAT)]])</f>
        <v/>
      </c>
      <c r="K187" s="193"/>
      <c r="L187" s="193"/>
      <c r="M187" s="193"/>
      <c r="N187" s="248"/>
      <c r="O187" s="248"/>
      <c r="P187" s="248"/>
      <c r="Q187" s="248"/>
    </row>
    <row r="188" spans="1:17" ht="15.75" hidden="1" customHeight="1">
      <c r="A188" s="309" t="e">
        <f>#REF!</f>
        <v>#REF!</v>
      </c>
      <c r="B188" s="234" t="str">
        <f>Backlog[[#This Row],[Clave del caso]]</f>
        <v>MAN-599</v>
      </c>
      <c r="C188" s="202" t="e">
        <f>#REF!</f>
        <v>#REF!</v>
      </c>
      <c r="D188" s="234" t="str">
        <f>Backlog[[#This Row],[Cliente que solicita]]</f>
        <v>Salta</v>
      </c>
      <c r="E188" s="234" t="str">
        <f>Backlog[[#This Row],[Componente]]</f>
        <v>Abaco</v>
      </c>
      <c r="F188" s="234" t="str">
        <f>Backlog[[#This Row],[Area responsable de traccionar]]</f>
        <v>SAC</v>
      </c>
      <c r="G188" s="234">
        <f>Backlog[[#This Row],[OP]]</f>
        <v>0</v>
      </c>
      <c r="H188" s="234" t="str">
        <f>Backlog[[#This Row],[Estado]]</f>
        <v>Cerrado</v>
      </c>
      <c r="I188" s="316" t="str">
        <f>IF(Backlog[[#This Row],[Fecha Requerida en Producción]]="","",Backlog[[#This Row],[Fecha Requerida en Producción]])</f>
        <v/>
      </c>
      <c r="J188" s="316" t="str">
        <f>IF(Backlog[[#This Row],[Fecha comprometida (para UAT)]]="","",Backlog[[#This Row],[Fecha comprometida (para UAT)]])</f>
        <v/>
      </c>
      <c r="K188" s="193"/>
      <c r="L188" s="193"/>
      <c r="M188" s="193"/>
      <c r="N188" s="248"/>
      <c r="O188" s="248"/>
      <c r="P188" s="248"/>
      <c r="Q188" s="248"/>
    </row>
    <row r="189" spans="1:17" ht="15.75" hidden="1" customHeight="1">
      <c r="A189" s="309" t="e">
        <f>#REF!</f>
        <v>#REF!</v>
      </c>
      <c r="B189" s="234" t="str">
        <f>Backlog[[#This Row],[Clave del caso]]</f>
        <v>MAN-650  Duplicado con 11379</v>
      </c>
      <c r="C189" s="202" t="e">
        <f>#REF!</f>
        <v>#REF!</v>
      </c>
      <c r="D189" s="234" t="str">
        <f>Backlog[[#This Row],[Cliente que solicita]]</f>
        <v>Jujuy</v>
      </c>
      <c r="E189" s="234" t="str">
        <f>Backlog[[#This Row],[Componente]]</f>
        <v>GAMMA</v>
      </c>
      <c r="F189" s="234" t="str">
        <f>Backlog[[#This Row],[Area responsable de traccionar]]</f>
        <v>SAC</v>
      </c>
      <c r="G189" s="234">
        <f>Backlog[[#This Row],[OP]]</f>
        <v>0</v>
      </c>
      <c r="H189" s="234" t="str">
        <f>Backlog[[#This Row],[Estado]]</f>
        <v>Cerrado</v>
      </c>
      <c r="I189" s="316" t="str">
        <f>IF(Backlog[[#This Row],[Fecha Requerida en Producción]]="","",Backlog[[#This Row],[Fecha Requerida en Producción]])</f>
        <v/>
      </c>
      <c r="J189" s="316" t="str">
        <f>IF(Backlog[[#This Row],[Fecha comprometida (para UAT)]]="","",Backlog[[#This Row],[Fecha comprometida (para UAT)]])</f>
        <v/>
      </c>
      <c r="K189" s="193"/>
      <c r="L189" s="193"/>
      <c r="M189" s="193"/>
      <c r="N189" s="248"/>
      <c r="O189" s="248"/>
      <c r="P189" s="248"/>
      <c r="Q189" s="248"/>
    </row>
    <row r="190" spans="1:17" ht="15.75" hidden="1" customHeight="1">
      <c r="A190" s="309" t="e">
        <f>#REF!</f>
        <v>#REF!</v>
      </c>
      <c r="B190" s="234" t="str">
        <f>Backlog[[#This Row],[Clave del caso]]</f>
        <v>Caso-6850</v>
      </c>
      <c r="C190" s="202" t="e">
        <f>#REF!</f>
        <v>#REF!</v>
      </c>
      <c r="D190" s="234" t="str">
        <f>Backlog[[#This Row],[Cliente que solicita]]</f>
        <v xml:space="preserve">Salta </v>
      </c>
      <c r="E190" s="234" t="str">
        <f>Backlog[[#This Row],[Componente]]</f>
        <v>Gamma</v>
      </c>
      <c r="F190" s="234" t="str">
        <f>Backlog[[#This Row],[Area responsable de traccionar]]</f>
        <v>SAC</v>
      </c>
      <c r="G190" s="234">
        <f>Backlog[[#This Row],[OP]]</f>
        <v>0</v>
      </c>
      <c r="H190" s="234" t="str">
        <f>Backlog[[#This Row],[Estado]]</f>
        <v>Cerrado</v>
      </c>
      <c r="I190" s="316" t="str">
        <f>IF(Backlog[[#This Row],[Fecha Requerida en Producción]]="","",Backlog[[#This Row],[Fecha Requerida en Producción]])</f>
        <v/>
      </c>
      <c r="J190" s="316" t="str">
        <f>IF(Backlog[[#This Row],[Fecha comprometida (para UAT)]]="","",Backlog[[#This Row],[Fecha comprometida (para UAT)]])</f>
        <v/>
      </c>
      <c r="K190" s="193"/>
      <c r="L190" s="193"/>
      <c r="M190" s="193"/>
      <c r="N190" s="248"/>
      <c r="O190" s="248"/>
      <c r="P190" s="248"/>
      <c r="Q190" s="248"/>
    </row>
    <row r="191" spans="1:17" ht="15.75" hidden="1" customHeight="1">
      <c r="A191" s="309" t="e">
        <f>#REF!</f>
        <v>#REF!</v>
      </c>
      <c r="B191" s="234" t="str">
        <f>Backlog[[#This Row],[Clave del caso]]</f>
        <v>Caso-6924 vinculado a ...??</v>
      </c>
      <c r="C191" s="202" t="e">
        <f>#REF!</f>
        <v>#REF!</v>
      </c>
      <c r="D191" s="234" t="str">
        <f>Backlog[[#This Row],[Cliente que solicita]]</f>
        <v xml:space="preserve">Salta </v>
      </c>
      <c r="E191" s="234" t="str">
        <f>Backlog[[#This Row],[Componente]]</f>
        <v>Abaco</v>
      </c>
      <c r="F191" s="234" t="str">
        <f>Backlog[[#This Row],[Area responsable de traccionar]]</f>
        <v>SAC</v>
      </c>
      <c r="G191" s="234">
        <f>Backlog[[#This Row],[OP]]</f>
        <v>0</v>
      </c>
      <c r="H191" s="234" t="str">
        <f>Backlog[[#This Row],[Estado]]</f>
        <v>Cerrado</v>
      </c>
      <c r="I191" s="316" t="str">
        <f>IF(Backlog[[#This Row],[Fecha Requerida en Producción]]="","",Backlog[[#This Row],[Fecha Requerida en Producción]])</f>
        <v/>
      </c>
      <c r="J191" s="316" t="str">
        <f>IF(Backlog[[#This Row],[Fecha comprometida (para UAT)]]="","",Backlog[[#This Row],[Fecha comprometida (para UAT)]])</f>
        <v/>
      </c>
      <c r="K191" s="193"/>
      <c r="L191" s="193"/>
      <c r="M191" s="193"/>
      <c r="N191" s="248"/>
      <c r="O191" s="248"/>
      <c r="P191" s="248"/>
      <c r="Q191" s="248"/>
    </row>
    <row r="192" spans="1:17" ht="15.75" hidden="1" customHeight="1">
      <c r="A192" s="309" t="e">
        <f>#REF!</f>
        <v>#REF!</v>
      </c>
      <c r="B192" s="234" t="str">
        <f>Backlog[[#This Row],[Clave del caso]]</f>
        <v>00007754</v>
      </c>
      <c r="C192" s="202" t="e">
        <f>#REF!</f>
        <v>#REF!</v>
      </c>
      <c r="D192" s="234" t="str">
        <f>Backlog[[#This Row],[Cliente que solicita]]</f>
        <v>Jujuy</v>
      </c>
      <c r="E192" s="234" t="str">
        <f>Backlog[[#This Row],[Componente]]</f>
        <v>Gamma</v>
      </c>
      <c r="F192" s="234" t="str">
        <f>Backlog[[#This Row],[Area responsable de traccionar]]</f>
        <v>SAC</v>
      </c>
      <c r="G192" s="234">
        <f>Backlog[[#This Row],[OP]]</f>
        <v>0</v>
      </c>
      <c r="H192" s="234" t="str">
        <f>Backlog[[#This Row],[Estado]]</f>
        <v>Cerrado</v>
      </c>
      <c r="I192" s="316" t="str">
        <f>IF(Backlog[[#This Row],[Fecha Requerida en Producción]]="","",Backlog[[#This Row],[Fecha Requerida en Producción]])</f>
        <v/>
      </c>
      <c r="J192" s="316" t="str">
        <f>IF(Backlog[[#This Row],[Fecha comprometida (para UAT)]]="","",Backlog[[#This Row],[Fecha comprometida (para UAT)]])</f>
        <v/>
      </c>
      <c r="K192" s="193"/>
      <c r="L192" s="193"/>
      <c r="M192" s="193"/>
      <c r="N192" s="248"/>
      <c r="O192" s="248"/>
      <c r="P192" s="248"/>
      <c r="Q192" s="248"/>
    </row>
    <row r="193" spans="1:17" ht="15.75" hidden="1" customHeight="1">
      <c r="A193" s="274"/>
      <c r="B193" s="212"/>
      <c r="C193" s="202" t="e">
        <f>#REF!</f>
        <v>#REF!</v>
      </c>
      <c r="D193" s="202"/>
      <c r="E193" s="214"/>
      <c r="F193" s="202"/>
      <c r="G193" s="234">
        <f>Backlog[[#This Row],[OP]]</f>
        <v>0</v>
      </c>
      <c r="H193" s="202"/>
      <c r="I193" s="316" t="str">
        <f>IF(Backlog[[#This Row],[Fecha Requerida en Producción]]="","",Backlog[[#This Row],[Fecha Requerida en Producción]])</f>
        <v/>
      </c>
      <c r="J193" s="207"/>
      <c r="K193" s="207"/>
      <c r="L193" s="207"/>
      <c r="M193" s="207"/>
      <c r="N193" s="248"/>
      <c r="O193" s="248"/>
      <c r="P193" s="248"/>
      <c r="Q193" s="248"/>
    </row>
    <row r="194" spans="1:17" ht="15.75" hidden="1" customHeight="1">
      <c r="A194" s="274"/>
      <c r="B194" s="212"/>
      <c r="C194" s="202" t="e">
        <f>#REF!</f>
        <v>#REF!</v>
      </c>
      <c r="D194" s="202"/>
      <c r="E194" s="214"/>
      <c r="F194" s="202"/>
      <c r="G194" s="234">
        <f>Backlog[[#This Row],[OP]]</f>
        <v>0</v>
      </c>
      <c r="H194" s="202"/>
      <c r="I194" s="316" t="str">
        <f>IF(Backlog[[#This Row],[Fecha Requerida en Producción]]="","",Backlog[[#This Row],[Fecha Requerida en Producción]])</f>
        <v/>
      </c>
      <c r="J194" s="207"/>
      <c r="K194" s="207"/>
      <c r="L194" s="207"/>
      <c r="M194" s="207"/>
      <c r="N194" s="248"/>
      <c r="O194" s="248"/>
      <c r="P194" s="248"/>
      <c r="Q194" s="248"/>
    </row>
    <row r="195" spans="1:17" ht="15.75" hidden="1" customHeight="1">
      <c r="A195" s="274"/>
      <c r="B195" s="212"/>
      <c r="C195" s="202" t="e">
        <f>#REF!</f>
        <v>#REF!</v>
      </c>
      <c r="D195" s="202"/>
      <c r="E195" s="214"/>
      <c r="F195" s="202"/>
      <c r="G195" s="234">
        <f>Backlog[[#This Row],[OP]]</f>
        <v>0</v>
      </c>
      <c r="H195" s="202"/>
      <c r="I195" s="316" t="str">
        <f>IF(Backlog[[#This Row],[Fecha Requerida en Producción]]="","",Backlog[[#This Row],[Fecha Requerida en Producción]])</f>
        <v/>
      </c>
      <c r="J195" s="207"/>
      <c r="K195" s="207"/>
      <c r="L195" s="207"/>
      <c r="M195" s="207"/>
      <c r="N195" s="248"/>
      <c r="O195" s="248"/>
      <c r="P195" s="248"/>
      <c r="Q195" s="248"/>
    </row>
    <row r="196" spans="1:17" ht="15.75" hidden="1" customHeight="1">
      <c r="A196" s="274"/>
      <c r="B196" s="212"/>
      <c r="C196" s="202" t="e">
        <f>#REF!</f>
        <v>#REF!</v>
      </c>
      <c r="D196" s="202"/>
      <c r="E196" s="214"/>
      <c r="F196" s="202"/>
      <c r="G196" s="234">
        <f>Backlog[[#This Row],[OP]]</f>
        <v>0</v>
      </c>
      <c r="H196" s="202"/>
      <c r="I196" s="316" t="str">
        <f>IF(Backlog[[#This Row],[Fecha Requerida en Producción]]="","",Backlog[[#This Row],[Fecha Requerida en Producción]])</f>
        <v/>
      </c>
      <c r="J196" s="207"/>
      <c r="K196" s="207"/>
      <c r="L196" s="207"/>
      <c r="M196" s="207"/>
      <c r="N196" s="248"/>
      <c r="O196" s="248"/>
      <c r="P196" s="248"/>
      <c r="Q196" s="248"/>
    </row>
    <row r="197" spans="1:17" ht="15.75" hidden="1" customHeight="1">
      <c r="A197" s="274"/>
      <c r="B197" s="212"/>
      <c r="C197" s="202" t="e">
        <f>#REF!</f>
        <v>#REF!</v>
      </c>
      <c r="D197" s="202"/>
      <c r="E197" s="214"/>
      <c r="F197" s="202"/>
      <c r="G197" s="234">
        <f>Backlog[[#This Row],[OP]]</f>
        <v>0</v>
      </c>
      <c r="H197" s="202"/>
      <c r="I197" s="316" t="str">
        <f>IF(Backlog[[#This Row],[Fecha Requerida en Producción]]="","",Backlog[[#This Row],[Fecha Requerida en Producción]])</f>
        <v/>
      </c>
      <c r="J197" s="207"/>
      <c r="K197" s="207"/>
      <c r="L197" s="207"/>
      <c r="M197" s="207"/>
      <c r="N197" s="248"/>
      <c r="O197" s="248"/>
      <c r="P197" s="248"/>
      <c r="Q197" s="248"/>
    </row>
    <row r="198" spans="1:17" ht="15.75" hidden="1" customHeight="1">
      <c r="A198" s="274"/>
      <c r="B198" s="212"/>
      <c r="C198" s="202" t="e">
        <f>#REF!</f>
        <v>#REF!</v>
      </c>
      <c r="D198" s="202"/>
      <c r="E198" s="214"/>
      <c r="F198" s="202"/>
      <c r="G198" s="234">
        <f>Backlog[[#This Row],[OP]]</f>
        <v>0</v>
      </c>
      <c r="H198" s="202"/>
      <c r="I198" s="316" t="str">
        <f>IF(Backlog[[#This Row],[Fecha Requerida en Producción]]="","",Backlog[[#This Row],[Fecha Requerida en Producción]])</f>
        <v/>
      </c>
      <c r="J198" s="207"/>
      <c r="K198" s="207"/>
      <c r="L198" s="207"/>
      <c r="M198" s="207"/>
      <c r="N198" s="248"/>
      <c r="O198" s="248"/>
      <c r="P198" s="248"/>
      <c r="Q198" s="248"/>
    </row>
    <row r="199" spans="1:17" ht="15.75" hidden="1" customHeight="1">
      <c r="A199" s="274"/>
      <c r="B199" s="212"/>
      <c r="C199" s="202" t="e">
        <f>#REF!</f>
        <v>#REF!</v>
      </c>
      <c r="D199" s="202"/>
      <c r="E199" s="214"/>
      <c r="F199" s="202"/>
      <c r="G199" s="234">
        <f>Backlog[[#This Row],[OP]]</f>
        <v>0</v>
      </c>
      <c r="H199" s="202"/>
      <c r="I199" s="316" t="str">
        <f>IF(Backlog[[#This Row],[Fecha Requerida en Producción]]="","",Backlog[[#This Row],[Fecha Requerida en Producción]])</f>
        <v/>
      </c>
      <c r="J199" s="207"/>
      <c r="K199" s="207"/>
      <c r="L199" s="207"/>
      <c r="M199" s="207"/>
      <c r="N199" s="248"/>
      <c r="O199" s="248"/>
      <c r="P199" s="248"/>
      <c r="Q199" s="248"/>
    </row>
    <row r="200" spans="1:17" ht="15.75" hidden="1" customHeight="1">
      <c r="A200" s="274"/>
      <c r="B200" s="212"/>
      <c r="C200" s="202" t="e">
        <f>#REF!</f>
        <v>#REF!</v>
      </c>
      <c r="D200" s="202"/>
      <c r="E200" s="214"/>
      <c r="F200" s="202"/>
      <c r="G200" s="234">
        <f>Backlog[[#This Row],[OP]]</f>
        <v>0</v>
      </c>
      <c r="H200" s="202"/>
      <c r="I200" s="316">
        <f>IF(Backlog[[#This Row],[Fecha Requerida en Producción]]="","",Backlog[[#This Row],[Fecha Requerida en Producción]])</f>
        <v>45971</v>
      </c>
      <c r="J200" s="207"/>
      <c r="K200" s="207"/>
      <c r="L200" s="207"/>
      <c r="M200" s="207"/>
      <c r="N200" s="248"/>
      <c r="O200" s="248"/>
      <c r="P200" s="248"/>
      <c r="Q200" s="248"/>
    </row>
    <row r="201" spans="1:17" ht="15.75" hidden="1" customHeight="1">
      <c r="A201" s="274"/>
      <c r="B201" s="212"/>
      <c r="C201" s="202" t="e">
        <f>#REF!</f>
        <v>#REF!</v>
      </c>
      <c r="D201" s="202"/>
      <c r="E201" s="214"/>
      <c r="F201" s="202"/>
      <c r="G201" s="234">
        <f>Backlog[[#This Row],[OP]]</f>
        <v>0</v>
      </c>
      <c r="H201" s="202"/>
      <c r="I201" s="316" t="str">
        <f>IF(Backlog[[#This Row],[Fecha Requerida en Producción]]="","",Backlog[[#This Row],[Fecha Requerida en Producción]])</f>
        <v/>
      </c>
      <c r="J201" s="207"/>
      <c r="K201" s="207"/>
      <c r="L201" s="207"/>
      <c r="M201" s="207"/>
      <c r="N201" s="248"/>
      <c r="O201" s="248"/>
      <c r="P201" s="248"/>
      <c r="Q201" s="248"/>
    </row>
    <row r="202" spans="1:17" ht="15.75" hidden="1" customHeight="1">
      <c r="A202" s="274"/>
      <c r="B202" s="212"/>
      <c r="C202" s="202" t="e">
        <f>#REF!</f>
        <v>#REF!</v>
      </c>
      <c r="D202" s="202"/>
      <c r="E202" s="214"/>
      <c r="F202" s="202"/>
      <c r="G202" s="234">
        <f>Backlog[[#This Row],[OP]]</f>
        <v>0</v>
      </c>
      <c r="H202" s="202"/>
      <c r="I202" s="316">
        <f>IF(Backlog[[#This Row],[Fecha Requerida en Producción]]="","",Backlog[[#This Row],[Fecha Requerida en Producción]])</f>
        <v>45968</v>
      </c>
      <c r="J202" s="207"/>
      <c r="K202" s="207"/>
      <c r="L202" s="207"/>
      <c r="M202" s="207"/>
      <c r="N202" s="248"/>
      <c r="O202" s="248"/>
      <c r="P202" s="248"/>
      <c r="Q202" s="248"/>
    </row>
    <row r="203" spans="1:17" ht="15.75" hidden="1" customHeight="1">
      <c r="A203" s="274"/>
      <c r="B203" s="212"/>
      <c r="C203" s="202" t="e">
        <f>#REF!</f>
        <v>#REF!</v>
      </c>
      <c r="D203" s="202"/>
      <c r="E203" s="214"/>
      <c r="F203" s="202"/>
      <c r="G203" s="234">
        <f>Backlog[[#This Row],[OP]]</f>
        <v>0</v>
      </c>
      <c r="H203" s="202"/>
      <c r="I203" s="316" t="str">
        <f>IF(Backlog[[#This Row],[Fecha Requerida en Producción]]="","",Backlog[[#This Row],[Fecha Requerida en Producción]])</f>
        <v/>
      </c>
      <c r="J203" s="207"/>
      <c r="K203" s="207"/>
      <c r="L203" s="207"/>
      <c r="M203" s="207"/>
      <c r="N203" s="248"/>
      <c r="O203" s="248"/>
      <c r="P203" s="248"/>
      <c r="Q203" s="248"/>
    </row>
    <row r="204" spans="1:17" ht="15.75" hidden="1" customHeight="1">
      <c r="A204" s="274"/>
      <c r="B204" s="212"/>
      <c r="C204" s="202" t="e">
        <f>#REF!</f>
        <v>#REF!</v>
      </c>
      <c r="D204" s="202"/>
      <c r="E204" s="214"/>
      <c r="F204" s="202"/>
      <c r="G204" s="234">
        <f>Backlog[[#This Row],[OP]]</f>
        <v>0</v>
      </c>
      <c r="H204" s="202"/>
      <c r="I204" s="316">
        <f>IF(Backlog[[#This Row],[Fecha Requerida en Producción]]="","",Backlog[[#This Row],[Fecha Requerida en Producción]])</f>
        <v>45989</v>
      </c>
      <c r="J204" s="207"/>
      <c r="K204" s="207"/>
      <c r="L204" s="207"/>
      <c r="M204" s="207"/>
      <c r="N204" s="248"/>
      <c r="O204" s="248"/>
      <c r="P204" s="248"/>
      <c r="Q204" s="248"/>
    </row>
    <row r="205" spans="1:17" ht="15.75" hidden="1" customHeight="1">
      <c r="A205" s="274"/>
      <c r="B205" s="212"/>
      <c r="C205" s="202" t="e">
        <f>#REF!</f>
        <v>#REF!</v>
      </c>
      <c r="D205" s="202"/>
      <c r="E205" s="214"/>
      <c r="F205" s="202"/>
      <c r="G205" s="234">
        <f>Backlog[[#This Row],[OP]]</f>
        <v>0</v>
      </c>
      <c r="H205" s="202"/>
      <c r="I205" s="316" t="str">
        <f>IF(Backlog[[#This Row],[Fecha Requerida en Producción]]="","",Backlog[[#This Row],[Fecha Requerida en Producción]])</f>
        <v/>
      </c>
      <c r="J205" s="207"/>
      <c r="K205" s="207"/>
      <c r="L205" s="207"/>
      <c r="M205" s="207"/>
      <c r="N205" s="248"/>
      <c r="O205" s="248"/>
      <c r="P205" s="248"/>
      <c r="Q205" s="248"/>
    </row>
    <row r="206" spans="1:17" ht="15.75" hidden="1" customHeight="1">
      <c r="A206" s="274"/>
      <c r="B206" s="212"/>
      <c r="C206" s="202" t="e">
        <f>#REF!</f>
        <v>#REF!</v>
      </c>
      <c r="D206" s="202"/>
      <c r="E206" s="214"/>
      <c r="F206" s="202"/>
      <c r="G206" s="234">
        <f>Backlog[[#This Row],[OP]]</f>
        <v>0</v>
      </c>
      <c r="H206" s="202"/>
      <c r="I206" s="316" t="str">
        <f>IF(Backlog[[#This Row],[Fecha Requerida en Producción]]="","",Backlog[[#This Row],[Fecha Requerida en Producción]])</f>
        <v/>
      </c>
      <c r="J206" s="207"/>
      <c r="K206" s="207"/>
      <c r="L206" s="207"/>
      <c r="M206" s="207"/>
      <c r="N206" s="248"/>
      <c r="O206" s="248"/>
      <c r="P206" s="248"/>
      <c r="Q206" s="248"/>
    </row>
    <row r="207" spans="1:17" ht="15.75" hidden="1" customHeight="1">
      <c r="A207" s="274"/>
      <c r="B207" s="212"/>
      <c r="C207" s="202" t="e">
        <f>#REF!</f>
        <v>#REF!</v>
      </c>
      <c r="D207" s="202"/>
      <c r="E207" s="214"/>
      <c r="F207" s="202"/>
      <c r="G207" s="234">
        <f>Backlog[[#This Row],[OP]]</f>
        <v>0</v>
      </c>
      <c r="H207" s="202"/>
      <c r="I207" s="316" t="str">
        <f>IF(Backlog[[#This Row],[Fecha Requerida en Producción]]="","",Backlog[[#This Row],[Fecha Requerida en Producción]])</f>
        <v/>
      </c>
      <c r="J207" s="207"/>
      <c r="K207" s="207"/>
      <c r="L207" s="207"/>
      <c r="M207" s="207"/>
      <c r="N207" s="248"/>
      <c r="O207" s="248"/>
      <c r="P207" s="248"/>
      <c r="Q207" s="248"/>
    </row>
    <row r="208" spans="1:17" ht="15.75" hidden="1" customHeight="1">
      <c r="A208" s="274"/>
      <c r="B208" s="212"/>
      <c r="C208" s="202" t="e">
        <f>#REF!</f>
        <v>#REF!</v>
      </c>
      <c r="D208" s="202"/>
      <c r="E208" s="214"/>
      <c r="F208" s="202"/>
      <c r="G208" s="234">
        <f>Backlog[[#This Row],[OP]]</f>
        <v>0</v>
      </c>
      <c r="H208" s="202"/>
      <c r="I208" s="316" t="str">
        <f>IF(Backlog[[#This Row],[Fecha Requerida en Producción]]="","",Backlog[[#This Row],[Fecha Requerida en Producción]])</f>
        <v/>
      </c>
      <c r="J208" s="207"/>
      <c r="K208" s="207"/>
      <c r="L208" s="207"/>
      <c r="M208" s="207"/>
      <c r="N208" s="248"/>
      <c r="O208" s="248"/>
      <c r="P208" s="248"/>
      <c r="Q208" s="248"/>
    </row>
    <row r="209" spans="1:17" ht="15.75" hidden="1" customHeight="1">
      <c r="A209" s="274"/>
      <c r="B209" s="212"/>
      <c r="C209" s="202" t="e">
        <f>#REF!</f>
        <v>#REF!</v>
      </c>
      <c r="D209" s="202"/>
      <c r="E209" s="214"/>
      <c r="F209" s="202"/>
      <c r="G209" s="234">
        <f>Backlog[[#This Row],[OP]]</f>
        <v>0</v>
      </c>
      <c r="H209" s="202"/>
      <c r="I209" s="316" t="str">
        <f>IF(Backlog[[#This Row],[Fecha Requerida en Producción]]="","",Backlog[[#This Row],[Fecha Requerida en Producción]])</f>
        <v/>
      </c>
      <c r="J209" s="207"/>
      <c r="K209" s="207"/>
      <c r="L209" s="207"/>
      <c r="M209" s="207"/>
      <c r="N209" s="248"/>
      <c r="O209" s="248"/>
      <c r="P209" s="248"/>
      <c r="Q209" s="248"/>
    </row>
    <row r="210" spans="1:17" ht="15.75" hidden="1" customHeight="1">
      <c r="A210" s="274"/>
      <c r="B210" s="212"/>
      <c r="C210" s="202" t="e">
        <f>#REF!</f>
        <v>#REF!</v>
      </c>
      <c r="D210" s="202"/>
      <c r="E210" s="214"/>
      <c r="F210" s="202"/>
      <c r="G210" s="234">
        <f>Backlog[[#This Row],[OP]]</f>
        <v>0</v>
      </c>
      <c r="H210" s="202"/>
      <c r="I210" s="316" t="str">
        <f>IF(Backlog[[#This Row],[Fecha Requerida en Producción]]="","",Backlog[[#This Row],[Fecha Requerida en Producción]])</f>
        <v/>
      </c>
      <c r="J210" s="207"/>
      <c r="K210" s="207"/>
      <c r="L210" s="207"/>
      <c r="M210" s="207"/>
      <c r="N210" s="248"/>
      <c r="O210" s="248"/>
      <c r="P210" s="248"/>
      <c r="Q210" s="248"/>
    </row>
    <row r="211" spans="1:17" ht="15.75" hidden="1" customHeight="1">
      <c r="A211" s="274"/>
      <c r="B211" s="212"/>
      <c r="C211" s="202" t="e">
        <f>#REF!</f>
        <v>#REF!</v>
      </c>
      <c r="D211" s="202"/>
      <c r="E211" s="214"/>
      <c r="F211" s="202"/>
      <c r="G211" s="234">
        <f>Backlog[[#This Row],[OP]]</f>
        <v>0</v>
      </c>
      <c r="H211" s="202"/>
      <c r="I211" s="316" t="str">
        <f>IF(Backlog[[#This Row],[Fecha Requerida en Producción]]="","",Backlog[[#This Row],[Fecha Requerida en Producción]])</f>
        <v/>
      </c>
      <c r="J211" s="207"/>
      <c r="K211" s="207"/>
      <c r="L211" s="207"/>
      <c r="M211" s="207"/>
      <c r="N211" s="248"/>
      <c r="O211" s="248"/>
      <c r="P211" s="248"/>
      <c r="Q211" s="248"/>
    </row>
    <row r="212" spans="1:17" ht="15.75" hidden="1" customHeight="1">
      <c r="A212" s="274"/>
      <c r="B212" s="212"/>
      <c r="C212" s="202" t="e">
        <f>#REF!</f>
        <v>#REF!</v>
      </c>
      <c r="D212" s="202"/>
      <c r="E212" s="214"/>
      <c r="F212" s="202"/>
      <c r="G212" s="234">
        <f>Backlog[[#This Row],[OP]]</f>
        <v>0</v>
      </c>
      <c r="H212" s="202"/>
      <c r="I212" s="316" t="str">
        <f>IF(Backlog[[#This Row],[Fecha Requerida en Producción]]="","",Backlog[[#This Row],[Fecha Requerida en Producción]])</f>
        <v/>
      </c>
      <c r="J212" s="207"/>
      <c r="K212" s="207"/>
      <c r="L212" s="207"/>
      <c r="M212" s="207"/>
      <c r="N212" s="248"/>
      <c r="O212" s="248"/>
      <c r="P212" s="248"/>
      <c r="Q212" s="248"/>
    </row>
    <row r="213" spans="1:17" ht="15.75" hidden="1" customHeight="1">
      <c r="A213" s="274"/>
      <c r="B213" s="212"/>
      <c r="C213" s="202" t="e">
        <f>#REF!</f>
        <v>#REF!</v>
      </c>
      <c r="D213" s="202"/>
      <c r="E213" s="214"/>
      <c r="F213" s="202"/>
      <c r="G213" s="234">
        <f>Backlog[[#This Row],[OP]]</f>
        <v>0</v>
      </c>
      <c r="H213" s="202"/>
      <c r="I213" s="316" t="str">
        <f>IF(Backlog[[#This Row],[Fecha Requerida en Producción]]="","",Backlog[[#This Row],[Fecha Requerida en Producción]])</f>
        <v/>
      </c>
      <c r="J213" s="207"/>
      <c r="K213" s="207"/>
      <c r="L213" s="207"/>
      <c r="M213" s="207"/>
      <c r="N213" s="248"/>
      <c r="O213" s="248"/>
      <c r="P213" s="248"/>
      <c r="Q213" s="248"/>
    </row>
    <row r="214" spans="1:17" ht="15.75" hidden="1" customHeight="1">
      <c r="A214" s="274"/>
      <c r="B214" s="212"/>
      <c r="C214" s="202" t="e">
        <f>#REF!</f>
        <v>#REF!</v>
      </c>
      <c r="D214" s="202"/>
      <c r="E214" s="214"/>
      <c r="F214" s="202"/>
      <c r="G214" s="234">
        <f>Backlog[[#This Row],[OP]]</f>
        <v>0</v>
      </c>
      <c r="H214" s="202"/>
      <c r="I214" s="316" t="str">
        <f>IF(Backlog[[#This Row],[Fecha Requerida en Producción]]="","",Backlog[[#This Row],[Fecha Requerida en Producción]])</f>
        <v/>
      </c>
      <c r="J214" s="207"/>
      <c r="K214" s="207"/>
      <c r="L214" s="207"/>
      <c r="M214" s="207"/>
      <c r="N214" s="248"/>
      <c r="O214" s="248"/>
      <c r="P214" s="248"/>
      <c r="Q214" s="248"/>
    </row>
    <row r="215" spans="1:17" ht="15.75" hidden="1" customHeight="1">
      <c r="A215" s="274"/>
      <c r="B215" s="212"/>
      <c r="C215" s="202" t="e">
        <f>#REF!</f>
        <v>#REF!</v>
      </c>
      <c r="D215" s="202"/>
      <c r="E215" s="214"/>
      <c r="F215" s="202"/>
      <c r="G215" s="234">
        <f>Backlog[[#This Row],[OP]]</f>
        <v>0</v>
      </c>
      <c r="H215" s="202"/>
      <c r="I215" s="316" t="str">
        <f>IF(Backlog[[#This Row],[Fecha Requerida en Producción]]="","",Backlog[[#This Row],[Fecha Requerida en Producción]])</f>
        <v/>
      </c>
      <c r="J215" s="207"/>
      <c r="K215" s="207"/>
      <c r="L215" s="207"/>
      <c r="M215" s="207"/>
      <c r="N215" s="248"/>
      <c r="O215" s="248"/>
      <c r="P215" s="248"/>
      <c r="Q215" s="248"/>
    </row>
    <row r="216" spans="1:17" ht="15.75" hidden="1" customHeight="1">
      <c r="A216" s="274"/>
      <c r="B216" s="212"/>
      <c r="C216" s="202" t="e">
        <f>#REF!</f>
        <v>#REF!</v>
      </c>
      <c r="D216" s="202"/>
      <c r="E216" s="214"/>
      <c r="F216" s="202"/>
      <c r="G216" s="234">
        <f>Backlog[[#This Row],[OP]]</f>
        <v>0</v>
      </c>
      <c r="H216" s="202"/>
      <c r="I216" s="316" t="str">
        <f>IF(Backlog[[#This Row],[Fecha Requerida en Producción]]="","",Backlog[[#This Row],[Fecha Requerida en Producción]])</f>
        <v/>
      </c>
      <c r="J216" s="207"/>
      <c r="K216" s="207"/>
      <c r="L216" s="207"/>
      <c r="M216" s="207"/>
      <c r="N216" s="248"/>
      <c r="O216" s="248"/>
      <c r="P216" s="248"/>
      <c r="Q216" s="248"/>
    </row>
    <row r="217" spans="1:17" ht="15.75" hidden="1" customHeight="1">
      <c r="A217" s="274"/>
      <c r="B217" s="212"/>
      <c r="C217" s="202" t="e">
        <f>#REF!</f>
        <v>#REF!</v>
      </c>
      <c r="D217" s="202"/>
      <c r="E217" s="214"/>
      <c r="F217" s="202"/>
      <c r="G217" s="234">
        <f>Backlog[[#This Row],[OP]]</f>
        <v>9</v>
      </c>
      <c r="H217" s="202"/>
      <c r="I217" s="316">
        <f>IF(Backlog[[#This Row],[Fecha Requerida en Producción]]="","",Backlog[[#This Row],[Fecha Requerida en Producción]])</f>
        <v>45973</v>
      </c>
      <c r="J217" s="207"/>
      <c r="K217" s="207"/>
      <c r="L217" s="207"/>
      <c r="M217" s="207"/>
      <c r="N217" s="248"/>
      <c r="O217" s="248"/>
      <c r="P217" s="248"/>
      <c r="Q217" s="248"/>
    </row>
    <row r="218" spans="1:17" ht="15.75" hidden="1" customHeight="1">
      <c r="A218" s="274"/>
      <c r="B218" s="212"/>
      <c r="C218" s="202" t="e">
        <f>#REF!</f>
        <v>#REF!</v>
      </c>
      <c r="D218" s="202"/>
      <c r="E218" s="214"/>
      <c r="F218" s="202"/>
      <c r="G218" s="234">
        <f>Backlog[[#This Row],[OP]]</f>
        <v>0</v>
      </c>
      <c r="H218" s="202"/>
      <c r="I218" s="316" t="str">
        <f>IF(Backlog[[#This Row],[Fecha Requerida en Producción]]="","",Backlog[[#This Row],[Fecha Requerida en Producción]])</f>
        <v/>
      </c>
      <c r="J218" s="207"/>
      <c r="K218" s="207"/>
      <c r="L218" s="207"/>
      <c r="M218" s="207"/>
      <c r="N218" s="248"/>
      <c r="O218" s="248"/>
      <c r="P218" s="248"/>
      <c r="Q218" s="248"/>
    </row>
    <row r="219" spans="1:17" ht="15.75" hidden="1" customHeight="1">
      <c r="A219" s="274"/>
      <c r="B219" s="212"/>
      <c r="C219" s="202" t="e">
        <f>#REF!</f>
        <v>#REF!</v>
      </c>
      <c r="D219" s="202"/>
      <c r="E219" s="214"/>
      <c r="F219" s="202"/>
      <c r="G219" s="234">
        <f>Backlog[[#This Row],[OP]]</f>
        <v>0</v>
      </c>
      <c r="H219" s="202"/>
      <c r="I219" s="316" t="str">
        <f>IF(Backlog[[#This Row],[Fecha Requerida en Producción]]="","",Backlog[[#This Row],[Fecha Requerida en Producción]])</f>
        <v/>
      </c>
      <c r="J219" s="207"/>
      <c r="K219" s="207"/>
      <c r="L219" s="207"/>
      <c r="M219" s="207"/>
      <c r="N219" s="248"/>
      <c r="O219" s="248"/>
      <c r="P219" s="248"/>
      <c r="Q219" s="248"/>
    </row>
    <row r="220" spans="1:17" ht="15.75" hidden="1" customHeight="1">
      <c r="A220" s="274"/>
      <c r="B220" s="212"/>
      <c r="C220" s="202" t="e">
        <f>#REF!</f>
        <v>#REF!</v>
      </c>
      <c r="D220" s="202"/>
      <c r="E220" s="214"/>
      <c r="F220" s="202"/>
      <c r="G220" s="234">
        <f>Backlog[[#This Row],[OP]]</f>
        <v>0</v>
      </c>
      <c r="H220" s="202"/>
      <c r="I220" s="316" t="str">
        <f>IF(Backlog[[#This Row],[Fecha Requerida en Producción]]="","",Backlog[[#This Row],[Fecha Requerida en Producción]])</f>
        <v/>
      </c>
      <c r="J220" s="207"/>
      <c r="K220" s="207"/>
      <c r="L220" s="207"/>
      <c r="M220" s="207"/>
      <c r="N220" s="248"/>
      <c r="O220" s="248"/>
      <c r="P220" s="248"/>
      <c r="Q220" s="248"/>
    </row>
    <row r="221" spans="1:17" ht="15.75" hidden="1" customHeight="1">
      <c r="A221" s="274"/>
      <c r="B221" s="212"/>
      <c r="C221" s="202" t="e">
        <f>#REF!</f>
        <v>#REF!</v>
      </c>
      <c r="D221" s="202"/>
      <c r="E221" s="214"/>
      <c r="F221" s="202"/>
      <c r="G221" s="234">
        <f>Backlog[[#This Row],[OP]]</f>
        <v>0</v>
      </c>
      <c r="H221" s="202"/>
      <c r="I221" s="316" t="str">
        <f>IF(Backlog[[#This Row],[Fecha Requerida en Producción]]="","",Backlog[[#This Row],[Fecha Requerida en Producción]])</f>
        <v/>
      </c>
      <c r="J221" s="207"/>
      <c r="K221" s="207"/>
      <c r="L221" s="207"/>
      <c r="M221" s="207"/>
      <c r="N221" s="248"/>
      <c r="O221" s="248"/>
      <c r="P221" s="248"/>
      <c r="Q221" s="248"/>
    </row>
    <row r="222" spans="1:17" ht="15.75" hidden="1" customHeight="1">
      <c r="A222" s="274"/>
      <c r="B222" s="212"/>
      <c r="C222" s="202" t="e">
        <f>#REF!</f>
        <v>#REF!</v>
      </c>
      <c r="D222" s="202"/>
      <c r="E222" s="214"/>
      <c r="F222" s="202"/>
      <c r="G222" s="234">
        <f>Backlog[[#This Row],[OP]]</f>
        <v>33</v>
      </c>
      <c r="H222" s="202"/>
      <c r="I222" s="316" t="str">
        <f>IF(Backlog[[#This Row],[Fecha Requerida en Producción]]="","",Backlog[[#This Row],[Fecha Requerida en Producción]])</f>
        <v/>
      </c>
      <c r="J222" s="207"/>
      <c r="K222" s="207"/>
      <c r="L222" s="207"/>
      <c r="M222" s="207"/>
      <c r="N222" s="248"/>
      <c r="O222" s="248"/>
      <c r="P222" s="248"/>
      <c r="Q222" s="248"/>
    </row>
    <row r="223" spans="1:17" ht="15.75" hidden="1" customHeight="1">
      <c r="A223" s="274"/>
      <c r="B223" s="212"/>
      <c r="C223" s="202" t="e">
        <f>#REF!</f>
        <v>#REF!</v>
      </c>
      <c r="D223" s="202"/>
      <c r="E223" s="214"/>
      <c r="F223" s="202"/>
      <c r="G223" s="234">
        <f>Backlog[[#This Row],[OP]]</f>
        <v>0</v>
      </c>
      <c r="H223" s="202"/>
      <c r="I223" s="316" t="str">
        <f>IF(Backlog[[#This Row],[Fecha Requerida en Producción]]="","",Backlog[[#This Row],[Fecha Requerida en Producción]])</f>
        <v/>
      </c>
      <c r="J223" s="207"/>
      <c r="K223" s="207"/>
      <c r="L223" s="207"/>
      <c r="M223" s="207"/>
      <c r="N223" s="248"/>
      <c r="O223" s="248"/>
      <c r="P223" s="248"/>
      <c r="Q223" s="248"/>
    </row>
    <row r="224" spans="1:17" ht="15.75" hidden="1" customHeight="1">
      <c r="A224" s="274"/>
      <c r="B224" s="212"/>
      <c r="C224" s="202" t="e">
        <f>#REF!</f>
        <v>#REF!</v>
      </c>
      <c r="D224" s="202"/>
      <c r="E224" s="214"/>
      <c r="F224" s="202"/>
      <c r="G224" s="234">
        <f>Backlog[[#This Row],[OP]]</f>
        <v>0</v>
      </c>
      <c r="H224" s="202"/>
      <c r="I224" s="316" t="str">
        <f>IF(Backlog[[#This Row],[Fecha Requerida en Producción]]="","",Backlog[[#This Row],[Fecha Requerida en Producción]])</f>
        <v/>
      </c>
      <c r="J224" s="207"/>
      <c r="K224" s="207"/>
      <c r="L224" s="207"/>
      <c r="M224" s="207"/>
      <c r="N224" s="248"/>
      <c r="O224" s="248"/>
      <c r="P224" s="248"/>
      <c r="Q224" s="248"/>
    </row>
    <row r="225" spans="1:17" ht="15.75" hidden="1" customHeight="1">
      <c r="A225" s="274"/>
      <c r="B225" s="212"/>
      <c r="C225" s="202" t="e">
        <f>#REF!</f>
        <v>#REF!</v>
      </c>
      <c r="D225" s="202"/>
      <c r="E225" s="214"/>
      <c r="F225" s="202"/>
      <c r="G225" s="234">
        <f>Backlog[[#This Row],[OP]]</f>
        <v>0</v>
      </c>
      <c r="H225" s="202"/>
      <c r="I225" s="316" t="str">
        <f>IF(Backlog[[#This Row],[Fecha Requerida en Producción]]="","",Backlog[[#This Row],[Fecha Requerida en Producción]])</f>
        <v/>
      </c>
      <c r="J225" s="207"/>
      <c r="K225" s="207"/>
      <c r="L225" s="207"/>
      <c r="M225" s="207"/>
      <c r="N225" s="248"/>
      <c r="O225" s="248"/>
      <c r="P225" s="248"/>
      <c r="Q225" s="248"/>
    </row>
    <row r="226" spans="1:17" ht="15.75" hidden="1" customHeight="1">
      <c r="A226" s="274"/>
      <c r="B226" s="212"/>
      <c r="C226" s="202" t="e">
        <f>#REF!</f>
        <v>#REF!</v>
      </c>
      <c r="D226" s="202"/>
      <c r="E226" s="214"/>
      <c r="F226" s="202"/>
      <c r="G226" s="234" t="e">
        <f>Backlog[[#This Row],[OP]]</f>
        <v>#VALUE!</v>
      </c>
      <c r="H226" s="202"/>
      <c r="I226" s="316" t="e">
        <f>IF(Backlog[[#This Row],[Fecha Requerida en Producción]]="","",Backlog[[#This Row],[Fecha Requerida en Producción]])</f>
        <v>#VALUE!</v>
      </c>
      <c r="J226" s="207"/>
      <c r="K226" s="207"/>
      <c r="L226" s="207"/>
      <c r="M226" s="207"/>
      <c r="N226" s="248"/>
      <c r="O226" s="248"/>
      <c r="P226" s="248"/>
      <c r="Q226" s="248"/>
    </row>
    <row r="227" spans="1:17" ht="15.75" hidden="1" customHeight="1">
      <c r="A227" s="274"/>
      <c r="B227" s="212"/>
      <c r="C227" s="202" t="e">
        <f>#REF!</f>
        <v>#REF!</v>
      </c>
      <c r="D227" s="202"/>
      <c r="E227" s="214"/>
      <c r="F227" s="202"/>
      <c r="G227" s="234" t="e">
        <f>Backlog[[#This Row],[OP]]</f>
        <v>#VALUE!</v>
      </c>
      <c r="H227" s="202"/>
      <c r="I227" s="316" t="e">
        <f>IF(Backlog[[#This Row],[Fecha Requerida en Producción]]="","",Backlog[[#This Row],[Fecha Requerida en Producción]])</f>
        <v>#VALUE!</v>
      </c>
      <c r="J227" s="207"/>
      <c r="K227" s="207"/>
      <c r="L227" s="207"/>
      <c r="M227" s="207"/>
      <c r="N227" s="248"/>
      <c r="O227" s="248"/>
      <c r="P227" s="248"/>
      <c r="Q227" s="248"/>
    </row>
    <row r="228" spans="1:17" ht="15.75" hidden="1" customHeight="1">
      <c r="A228" s="274"/>
      <c r="B228" s="212"/>
      <c r="C228" s="202" t="e">
        <f>#REF!</f>
        <v>#REF!</v>
      </c>
      <c r="D228" s="202"/>
      <c r="E228" s="214"/>
      <c r="F228" s="202"/>
      <c r="G228" s="234" t="e">
        <f>Backlog[[#This Row],[OP]]</f>
        <v>#VALUE!</v>
      </c>
      <c r="H228" s="202"/>
      <c r="I228" s="316" t="e">
        <f>IF(Backlog[[#This Row],[Fecha Requerida en Producción]]="","",Backlog[[#This Row],[Fecha Requerida en Producción]])</f>
        <v>#VALUE!</v>
      </c>
      <c r="J228" s="207"/>
      <c r="K228" s="207"/>
      <c r="L228" s="207"/>
      <c r="M228" s="207"/>
      <c r="N228" s="248"/>
      <c r="O228" s="248"/>
      <c r="P228" s="248"/>
      <c r="Q228" s="248"/>
    </row>
    <row r="229" spans="1:17" ht="15.75" hidden="1" customHeight="1">
      <c r="A229" s="274"/>
      <c r="B229" s="212"/>
      <c r="C229" s="202" t="e">
        <f>#REF!</f>
        <v>#REF!</v>
      </c>
      <c r="D229" s="202"/>
      <c r="E229" s="214"/>
      <c r="F229" s="202"/>
      <c r="G229" s="234" t="e">
        <f>Backlog[[#This Row],[OP]]</f>
        <v>#VALUE!</v>
      </c>
      <c r="H229" s="202"/>
      <c r="I229" s="316" t="e">
        <f>IF(Backlog[[#This Row],[Fecha Requerida en Producción]]="","",Backlog[[#This Row],[Fecha Requerida en Producción]])</f>
        <v>#VALUE!</v>
      </c>
      <c r="J229" s="207"/>
      <c r="K229" s="207"/>
      <c r="L229" s="207"/>
      <c r="M229" s="207"/>
      <c r="N229" s="248"/>
      <c r="O229" s="248"/>
      <c r="P229" s="248"/>
      <c r="Q229" s="248"/>
    </row>
    <row r="230" spans="1:17" ht="15.75" hidden="1" customHeight="1">
      <c r="A230" s="274"/>
      <c r="B230" s="212"/>
      <c r="C230" s="202" t="e">
        <f>#REF!</f>
        <v>#REF!</v>
      </c>
      <c r="D230" s="202"/>
      <c r="E230" s="214"/>
      <c r="F230" s="202"/>
      <c r="G230" s="234" t="e">
        <f>Backlog[[#This Row],[OP]]</f>
        <v>#VALUE!</v>
      </c>
      <c r="H230" s="202"/>
      <c r="I230" s="316" t="e">
        <f>IF(Backlog[[#This Row],[Fecha Requerida en Producción]]="","",Backlog[[#This Row],[Fecha Requerida en Producción]])</f>
        <v>#VALUE!</v>
      </c>
      <c r="J230" s="207"/>
      <c r="K230" s="207"/>
      <c r="L230" s="207"/>
      <c r="M230" s="207"/>
      <c r="N230" s="248"/>
      <c r="O230" s="248"/>
      <c r="P230" s="248"/>
      <c r="Q230" s="248"/>
    </row>
    <row r="231" spans="1:17" ht="15.75" hidden="1" customHeight="1">
      <c r="A231" s="274"/>
      <c r="B231" s="212"/>
      <c r="C231" s="202" t="e">
        <f>#REF!</f>
        <v>#REF!</v>
      </c>
      <c r="D231" s="202"/>
      <c r="E231" s="214"/>
      <c r="F231" s="202"/>
      <c r="G231" s="234" t="e">
        <f>Backlog[[#This Row],[OP]]</f>
        <v>#VALUE!</v>
      </c>
      <c r="H231" s="202"/>
      <c r="I231" s="316" t="e">
        <f>IF(Backlog[[#This Row],[Fecha Requerida en Producción]]="","",Backlog[[#This Row],[Fecha Requerida en Producción]])</f>
        <v>#VALUE!</v>
      </c>
      <c r="J231" s="207"/>
      <c r="K231" s="207"/>
      <c r="L231" s="207"/>
      <c r="M231" s="207"/>
      <c r="N231" s="248"/>
      <c r="O231" s="248"/>
      <c r="P231" s="248"/>
      <c r="Q231" s="248"/>
    </row>
    <row r="232" spans="1:17" ht="15.75" hidden="1" customHeight="1">
      <c r="A232" s="274"/>
      <c r="B232" s="212"/>
      <c r="C232" s="202" t="e">
        <f>#REF!</f>
        <v>#REF!</v>
      </c>
      <c r="D232" s="202"/>
      <c r="E232" s="214"/>
      <c r="F232" s="202"/>
      <c r="G232" s="234" t="e">
        <f>Backlog[[#This Row],[OP]]</f>
        <v>#VALUE!</v>
      </c>
      <c r="H232" s="202"/>
      <c r="I232" s="316" t="e">
        <f>IF(Backlog[[#This Row],[Fecha Requerida en Producción]]="","",Backlog[[#This Row],[Fecha Requerida en Producción]])</f>
        <v>#VALUE!</v>
      </c>
      <c r="J232" s="207"/>
      <c r="K232" s="207"/>
      <c r="L232" s="207"/>
      <c r="M232" s="207"/>
      <c r="N232" s="248"/>
      <c r="O232" s="248"/>
      <c r="P232" s="248"/>
      <c r="Q232" s="248"/>
    </row>
    <row r="233" spans="1:17" ht="15.75" hidden="1" customHeight="1">
      <c r="A233" s="274"/>
      <c r="B233" s="212"/>
      <c r="C233" s="202" t="e">
        <f>#REF!</f>
        <v>#REF!</v>
      </c>
      <c r="D233" s="202"/>
      <c r="E233" s="214"/>
      <c r="F233" s="202"/>
      <c r="G233" s="234" t="e">
        <f>Backlog[[#This Row],[OP]]</f>
        <v>#VALUE!</v>
      </c>
      <c r="H233" s="202"/>
      <c r="I233" s="316" t="e">
        <f>IF(Backlog[[#This Row],[Fecha Requerida en Producción]]="","",Backlog[[#This Row],[Fecha Requerida en Producción]])</f>
        <v>#VALUE!</v>
      </c>
      <c r="J233" s="207"/>
      <c r="K233" s="207"/>
      <c r="L233" s="207"/>
      <c r="M233" s="207"/>
      <c r="N233" s="248"/>
      <c r="O233" s="248"/>
      <c r="P233" s="248"/>
      <c r="Q233" s="248"/>
    </row>
    <row r="234" spans="1:17" ht="15.75" hidden="1" customHeight="1">
      <c r="A234" s="274"/>
      <c r="B234" s="212"/>
      <c r="C234" s="202" t="e">
        <f>#REF!</f>
        <v>#REF!</v>
      </c>
      <c r="D234" s="202"/>
      <c r="E234" s="214"/>
      <c r="F234" s="202"/>
      <c r="G234" s="234" t="e">
        <f>Backlog[[#This Row],[OP]]</f>
        <v>#VALUE!</v>
      </c>
      <c r="H234" s="202"/>
      <c r="I234" s="316" t="e">
        <f>IF(Backlog[[#This Row],[Fecha Requerida en Producción]]="","",Backlog[[#This Row],[Fecha Requerida en Producción]])</f>
        <v>#VALUE!</v>
      </c>
      <c r="J234" s="207"/>
      <c r="K234" s="207"/>
      <c r="L234" s="207"/>
      <c r="M234" s="207"/>
      <c r="N234" s="248"/>
      <c r="O234" s="248"/>
      <c r="P234" s="248"/>
      <c r="Q234" s="248"/>
    </row>
    <row r="235" spans="1:17" ht="15.75" hidden="1" customHeight="1">
      <c r="A235" s="274"/>
      <c r="B235" s="212"/>
      <c r="C235" s="202" t="e">
        <f>#REF!</f>
        <v>#REF!</v>
      </c>
      <c r="D235" s="202"/>
      <c r="E235" s="214"/>
      <c r="F235" s="202"/>
      <c r="G235" s="234" t="e">
        <f>Backlog[[#This Row],[OP]]</f>
        <v>#VALUE!</v>
      </c>
      <c r="H235" s="202"/>
      <c r="I235" s="316" t="e">
        <f>IF(Backlog[[#This Row],[Fecha Requerida en Producción]]="","",Backlog[[#This Row],[Fecha Requerida en Producción]])</f>
        <v>#VALUE!</v>
      </c>
      <c r="J235" s="207"/>
      <c r="K235" s="207"/>
      <c r="L235" s="207"/>
      <c r="M235" s="207"/>
      <c r="N235" s="248"/>
      <c r="O235" s="248"/>
      <c r="P235" s="248"/>
      <c r="Q235" s="248"/>
    </row>
    <row r="236" spans="1:17" ht="15.75" hidden="1" customHeight="1">
      <c r="A236" s="274"/>
      <c r="B236" s="212"/>
      <c r="C236" s="202" t="e">
        <f>#REF!</f>
        <v>#REF!</v>
      </c>
      <c r="D236" s="202"/>
      <c r="E236" s="214"/>
      <c r="F236" s="202"/>
      <c r="G236" s="234" t="e">
        <f>Backlog[[#This Row],[OP]]</f>
        <v>#VALUE!</v>
      </c>
      <c r="H236" s="202"/>
      <c r="I236" s="316" t="e">
        <f>IF(Backlog[[#This Row],[Fecha Requerida en Producción]]="","",Backlog[[#This Row],[Fecha Requerida en Producción]])</f>
        <v>#VALUE!</v>
      </c>
      <c r="J236" s="207"/>
      <c r="K236" s="207"/>
      <c r="L236" s="207"/>
      <c r="M236" s="207"/>
      <c r="N236" s="248"/>
      <c r="O236" s="248"/>
      <c r="P236" s="248"/>
      <c r="Q236" s="248"/>
    </row>
    <row r="237" spans="1:17" ht="15.75" hidden="1" customHeight="1">
      <c r="A237" s="274"/>
      <c r="B237" s="212"/>
      <c r="C237" s="202" t="e">
        <f>#REF!</f>
        <v>#REF!</v>
      </c>
      <c r="D237" s="202"/>
      <c r="E237" s="214"/>
      <c r="F237" s="202"/>
      <c r="G237" s="234" t="e">
        <f>Backlog[[#This Row],[OP]]</f>
        <v>#VALUE!</v>
      </c>
      <c r="H237" s="202"/>
      <c r="I237" s="316" t="e">
        <f>IF(Backlog[[#This Row],[Fecha Requerida en Producción]]="","",Backlog[[#This Row],[Fecha Requerida en Producción]])</f>
        <v>#VALUE!</v>
      </c>
      <c r="J237" s="207"/>
      <c r="K237" s="207"/>
      <c r="L237" s="207"/>
      <c r="M237" s="207"/>
      <c r="N237" s="248"/>
      <c r="O237" s="248"/>
      <c r="P237" s="248"/>
      <c r="Q237" s="248"/>
    </row>
    <row r="238" spans="1:17" ht="15.75" hidden="1" customHeight="1">
      <c r="A238" s="274"/>
      <c r="B238" s="212"/>
      <c r="C238" s="202" t="e">
        <f>#REF!</f>
        <v>#REF!</v>
      </c>
      <c r="D238" s="202"/>
      <c r="E238" s="214"/>
      <c r="F238" s="202"/>
      <c r="G238" s="234" t="e">
        <f>Backlog[[#This Row],[OP]]</f>
        <v>#VALUE!</v>
      </c>
      <c r="H238" s="202"/>
      <c r="I238" s="316" t="e">
        <f>IF(Backlog[[#This Row],[Fecha Requerida en Producción]]="","",Backlog[[#This Row],[Fecha Requerida en Producción]])</f>
        <v>#VALUE!</v>
      </c>
      <c r="J238" s="207"/>
      <c r="K238" s="207"/>
      <c r="L238" s="207"/>
      <c r="M238" s="207"/>
      <c r="N238" s="248"/>
      <c r="O238" s="248"/>
      <c r="P238" s="248"/>
      <c r="Q238" s="248"/>
    </row>
    <row r="239" spans="1:17" ht="15.75" hidden="1" customHeight="1">
      <c r="A239" s="274"/>
      <c r="B239" s="212"/>
      <c r="C239" s="202" t="e">
        <f>#REF!</f>
        <v>#REF!</v>
      </c>
      <c r="D239" s="202"/>
      <c r="E239" s="214"/>
      <c r="F239" s="202"/>
      <c r="G239" s="234" t="e">
        <f>Backlog[[#This Row],[OP]]</f>
        <v>#VALUE!</v>
      </c>
      <c r="H239" s="202"/>
      <c r="I239" s="316" t="e">
        <f>IF(Backlog[[#This Row],[Fecha Requerida en Producción]]="","",Backlog[[#This Row],[Fecha Requerida en Producción]])</f>
        <v>#VALUE!</v>
      </c>
      <c r="J239" s="207"/>
      <c r="K239" s="207"/>
      <c r="L239" s="207"/>
      <c r="M239" s="207"/>
      <c r="N239" s="248"/>
      <c r="O239" s="248"/>
      <c r="P239" s="248"/>
      <c r="Q239" s="248"/>
    </row>
    <row r="240" spans="1:17" ht="15.75" hidden="1" customHeight="1">
      <c r="A240" s="274"/>
      <c r="B240" s="212"/>
      <c r="C240" s="202" t="e">
        <f>#REF!</f>
        <v>#REF!</v>
      </c>
      <c r="D240" s="202"/>
      <c r="E240" s="214"/>
      <c r="F240" s="202"/>
      <c r="G240" s="234" t="e">
        <f>Backlog[[#This Row],[OP]]</f>
        <v>#VALUE!</v>
      </c>
      <c r="H240" s="202"/>
      <c r="I240" s="316" t="e">
        <f>IF(Backlog[[#This Row],[Fecha Requerida en Producción]]="","",Backlog[[#This Row],[Fecha Requerida en Producción]])</f>
        <v>#VALUE!</v>
      </c>
      <c r="J240" s="207"/>
      <c r="K240" s="207"/>
      <c r="L240" s="207"/>
      <c r="M240" s="207"/>
      <c r="N240" s="248"/>
      <c r="O240" s="248"/>
      <c r="P240" s="248"/>
      <c r="Q240" s="248"/>
    </row>
    <row r="241" spans="1:17" ht="15.75" hidden="1" customHeight="1">
      <c r="A241" s="274"/>
      <c r="B241" s="212"/>
      <c r="C241" s="202" t="e">
        <f>#REF!</f>
        <v>#REF!</v>
      </c>
      <c r="D241" s="202"/>
      <c r="E241" s="214"/>
      <c r="F241" s="202"/>
      <c r="G241" s="234" t="e">
        <f>Backlog[[#This Row],[OP]]</f>
        <v>#VALUE!</v>
      </c>
      <c r="H241" s="202"/>
      <c r="I241" s="316" t="e">
        <f>IF(Backlog[[#This Row],[Fecha Requerida en Producción]]="","",Backlog[[#This Row],[Fecha Requerida en Producción]])</f>
        <v>#VALUE!</v>
      </c>
      <c r="J241" s="207"/>
      <c r="K241" s="207"/>
      <c r="L241" s="207"/>
      <c r="M241" s="207"/>
      <c r="N241" s="248"/>
      <c r="O241" s="248"/>
      <c r="P241" s="248"/>
      <c r="Q241" s="248"/>
    </row>
    <row r="242" spans="1:17" ht="15.75" hidden="1" customHeight="1">
      <c r="A242" s="274"/>
      <c r="B242" s="212"/>
      <c r="C242" s="202" t="e">
        <f>#REF!</f>
        <v>#REF!</v>
      </c>
      <c r="D242" s="202"/>
      <c r="E242" s="214"/>
      <c r="F242" s="202"/>
      <c r="G242" s="234" t="e">
        <f>Backlog[[#This Row],[OP]]</f>
        <v>#VALUE!</v>
      </c>
      <c r="H242" s="202"/>
      <c r="I242" s="316" t="e">
        <f>IF(Backlog[[#This Row],[Fecha Requerida en Producción]]="","",Backlog[[#This Row],[Fecha Requerida en Producción]])</f>
        <v>#VALUE!</v>
      </c>
      <c r="J242" s="207"/>
      <c r="K242" s="207"/>
      <c r="L242" s="207"/>
      <c r="M242" s="207"/>
      <c r="N242" s="248"/>
      <c r="O242" s="248"/>
      <c r="P242" s="248"/>
      <c r="Q242" s="248"/>
    </row>
    <row r="243" spans="1:17" ht="15.75" hidden="1" customHeight="1">
      <c r="A243" s="274"/>
      <c r="B243" s="212"/>
      <c r="C243" s="202" t="e">
        <f>#REF!</f>
        <v>#REF!</v>
      </c>
      <c r="D243" s="202"/>
      <c r="E243" s="214"/>
      <c r="F243" s="202"/>
      <c r="G243" s="234" t="e">
        <f>Backlog[[#This Row],[OP]]</f>
        <v>#VALUE!</v>
      </c>
      <c r="H243" s="202"/>
      <c r="I243" s="316" t="e">
        <f>IF(Backlog[[#This Row],[Fecha Requerida en Producción]]="","",Backlog[[#This Row],[Fecha Requerida en Producción]])</f>
        <v>#VALUE!</v>
      </c>
      <c r="J243" s="207"/>
      <c r="K243" s="207"/>
      <c r="L243" s="207"/>
      <c r="M243" s="207"/>
      <c r="N243" s="248"/>
      <c r="O243" s="248"/>
      <c r="P243" s="248"/>
      <c r="Q243" s="248"/>
    </row>
    <row r="244" spans="1:17" ht="15.75" hidden="1" customHeight="1">
      <c r="A244" s="274"/>
      <c r="B244" s="212"/>
      <c r="C244" s="202" t="e">
        <f>#REF!</f>
        <v>#REF!</v>
      </c>
      <c r="D244" s="202"/>
      <c r="E244" s="214"/>
      <c r="F244" s="202"/>
      <c r="G244" s="234" t="e">
        <f>Backlog[[#This Row],[OP]]</f>
        <v>#VALUE!</v>
      </c>
      <c r="H244" s="202"/>
      <c r="I244" s="316" t="e">
        <f>IF(Backlog[[#This Row],[Fecha Requerida en Producción]]="","",Backlog[[#This Row],[Fecha Requerida en Producción]])</f>
        <v>#VALUE!</v>
      </c>
      <c r="J244" s="207"/>
      <c r="K244" s="207"/>
      <c r="L244" s="207"/>
      <c r="M244" s="207"/>
      <c r="N244" s="248"/>
      <c r="O244" s="248"/>
      <c r="P244" s="248"/>
      <c r="Q244" s="248"/>
    </row>
    <row r="245" spans="1:17" ht="15.75" hidden="1" customHeight="1">
      <c r="A245" s="282"/>
      <c r="B245" s="283"/>
      <c r="C245" s="285" t="e">
        <f>#REF!</f>
        <v>#REF!</v>
      </c>
      <c r="D245" s="285"/>
      <c r="E245" s="286"/>
      <c r="F245" s="285"/>
      <c r="G245" s="234" t="e">
        <f>Backlog[[#This Row],[OP]]</f>
        <v>#VALUE!</v>
      </c>
      <c r="H245" s="285"/>
      <c r="I245" s="316" t="e">
        <f>IF(Backlog[[#This Row],[Fecha Requerida en Producción]]="","",Backlog[[#This Row],[Fecha Requerida en Producción]])</f>
        <v>#VALUE!</v>
      </c>
      <c r="J245" s="284"/>
      <c r="K245" s="284"/>
      <c r="L245" s="284"/>
      <c r="M245" s="284"/>
      <c r="N245" s="248"/>
      <c r="O245" s="248"/>
      <c r="P245" s="248"/>
      <c r="Q245" s="248"/>
    </row>
    <row r="246" spans="1:17" ht="15.75" hidden="1" customHeight="1">
      <c r="A246" s="274"/>
      <c r="B246" s="212"/>
      <c r="C246" s="202" t="e">
        <f>#REF!</f>
        <v>#REF!</v>
      </c>
      <c r="D246" s="202"/>
      <c r="E246" s="214"/>
      <c r="F246" s="202"/>
      <c r="G246" s="234" t="e">
        <f>Backlog[[#This Row],[OP]]</f>
        <v>#VALUE!</v>
      </c>
      <c r="H246" s="202"/>
      <c r="I246" s="316" t="e">
        <f>IF(Backlog[[#This Row],[Fecha Requerida en Producción]]="","",Backlog[[#This Row],[Fecha Requerida en Producción]])</f>
        <v>#VALUE!</v>
      </c>
      <c r="J246" s="207"/>
      <c r="K246" s="207"/>
      <c r="L246" s="207"/>
      <c r="M246" s="207"/>
      <c r="N246" s="248"/>
      <c r="O246" s="248"/>
      <c r="P246" s="248"/>
      <c r="Q246" s="248"/>
    </row>
    <row r="247" spans="1:17" ht="15.75" hidden="1" customHeight="1">
      <c r="A247" s="274"/>
      <c r="B247" s="212"/>
      <c r="C247" s="202" t="e">
        <f>#REF!</f>
        <v>#REF!</v>
      </c>
      <c r="D247" s="202"/>
      <c r="E247" s="214"/>
      <c r="F247" s="202"/>
      <c r="G247" s="234" t="e">
        <f>Backlog[[#This Row],[OP]]</f>
        <v>#VALUE!</v>
      </c>
      <c r="H247" s="202"/>
      <c r="I247" s="316" t="e">
        <f>IF(Backlog[[#This Row],[Fecha Requerida en Producción]]="","",Backlog[[#This Row],[Fecha Requerida en Producción]])</f>
        <v>#VALUE!</v>
      </c>
      <c r="J247" s="207"/>
      <c r="K247" s="207"/>
      <c r="L247" s="207"/>
      <c r="M247" s="207"/>
      <c r="N247" s="248"/>
      <c r="O247" s="248"/>
      <c r="P247" s="248"/>
      <c r="Q247" s="248"/>
    </row>
    <row r="248" spans="1:17" ht="15.75" hidden="1" customHeight="1">
      <c r="A248" s="274"/>
      <c r="B248" s="212"/>
      <c r="C248" s="202" t="e">
        <f>#REF!</f>
        <v>#REF!</v>
      </c>
      <c r="D248" s="202"/>
      <c r="E248" s="214"/>
      <c r="F248" s="202"/>
      <c r="G248" s="234" t="e">
        <f>Backlog[[#This Row],[OP]]</f>
        <v>#VALUE!</v>
      </c>
      <c r="H248" s="202"/>
      <c r="I248" s="316" t="e">
        <f>IF(Backlog[[#This Row],[Fecha Requerida en Producción]]="","",Backlog[[#This Row],[Fecha Requerida en Producción]])</f>
        <v>#VALUE!</v>
      </c>
      <c r="J248" s="207"/>
      <c r="K248" s="207"/>
      <c r="L248" s="207"/>
      <c r="M248" s="207"/>
      <c r="N248" s="248"/>
      <c r="O248" s="248"/>
      <c r="P248" s="248"/>
      <c r="Q248" s="248"/>
    </row>
    <row r="249" spans="1:17" ht="15.75" hidden="1" customHeight="1">
      <c r="A249" s="274"/>
      <c r="B249" s="212"/>
      <c r="C249" s="202" t="e">
        <f>#REF!</f>
        <v>#REF!</v>
      </c>
      <c r="D249" s="202"/>
      <c r="E249" s="214"/>
      <c r="F249" s="202"/>
      <c r="G249" s="234" t="e">
        <f>Backlog[[#This Row],[OP]]</f>
        <v>#VALUE!</v>
      </c>
      <c r="H249" s="202"/>
      <c r="I249" s="316" t="e">
        <f>IF(Backlog[[#This Row],[Fecha Requerida en Producción]]="","",Backlog[[#This Row],[Fecha Requerida en Producción]])</f>
        <v>#VALUE!</v>
      </c>
      <c r="J249" s="207"/>
      <c r="K249" s="207"/>
      <c r="L249" s="207"/>
      <c r="M249" s="207"/>
      <c r="N249" s="248"/>
      <c r="O249" s="248"/>
      <c r="P249" s="248"/>
      <c r="Q249" s="248"/>
    </row>
    <row r="250" spans="1:17" ht="15.75" hidden="1" customHeight="1">
      <c r="A250" s="274"/>
      <c r="B250" s="212"/>
      <c r="C250" s="202" t="e">
        <f>#REF!</f>
        <v>#REF!</v>
      </c>
      <c r="D250" s="202"/>
      <c r="E250" s="214"/>
      <c r="F250" s="202"/>
      <c r="G250" s="234" t="e">
        <f>Backlog[[#This Row],[OP]]</f>
        <v>#VALUE!</v>
      </c>
      <c r="H250" s="202"/>
      <c r="I250" s="316" t="e">
        <f>IF(Backlog[[#This Row],[Fecha Requerida en Producción]]="","",Backlog[[#This Row],[Fecha Requerida en Producción]])</f>
        <v>#VALUE!</v>
      </c>
      <c r="J250" s="207"/>
      <c r="K250" s="207"/>
      <c r="L250" s="207"/>
      <c r="M250" s="207"/>
      <c r="N250" s="248"/>
      <c r="O250" s="248"/>
      <c r="P250" s="248"/>
      <c r="Q250" s="248"/>
    </row>
    <row r="251" spans="1:17" ht="15.75" hidden="1" customHeight="1">
      <c r="A251" s="274"/>
      <c r="B251" s="212"/>
      <c r="C251" s="202" t="e">
        <f>#REF!</f>
        <v>#REF!</v>
      </c>
      <c r="D251" s="202"/>
      <c r="E251" s="214"/>
      <c r="F251" s="202"/>
      <c r="G251" s="234" t="e">
        <f>Backlog[[#This Row],[OP]]</f>
        <v>#VALUE!</v>
      </c>
      <c r="H251" s="202"/>
      <c r="I251" s="316" t="e">
        <f>IF(Backlog[[#This Row],[Fecha Requerida en Producción]]="","",Backlog[[#This Row],[Fecha Requerida en Producción]])</f>
        <v>#VALUE!</v>
      </c>
      <c r="J251" s="207"/>
      <c r="K251" s="207"/>
      <c r="L251" s="207"/>
      <c r="M251" s="207"/>
      <c r="N251" s="248"/>
      <c r="O251" s="248"/>
      <c r="P251" s="248"/>
      <c r="Q251" s="248"/>
    </row>
    <row r="252" spans="1:17" ht="15.75" hidden="1" customHeight="1">
      <c r="A252" s="274"/>
      <c r="B252" s="212"/>
      <c r="C252" s="202" t="e">
        <f>#REF!</f>
        <v>#REF!</v>
      </c>
      <c r="D252" s="202"/>
      <c r="E252" s="214"/>
      <c r="F252" s="202"/>
      <c r="G252" s="234" t="e">
        <f>Backlog[[#This Row],[OP]]</f>
        <v>#VALUE!</v>
      </c>
      <c r="H252" s="202"/>
      <c r="I252" s="316" t="e">
        <f>IF(Backlog[[#This Row],[Fecha Requerida en Producción]]="","",Backlog[[#This Row],[Fecha Requerida en Producción]])</f>
        <v>#VALUE!</v>
      </c>
      <c r="J252" s="207"/>
      <c r="K252" s="207"/>
      <c r="L252" s="207"/>
      <c r="M252" s="207"/>
      <c r="N252" s="248"/>
      <c r="O252" s="248"/>
      <c r="P252" s="248"/>
      <c r="Q252" s="248"/>
    </row>
    <row r="253" spans="1:17" ht="15.75" hidden="1" customHeight="1">
      <c r="A253" s="274"/>
      <c r="B253" s="212"/>
      <c r="C253" s="202" t="e">
        <f>#REF!</f>
        <v>#REF!</v>
      </c>
      <c r="D253" s="202"/>
      <c r="E253" s="214"/>
      <c r="F253" s="202"/>
      <c r="G253" s="234" t="e">
        <f>Backlog[[#This Row],[OP]]</f>
        <v>#VALUE!</v>
      </c>
      <c r="H253" s="202"/>
      <c r="I253" s="316" t="e">
        <f>IF(Backlog[[#This Row],[Fecha Requerida en Producción]]="","",Backlog[[#This Row],[Fecha Requerida en Producción]])</f>
        <v>#VALUE!</v>
      </c>
      <c r="J253" s="207"/>
      <c r="K253" s="207"/>
      <c r="L253" s="207"/>
      <c r="M253" s="207"/>
      <c r="N253" s="248"/>
      <c r="O253" s="248"/>
      <c r="P253" s="248"/>
      <c r="Q253" s="248"/>
    </row>
    <row r="254" spans="1:17" ht="15.75" hidden="1" customHeight="1">
      <c r="A254" s="274"/>
      <c r="B254" s="212"/>
      <c r="C254" s="202" t="e">
        <f>#REF!</f>
        <v>#REF!</v>
      </c>
      <c r="D254" s="202"/>
      <c r="E254" s="214"/>
      <c r="F254" s="202"/>
      <c r="G254" s="234" t="e">
        <f>Backlog[[#This Row],[OP]]</f>
        <v>#VALUE!</v>
      </c>
      <c r="H254" s="202"/>
      <c r="I254" s="316" t="e">
        <f>IF(Backlog[[#This Row],[Fecha Requerida en Producción]]="","",Backlog[[#This Row],[Fecha Requerida en Producción]])</f>
        <v>#VALUE!</v>
      </c>
      <c r="J254" s="207"/>
      <c r="K254" s="207"/>
      <c r="L254" s="207"/>
      <c r="M254" s="207"/>
      <c r="N254" s="248"/>
      <c r="O254" s="248"/>
      <c r="P254" s="248"/>
      <c r="Q254" s="248"/>
    </row>
    <row r="255" spans="1:17" ht="15.75" hidden="1" customHeight="1">
      <c r="A255" s="274"/>
      <c r="B255" s="212"/>
      <c r="C255" s="202" t="e">
        <f>#REF!</f>
        <v>#REF!</v>
      </c>
      <c r="D255" s="202"/>
      <c r="E255" s="214"/>
      <c r="F255" s="202"/>
      <c r="G255" s="234" t="e">
        <f>Backlog[[#This Row],[OP]]</f>
        <v>#VALUE!</v>
      </c>
      <c r="H255" s="202"/>
      <c r="I255" s="316" t="e">
        <f>IF(Backlog[[#This Row],[Fecha Requerida en Producción]]="","",Backlog[[#This Row],[Fecha Requerida en Producción]])</f>
        <v>#VALUE!</v>
      </c>
      <c r="J255" s="207"/>
      <c r="K255" s="207"/>
      <c r="L255" s="207"/>
      <c r="M255" s="207"/>
      <c r="N255" s="248"/>
      <c r="O255" s="248"/>
      <c r="P255" s="248"/>
      <c r="Q255" s="248"/>
    </row>
    <row r="256" spans="1:17" ht="15.75" hidden="1" customHeight="1">
      <c r="A256" s="274"/>
      <c r="B256" s="212"/>
      <c r="C256" s="202" t="e">
        <f>#REF!</f>
        <v>#REF!</v>
      </c>
      <c r="D256" s="202"/>
      <c r="E256" s="214"/>
      <c r="F256" s="202"/>
      <c r="G256" s="234" t="e">
        <f>Backlog[[#This Row],[OP]]</f>
        <v>#VALUE!</v>
      </c>
      <c r="H256" s="202"/>
      <c r="I256" s="316" t="e">
        <f>IF(Backlog[[#This Row],[Fecha Requerida en Producción]]="","",Backlog[[#This Row],[Fecha Requerida en Producción]])</f>
        <v>#VALUE!</v>
      </c>
      <c r="J256" s="207"/>
      <c r="K256" s="207"/>
      <c r="L256" s="207"/>
      <c r="M256" s="207"/>
      <c r="N256" s="248"/>
      <c r="O256" s="248"/>
      <c r="P256" s="248"/>
      <c r="Q256" s="248"/>
    </row>
    <row r="257" spans="1:17" ht="15.75" hidden="1" customHeight="1">
      <c r="A257" s="274"/>
      <c r="B257" s="212"/>
      <c r="C257" s="202" t="e">
        <f>#REF!</f>
        <v>#REF!</v>
      </c>
      <c r="D257" s="202"/>
      <c r="E257" s="214"/>
      <c r="F257" s="202"/>
      <c r="G257" s="234" t="e">
        <f>Backlog[[#This Row],[OP]]</f>
        <v>#VALUE!</v>
      </c>
      <c r="H257" s="202"/>
      <c r="I257" s="316" t="e">
        <f>IF(Backlog[[#This Row],[Fecha Requerida en Producción]]="","",Backlog[[#This Row],[Fecha Requerida en Producción]])</f>
        <v>#VALUE!</v>
      </c>
      <c r="J257" s="207"/>
      <c r="K257" s="207"/>
      <c r="L257" s="207"/>
      <c r="M257" s="207"/>
      <c r="N257" s="248"/>
      <c r="O257" s="248"/>
      <c r="P257" s="248"/>
      <c r="Q257" s="248"/>
    </row>
    <row r="258" spans="1:17" ht="15.75" hidden="1" customHeight="1">
      <c r="A258" s="274"/>
      <c r="B258" s="212"/>
      <c r="C258" s="202" t="e">
        <f>#REF!</f>
        <v>#REF!</v>
      </c>
      <c r="D258" s="202"/>
      <c r="E258" s="214"/>
      <c r="F258" s="202"/>
      <c r="G258" s="234" t="e">
        <f>Backlog[[#This Row],[OP]]</f>
        <v>#VALUE!</v>
      </c>
      <c r="H258" s="202"/>
      <c r="I258" s="316" t="e">
        <f>IF(Backlog[[#This Row],[Fecha Requerida en Producción]]="","",Backlog[[#This Row],[Fecha Requerida en Producción]])</f>
        <v>#VALUE!</v>
      </c>
      <c r="J258" s="207"/>
      <c r="K258" s="207"/>
      <c r="L258" s="207"/>
      <c r="M258" s="207"/>
      <c r="N258" s="248"/>
      <c r="O258" s="248"/>
      <c r="P258" s="248"/>
      <c r="Q258" s="248"/>
    </row>
    <row r="259" spans="1:17" ht="15.75" hidden="1" customHeight="1">
      <c r="A259" s="274"/>
      <c r="B259" s="212"/>
      <c r="C259" s="202" t="e">
        <f>#REF!</f>
        <v>#REF!</v>
      </c>
      <c r="D259" s="202"/>
      <c r="E259" s="214"/>
      <c r="F259" s="202"/>
      <c r="G259" s="234" t="e">
        <f>Backlog[[#This Row],[OP]]</f>
        <v>#VALUE!</v>
      </c>
      <c r="H259" s="202"/>
      <c r="I259" s="316" t="e">
        <f>IF(Backlog[[#This Row],[Fecha Requerida en Producción]]="","",Backlog[[#This Row],[Fecha Requerida en Producción]])</f>
        <v>#VALUE!</v>
      </c>
      <c r="J259" s="207"/>
      <c r="K259" s="207"/>
      <c r="L259" s="207"/>
      <c r="M259" s="207"/>
      <c r="N259" s="248"/>
      <c r="O259" s="248"/>
      <c r="P259" s="248"/>
      <c r="Q259" s="248"/>
    </row>
    <row r="260" spans="1:17" ht="15.75" hidden="1" customHeight="1">
      <c r="A260" s="274"/>
      <c r="B260" s="212"/>
      <c r="C260" s="202" t="e">
        <f>#REF!</f>
        <v>#REF!</v>
      </c>
      <c r="D260" s="202"/>
      <c r="E260" s="214"/>
      <c r="F260" s="202"/>
      <c r="G260" s="234" t="e">
        <f>Backlog[[#This Row],[OP]]</f>
        <v>#VALUE!</v>
      </c>
      <c r="H260" s="202"/>
      <c r="I260" s="316" t="e">
        <f>IF(Backlog[[#This Row],[Fecha Requerida en Producción]]="","",Backlog[[#This Row],[Fecha Requerida en Producción]])</f>
        <v>#VALUE!</v>
      </c>
      <c r="J260" s="207"/>
      <c r="K260" s="207"/>
      <c r="L260" s="207"/>
      <c r="M260" s="207"/>
      <c r="N260" s="248"/>
      <c r="O260" s="248"/>
      <c r="P260" s="248"/>
      <c r="Q260" s="248"/>
    </row>
    <row r="261" spans="1:17" ht="15.75" hidden="1" customHeight="1">
      <c r="A261" s="274"/>
      <c r="B261" s="212"/>
      <c r="C261" s="202" t="e">
        <f>#REF!</f>
        <v>#REF!</v>
      </c>
      <c r="D261" s="202"/>
      <c r="E261" s="214"/>
      <c r="F261" s="202"/>
      <c r="G261" s="234" t="e">
        <f>Backlog[[#This Row],[OP]]</f>
        <v>#VALUE!</v>
      </c>
      <c r="H261" s="202"/>
      <c r="I261" s="316" t="e">
        <f>IF(Backlog[[#This Row],[Fecha Requerida en Producción]]="","",Backlog[[#This Row],[Fecha Requerida en Producción]])</f>
        <v>#VALUE!</v>
      </c>
      <c r="J261" s="207"/>
      <c r="K261" s="207"/>
      <c r="L261" s="207"/>
      <c r="M261" s="207"/>
      <c r="N261" s="248"/>
      <c r="O261" s="248"/>
      <c r="P261" s="248"/>
      <c r="Q261" s="248"/>
    </row>
    <row r="262" spans="1:17" ht="15.75" hidden="1" customHeight="1">
      <c r="A262" s="274"/>
      <c r="B262" s="212"/>
      <c r="C262" s="202" t="e">
        <f>#REF!</f>
        <v>#REF!</v>
      </c>
      <c r="D262" s="202"/>
      <c r="E262" s="214"/>
      <c r="F262" s="202"/>
      <c r="G262" s="234" t="e">
        <f>Backlog[[#This Row],[OP]]</f>
        <v>#VALUE!</v>
      </c>
      <c r="H262" s="202"/>
      <c r="I262" s="316" t="e">
        <f>IF(Backlog[[#This Row],[Fecha Requerida en Producción]]="","",Backlog[[#This Row],[Fecha Requerida en Producción]])</f>
        <v>#VALUE!</v>
      </c>
      <c r="J262" s="207"/>
      <c r="K262" s="207"/>
      <c r="L262" s="207"/>
      <c r="M262" s="207"/>
      <c r="N262" s="248"/>
      <c r="O262" s="248"/>
      <c r="P262" s="248"/>
      <c r="Q262" s="248"/>
    </row>
    <row r="263" spans="1:17" ht="15.75" hidden="1" customHeight="1">
      <c r="A263" s="274"/>
      <c r="B263" s="212"/>
      <c r="C263" s="202" t="e">
        <f>#REF!</f>
        <v>#REF!</v>
      </c>
      <c r="D263" s="202"/>
      <c r="E263" s="214"/>
      <c r="F263" s="202"/>
      <c r="G263" s="234" t="e">
        <f>Backlog[[#This Row],[OP]]</f>
        <v>#VALUE!</v>
      </c>
      <c r="H263" s="202"/>
      <c r="I263" s="316" t="e">
        <f>IF(Backlog[[#This Row],[Fecha Requerida en Producción]]="","",Backlog[[#This Row],[Fecha Requerida en Producción]])</f>
        <v>#VALUE!</v>
      </c>
      <c r="J263" s="207"/>
      <c r="K263" s="207"/>
      <c r="L263" s="207"/>
      <c r="M263" s="207"/>
      <c r="N263" s="248"/>
      <c r="O263" s="248"/>
      <c r="P263" s="248"/>
      <c r="Q263" s="248"/>
    </row>
    <row r="264" spans="1:17" ht="15.75" hidden="1" customHeight="1">
      <c r="A264" s="274"/>
      <c r="B264" s="212"/>
      <c r="C264" s="202" t="e">
        <f>#REF!</f>
        <v>#REF!</v>
      </c>
      <c r="D264" s="202"/>
      <c r="E264" s="214"/>
      <c r="F264" s="202"/>
      <c r="G264" s="234" t="e">
        <f>Backlog[[#This Row],[OP]]</f>
        <v>#VALUE!</v>
      </c>
      <c r="H264" s="202"/>
      <c r="I264" s="316" t="e">
        <f>IF(Backlog[[#This Row],[Fecha Requerida en Producción]]="","",Backlog[[#This Row],[Fecha Requerida en Producción]])</f>
        <v>#VALUE!</v>
      </c>
      <c r="J264" s="207"/>
      <c r="K264" s="207"/>
      <c r="L264" s="207"/>
      <c r="M264" s="207"/>
      <c r="N264" s="248"/>
      <c r="O264" s="248"/>
      <c r="P264" s="248"/>
      <c r="Q264" s="248"/>
    </row>
    <row r="265" spans="1:17" ht="15.75" hidden="1" customHeight="1">
      <c r="A265" s="274"/>
      <c r="B265" s="212"/>
      <c r="C265" s="202" t="e">
        <f>#REF!</f>
        <v>#REF!</v>
      </c>
      <c r="D265" s="202"/>
      <c r="E265" s="214"/>
      <c r="F265" s="202"/>
      <c r="G265" s="234" t="e">
        <f>Backlog[[#This Row],[OP]]</f>
        <v>#VALUE!</v>
      </c>
      <c r="H265" s="202"/>
      <c r="I265" s="316" t="e">
        <f>IF(Backlog[[#This Row],[Fecha Requerida en Producción]]="","",Backlog[[#This Row],[Fecha Requerida en Producción]])</f>
        <v>#VALUE!</v>
      </c>
      <c r="J265" s="207"/>
      <c r="K265" s="207"/>
      <c r="L265" s="207"/>
      <c r="M265" s="207"/>
      <c r="N265" s="248"/>
      <c r="O265" s="248"/>
      <c r="P265" s="248"/>
      <c r="Q265" s="248"/>
    </row>
    <row r="266" spans="1:17" ht="15.75" hidden="1" customHeight="1">
      <c r="A266" s="274"/>
      <c r="B266" s="212"/>
      <c r="C266" s="202" t="e">
        <f>#REF!</f>
        <v>#REF!</v>
      </c>
      <c r="D266" s="202"/>
      <c r="E266" s="214"/>
      <c r="F266" s="202"/>
      <c r="G266" s="234" t="e">
        <f>Backlog[[#This Row],[OP]]</f>
        <v>#VALUE!</v>
      </c>
      <c r="H266" s="202"/>
      <c r="I266" s="316" t="e">
        <f>IF(Backlog[[#This Row],[Fecha Requerida en Producción]]="","",Backlog[[#This Row],[Fecha Requerida en Producción]])</f>
        <v>#VALUE!</v>
      </c>
      <c r="J266" s="207"/>
      <c r="K266" s="207"/>
      <c r="L266" s="207"/>
      <c r="M266" s="207"/>
      <c r="N266" s="248"/>
      <c r="O266" s="248"/>
      <c r="P266" s="248"/>
      <c r="Q266" s="248"/>
    </row>
    <row r="267" spans="1:17" ht="15.75" hidden="1" customHeight="1">
      <c r="A267" s="274"/>
      <c r="B267" s="212"/>
      <c r="C267" s="202" t="e">
        <f>#REF!</f>
        <v>#REF!</v>
      </c>
      <c r="D267" s="202"/>
      <c r="E267" s="214"/>
      <c r="F267" s="202"/>
      <c r="G267" s="234" t="e">
        <f>Backlog[[#This Row],[OP]]</f>
        <v>#VALUE!</v>
      </c>
      <c r="H267" s="202"/>
      <c r="I267" s="316" t="e">
        <f>IF(Backlog[[#This Row],[Fecha Requerida en Producción]]="","",Backlog[[#This Row],[Fecha Requerida en Producción]])</f>
        <v>#VALUE!</v>
      </c>
      <c r="J267" s="207"/>
      <c r="K267" s="207"/>
      <c r="L267" s="207"/>
      <c r="M267" s="207"/>
      <c r="N267" s="248"/>
      <c r="O267" s="248"/>
      <c r="P267" s="248"/>
      <c r="Q267" s="248"/>
    </row>
    <row r="268" spans="1:17" ht="15.75" hidden="1" customHeight="1">
      <c r="A268" s="274"/>
      <c r="B268" s="212"/>
      <c r="C268" s="202" t="e">
        <f>#REF!</f>
        <v>#REF!</v>
      </c>
      <c r="D268" s="202"/>
      <c r="E268" s="214"/>
      <c r="F268" s="202"/>
      <c r="G268" s="234" t="e">
        <f>Backlog[[#This Row],[OP]]</f>
        <v>#VALUE!</v>
      </c>
      <c r="H268" s="202"/>
      <c r="I268" s="316" t="e">
        <f>IF(Backlog[[#This Row],[Fecha Requerida en Producción]]="","",Backlog[[#This Row],[Fecha Requerida en Producción]])</f>
        <v>#VALUE!</v>
      </c>
      <c r="J268" s="207"/>
      <c r="K268" s="207"/>
      <c r="L268" s="207"/>
      <c r="M268" s="207"/>
      <c r="N268" s="248"/>
      <c r="O268" s="248"/>
      <c r="P268" s="248"/>
      <c r="Q268" s="248"/>
    </row>
    <row r="269" spans="1:17" ht="15.75" hidden="1" customHeight="1">
      <c r="A269" s="274"/>
      <c r="B269" s="212"/>
      <c r="C269" s="202" t="e">
        <f>#REF!</f>
        <v>#REF!</v>
      </c>
      <c r="D269" s="202"/>
      <c r="E269" s="214"/>
      <c r="F269" s="202"/>
      <c r="G269" s="234" t="e">
        <f>Backlog[[#This Row],[OP]]</f>
        <v>#VALUE!</v>
      </c>
      <c r="H269" s="202"/>
      <c r="I269" s="316" t="e">
        <f>IF(Backlog[[#This Row],[Fecha Requerida en Producción]]="","",Backlog[[#This Row],[Fecha Requerida en Producción]])</f>
        <v>#VALUE!</v>
      </c>
      <c r="J269" s="207"/>
      <c r="K269" s="207"/>
      <c r="L269" s="207"/>
      <c r="M269" s="207"/>
      <c r="N269" s="248"/>
      <c r="O269" s="248"/>
      <c r="P269" s="248"/>
      <c r="Q269" s="248"/>
    </row>
    <row r="270" spans="1:17" ht="15.75" hidden="1" customHeight="1">
      <c r="A270" s="274"/>
      <c r="B270" s="212"/>
      <c r="C270" s="202" t="e">
        <f>#REF!</f>
        <v>#REF!</v>
      </c>
      <c r="D270" s="202"/>
      <c r="E270" s="214"/>
      <c r="F270" s="202"/>
      <c r="G270" s="234" t="e">
        <f>Backlog[[#This Row],[OP]]</f>
        <v>#VALUE!</v>
      </c>
      <c r="H270" s="202"/>
      <c r="I270" s="316" t="e">
        <f>IF(Backlog[[#This Row],[Fecha Requerida en Producción]]="","",Backlog[[#This Row],[Fecha Requerida en Producción]])</f>
        <v>#VALUE!</v>
      </c>
      <c r="J270" s="207"/>
      <c r="K270" s="207"/>
      <c r="L270" s="207"/>
      <c r="M270" s="207"/>
      <c r="N270" s="248"/>
      <c r="O270" s="248"/>
      <c r="P270" s="248"/>
      <c r="Q270" s="248"/>
    </row>
    <row r="271" spans="1:17" ht="15.75" hidden="1" customHeight="1">
      <c r="A271" s="274"/>
      <c r="B271" s="212"/>
      <c r="C271" s="202" t="e">
        <f>#REF!</f>
        <v>#REF!</v>
      </c>
      <c r="D271" s="202"/>
      <c r="E271" s="214"/>
      <c r="F271" s="202"/>
      <c r="G271" s="234" t="e">
        <f>Backlog[[#This Row],[OP]]</f>
        <v>#VALUE!</v>
      </c>
      <c r="H271" s="202"/>
      <c r="I271" s="316" t="e">
        <f>IF(Backlog[[#This Row],[Fecha Requerida en Producción]]="","",Backlog[[#This Row],[Fecha Requerida en Producción]])</f>
        <v>#VALUE!</v>
      </c>
      <c r="J271" s="207"/>
      <c r="K271" s="207"/>
      <c r="L271" s="207"/>
      <c r="M271" s="207"/>
      <c r="N271" s="248"/>
      <c r="O271" s="248"/>
      <c r="P271" s="248"/>
      <c r="Q271" s="248"/>
    </row>
    <row r="272" spans="1:17" ht="15.75" hidden="1" customHeight="1">
      <c r="A272" s="274"/>
      <c r="B272" s="212"/>
      <c r="C272" s="202" t="e">
        <f>#REF!</f>
        <v>#REF!</v>
      </c>
      <c r="D272" s="202"/>
      <c r="E272" s="214"/>
      <c r="F272" s="202"/>
      <c r="G272" s="234" t="e">
        <f>Backlog[[#This Row],[OP]]</f>
        <v>#VALUE!</v>
      </c>
      <c r="H272" s="202"/>
      <c r="I272" s="316" t="e">
        <f>IF(Backlog[[#This Row],[Fecha Requerida en Producción]]="","",Backlog[[#This Row],[Fecha Requerida en Producción]])</f>
        <v>#VALUE!</v>
      </c>
      <c r="J272" s="207"/>
      <c r="K272" s="207"/>
      <c r="L272" s="207"/>
      <c r="M272" s="207"/>
      <c r="N272" s="248"/>
      <c r="O272" s="248"/>
      <c r="P272" s="248"/>
      <c r="Q272" s="248"/>
    </row>
    <row r="273" spans="1:17" ht="15.75" hidden="1" customHeight="1">
      <c r="A273" s="274"/>
      <c r="B273" s="212"/>
      <c r="C273" s="202" t="e">
        <f>#REF!</f>
        <v>#REF!</v>
      </c>
      <c r="D273" s="202"/>
      <c r="E273" s="214"/>
      <c r="F273" s="202"/>
      <c r="G273" s="234" t="e">
        <f>Backlog[[#This Row],[OP]]</f>
        <v>#VALUE!</v>
      </c>
      <c r="H273" s="202"/>
      <c r="I273" s="316" t="e">
        <f>IF(Backlog[[#This Row],[Fecha Requerida en Producción]]="","",Backlog[[#This Row],[Fecha Requerida en Producción]])</f>
        <v>#VALUE!</v>
      </c>
      <c r="J273" s="207"/>
      <c r="K273" s="207"/>
      <c r="L273" s="207"/>
      <c r="M273" s="207"/>
      <c r="N273" s="248"/>
      <c r="O273" s="248"/>
      <c r="P273" s="248"/>
      <c r="Q273" s="248"/>
    </row>
    <row r="274" spans="1:17" ht="15.75" hidden="1" customHeight="1">
      <c r="A274" s="274"/>
      <c r="B274" s="212"/>
      <c r="C274" s="202" t="e">
        <f>#REF!</f>
        <v>#REF!</v>
      </c>
      <c r="D274" s="202"/>
      <c r="E274" s="214"/>
      <c r="F274" s="202"/>
      <c r="G274" s="234" t="e">
        <f>Backlog[[#This Row],[OP]]</f>
        <v>#VALUE!</v>
      </c>
      <c r="H274" s="202"/>
      <c r="I274" s="316" t="e">
        <f>IF(Backlog[[#This Row],[Fecha Requerida en Producción]]="","",Backlog[[#This Row],[Fecha Requerida en Producción]])</f>
        <v>#VALUE!</v>
      </c>
      <c r="J274" s="207"/>
      <c r="K274" s="207"/>
      <c r="L274" s="207"/>
      <c r="M274" s="207"/>
      <c r="N274" s="248"/>
      <c r="O274" s="248"/>
      <c r="P274" s="248"/>
      <c r="Q274" s="248"/>
    </row>
    <row r="275" spans="1:17" ht="15.75" hidden="1" customHeight="1">
      <c r="A275" s="274"/>
      <c r="B275" s="212"/>
      <c r="C275" s="202" t="e">
        <f>#REF!</f>
        <v>#REF!</v>
      </c>
      <c r="D275" s="202"/>
      <c r="E275" s="214"/>
      <c r="F275" s="202"/>
      <c r="G275" s="234" t="e">
        <f>Backlog[[#This Row],[OP]]</f>
        <v>#VALUE!</v>
      </c>
      <c r="H275" s="202"/>
      <c r="I275" s="316" t="e">
        <f>IF(Backlog[[#This Row],[Fecha Requerida en Producción]]="","",Backlog[[#This Row],[Fecha Requerida en Producción]])</f>
        <v>#VALUE!</v>
      </c>
      <c r="J275" s="207"/>
      <c r="K275" s="207"/>
      <c r="L275" s="207"/>
      <c r="M275" s="207"/>
      <c r="N275" s="248"/>
      <c r="O275" s="248"/>
      <c r="P275" s="248"/>
      <c r="Q275" s="248"/>
    </row>
    <row r="276" spans="1:17" ht="15.75" hidden="1" customHeight="1">
      <c r="A276" s="274"/>
      <c r="B276" s="212"/>
      <c r="C276" s="202" t="e">
        <f>#REF!</f>
        <v>#REF!</v>
      </c>
      <c r="D276" s="202"/>
      <c r="E276" s="214"/>
      <c r="F276" s="202"/>
      <c r="G276" s="234" t="e">
        <f>Backlog[[#This Row],[OP]]</f>
        <v>#VALUE!</v>
      </c>
      <c r="H276" s="202"/>
      <c r="I276" s="316" t="e">
        <f>IF(Backlog[[#This Row],[Fecha Requerida en Producción]]="","",Backlog[[#This Row],[Fecha Requerida en Producción]])</f>
        <v>#VALUE!</v>
      </c>
      <c r="J276" s="207"/>
      <c r="K276" s="207"/>
      <c r="L276" s="207"/>
      <c r="M276" s="207"/>
      <c r="N276" s="248"/>
      <c r="O276" s="248"/>
      <c r="P276" s="248"/>
      <c r="Q276" s="248"/>
    </row>
    <row r="277" spans="1:17" ht="15.75" hidden="1" customHeight="1">
      <c r="A277" s="274"/>
      <c r="B277" s="212"/>
      <c r="C277" s="202" t="e">
        <f>#REF!</f>
        <v>#REF!</v>
      </c>
      <c r="D277" s="202"/>
      <c r="E277" s="214"/>
      <c r="F277" s="202"/>
      <c r="G277" s="234" t="e">
        <f>Backlog[[#This Row],[OP]]</f>
        <v>#VALUE!</v>
      </c>
      <c r="H277" s="202"/>
      <c r="I277" s="316" t="e">
        <f>IF(Backlog[[#This Row],[Fecha Requerida en Producción]]="","",Backlog[[#This Row],[Fecha Requerida en Producción]])</f>
        <v>#VALUE!</v>
      </c>
      <c r="J277" s="207"/>
      <c r="K277" s="207"/>
      <c r="L277" s="207"/>
      <c r="M277" s="207"/>
      <c r="N277" s="248"/>
      <c r="O277" s="248"/>
      <c r="P277" s="248"/>
      <c r="Q277" s="248"/>
    </row>
    <row r="278" spans="1:17" ht="15.75" hidden="1" customHeight="1">
      <c r="A278" s="274"/>
      <c r="B278" s="212"/>
      <c r="C278" s="202" t="e">
        <f>#REF!</f>
        <v>#REF!</v>
      </c>
      <c r="D278" s="202"/>
      <c r="E278" s="214"/>
      <c r="F278" s="202"/>
      <c r="G278" s="234" t="e">
        <f>Backlog[[#This Row],[OP]]</f>
        <v>#VALUE!</v>
      </c>
      <c r="H278" s="202"/>
      <c r="I278" s="316" t="e">
        <f>IF(Backlog[[#This Row],[Fecha Requerida en Producción]]="","",Backlog[[#This Row],[Fecha Requerida en Producción]])</f>
        <v>#VALUE!</v>
      </c>
      <c r="J278" s="207"/>
      <c r="K278" s="207"/>
      <c r="L278" s="207"/>
      <c r="M278" s="207"/>
      <c r="N278" s="248"/>
      <c r="O278" s="248"/>
      <c r="P278" s="248"/>
      <c r="Q278" s="248"/>
    </row>
    <row r="279" spans="1:17" ht="15.75" hidden="1" customHeight="1">
      <c r="A279" s="274"/>
      <c r="B279" s="212"/>
      <c r="C279" s="202" t="e">
        <f>#REF!</f>
        <v>#REF!</v>
      </c>
      <c r="D279" s="202"/>
      <c r="E279" s="214"/>
      <c r="F279" s="202"/>
      <c r="G279" s="234" t="e">
        <f>Backlog[[#This Row],[OP]]</f>
        <v>#VALUE!</v>
      </c>
      <c r="H279" s="202"/>
      <c r="I279" s="316" t="e">
        <f>IF(Backlog[[#This Row],[Fecha Requerida en Producción]]="","",Backlog[[#This Row],[Fecha Requerida en Producción]])</f>
        <v>#VALUE!</v>
      </c>
      <c r="J279" s="207"/>
      <c r="K279" s="207"/>
      <c r="L279" s="207"/>
      <c r="M279" s="207"/>
      <c r="N279" s="248"/>
      <c r="O279" s="248"/>
      <c r="P279" s="248"/>
      <c r="Q279" s="248"/>
    </row>
    <row r="280" spans="1:17" ht="15.75" hidden="1" customHeight="1">
      <c r="A280" s="274"/>
      <c r="B280" s="212"/>
      <c r="C280" s="202" t="e">
        <f>#REF!</f>
        <v>#REF!</v>
      </c>
      <c r="D280" s="202"/>
      <c r="E280" s="214"/>
      <c r="F280" s="202"/>
      <c r="G280" s="234" t="e">
        <f>Backlog[[#This Row],[OP]]</f>
        <v>#VALUE!</v>
      </c>
      <c r="H280" s="202"/>
      <c r="I280" s="316" t="e">
        <f>IF(Backlog[[#This Row],[Fecha Requerida en Producción]]="","",Backlog[[#This Row],[Fecha Requerida en Producción]])</f>
        <v>#VALUE!</v>
      </c>
      <c r="J280" s="207"/>
      <c r="K280" s="207"/>
      <c r="L280" s="207"/>
      <c r="M280" s="207"/>
      <c r="N280" s="248"/>
      <c r="O280" s="248"/>
      <c r="P280" s="248"/>
      <c r="Q280" s="248"/>
    </row>
    <row r="281" spans="1:17" ht="15.75" hidden="1" customHeight="1">
      <c r="A281" s="274"/>
      <c r="B281" s="212"/>
      <c r="C281" s="202" t="e">
        <f>#REF!</f>
        <v>#REF!</v>
      </c>
      <c r="D281" s="202"/>
      <c r="E281" s="214"/>
      <c r="F281" s="202"/>
      <c r="G281" s="234" t="e">
        <f>Backlog[[#This Row],[OP]]</f>
        <v>#VALUE!</v>
      </c>
      <c r="H281" s="202"/>
      <c r="I281" s="316" t="e">
        <f>IF(Backlog[[#This Row],[Fecha Requerida en Producción]]="","",Backlog[[#This Row],[Fecha Requerida en Producción]])</f>
        <v>#VALUE!</v>
      </c>
      <c r="J281" s="207"/>
      <c r="K281" s="207"/>
      <c r="L281" s="207"/>
      <c r="M281" s="207"/>
      <c r="N281" s="248"/>
      <c r="O281" s="248"/>
      <c r="P281" s="248"/>
      <c r="Q281" s="248"/>
    </row>
    <row r="282" spans="1:17" ht="15.75" hidden="1" customHeight="1">
      <c r="A282" s="274"/>
      <c r="B282" s="212"/>
      <c r="C282" s="202" t="e">
        <f>#REF!</f>
        <v>#REF!</v>
      </c>
      <c r="D282" s="202"/>
      <c r="E282" s="214"/>
      <c r="F282" s="202"/>
      <c r="G282" s="234" t="e">
        <f>Backlog[[#This Row],[OP]]</f>
        <v>#VALUE!</v>
      </c>
      <c r="H282" s="202"/>
      <c r="I282" s="316" t="e">
        <f>IF(Backlog[[#This Row],[Fecha Requerida en Producción]]="","",Backlog[[#This Row],[Fecha Requerida en Producción]])</f>
        <v>#VALUE!</v>
      </c>
      <c r="J282" s="207"/>
      <c r="K282" s="207"/>
      <c r="L282" s="207"/>
      <c r="M282" s="207"/>
      <c r="N282" s="248"/>
      <c r="O282" s="248"/>
      <c r="P282" s="248"/>
      <c r="Q282" s="248"/>
    </row>
    <row r="283" spans="1:17" ht="15.75" hidden="1" customHeight="1">
      <c r="A283" s="274"/>
      <c r="B283" s="212"/>
      <c r="C283" s="202" t="e">
        <f>#REF!</f>
        <v>#REF!</v>
      </c>
      <c r="D283" s="202"/>
      <c r="E283" s="214"/>
      <c r="F283" s="202"/>
      <c r="G283" s="234" t="e">
        <f>Backlog[[#This Row],[OP]]</f>
        <v>#VALUE!</v>
      </c>
      <c r="H283" s="202"/>
      <c r="I283" s="316" t="e">
        <f>IF(Backlog[[#This Row],[Fecha Requerida en Producción]]="","",Backlog[[#This Row],[Fecha Requerida en Producción]])</f>
        <v>#VALUE!</v>
      </c>
      <c r="J283" s="207"/>
      <c r="K283" s="207"/>
      <c r="L283" s="207"/>
      <c r="M283" s="207"/>
      <c r="N283" s="248"/>
      <c r="O283" s="248"/>
      <c r="P283" s="248"/>
      <c r="Q283" s="248"/>
    </row>
    <row r="284" spans="1:17" ht="15.75" hidden="1" customHeight="1">
      <c r="A284" s="274"/>
      <c r="B284" s="212"/>
      <c r="C284" s="202" t="e">
        <f>#REF!</f>
        <v>#REF!</v>
      </c>
      <c r="D284" s="202"/>
      <c r="E284" s="214"/>
      <c r="F284" s="202"/>
      <c r="G284" s="234" t="e">
        <f>Backlog[[#This Row],[OP]]</f>
        <v>#VALUE!</v>
      </c>
      <c r="H284" s="202"/>
      <c r="I284" s="316" t="e">
        <f>IF(Backlog[[#This Row],[Fecha Requerida en Producción]]="","",Backlog[[#This Row],[Fecha Requerida en Producción]])</f>
        <v>#VALUE!</v>
      </c>
      <c r="J284" s="207"/>
      <c r="K284" s="207"/>
      <c r="L284" s="207"/>
      <c r="M284" s="207"/>
      <c r="N284" s="248"/>
      <c r="O284" s="248"/>
      <c r="P284" s="248"/>
      <c r="Q284" s="248"/>
    </row>
    <row r="285" spans="1:17" ht="15.75" hidden="1" customHeight="1">
      <c r="A285" s="274"/>
      <c r="B285" s="212"/>
      <c r="C285" s="202" t="e">
        <f>#REF!</f>
        <v>#REF!</v>
      </c>
      <c r="D285" s="202"/>
      <c r="E285" s="214"/>
      <c r="F285" s="202"/>
      <c r="G285" s="234" t="e">
        <f>Backlog[[#This Row],[OP]]</f>
        <v>#VALUE!</v>
      </c>
      <c r="H285" s="202"/>
      <c r="I285" s="316" t="e">
        <f>IF(Backlog[[#This Row],[Fecha Requerida en Producción]]="","",Backlog[[#This Row],[Fecha Requerida en Producción]])</f>
        <v>#VALUE!</v>
      </c>
      <c r="J285" s="207"/>
      <c r="K285" s="207"/>
      <c r="L285" s="207"/>
      <c r="M285" s="207"/>
      <c r="N285" s="248"/>
      <c r="O285" s="248"/>
      <c r="P285" s="248"/>
      <c r="Q285" s="248"/>
    </row>
    <row r="286" spans="1:17" ht="15.75" hidden="1" customHeight="1">
      <c r="A286" s="274"/>
      <c r="B286" s="212"/>
      <c r="C286" s="202" t="e">
        <f>#REF!</f>
        <v>#REF!</v>
      </c>
      <c r="D286" s="202"/>
      <c r="E286" s="214"/>
      <c r="F286" s="202"/>
      <c r="G286" s="234" t="e">
        <f>Backlog[[#This Row],[OP]]</f>
        <v>#VALUE!</v>
      </c>
      <c r="H286" s="202"/>
      <c r="I286" s="316" t="e">
        <f>IF(Backlog[[#This Row],[Fecha Requerida en Producción]]="","",Backlog[[#This Row],[Fecha Requerida en Producción]])</f>
        <v>#VALUE!</v>
      </c>
      <c r="J286" s="207"/>
      <c r="K286" s="207"/>
      <c r="L286" s="207"/>
      <c r="M286" s="207"/>
      <c r="N286" s="248"/>
      <c r="O286" s="248"/>
      <c r="P286" s="248"/>
      <c r="Q286" s="248"/>
    </row>
    <row r="287" spans="1:17" ht="15.75" hidden="1" customHeight="1">
      <c r="A287" s="274"/>
      <c r="B287" s="212"/>
      <c r="C287" s="202" t="e">
        <f>#REF!</f>
        <v>#REF!</v>
      </c>
      <c r="D287" s="202"/>
      <c r="E287" s="214"/>
      <c r="F287" s="202"/>
      <c r="G287" s="234" t="e">
        <f>Backlog[[#This Row],[OP]]</f>
        <v>#VALUE!</v>
      </c>
      <c r="H287" s="202"/>
      <c r="I287" s="316" t="e">
        <f>IF(Backlog[[#This Row],[Fecha Requerida en Producción]]="","",Backlog[[#This Row],[Fecha Requerida en Producción]])</f>
        <v>#VALUE!</v>
      </c>
      <c r="J287" s="207"/>
      <c r="K287" s="207"/>
      <c r="L287" s="207"/>
      <c r="M287" s="207"/>
      <c r="N287" s="248"/>
      <c r="O287" s="248"/>
      <c r="P287" s="248"/>
      <c r="Q287" s="248"/>
    </row>
    <row r="288" spans="1:17" ht="15.75" hidden="1" customHeight="1">
      <c r="A288" s="274"/>
      <c r="B288" s="212"/>
      <c r="C288" s="202" t="e">
        <f>#REF!</f>
        <v>#REF!</v>
      </c>
      <c r="D288" s="202"/>
      <c r="E288" s="214"/>
      <c r="F288" s="202"/>
      <c r="G288" s="234" t="e">
        <f>Backlog[[#This Row],[OP]]</f>
        <v>#VALUE!</v>
      </c>
      <c r="H288" s="202"/>
      <c r="I288" s="316" t="e">
        <f>IF(Backlog[[#This Row],[Fecha Requerida en Producción]]="","",Backlog[[#This Row],[Fecha Requerida en Producción]])</f>
        <v>#VALUE!</v>
      </c>
      <c r="J288" s="207"/>
      <c r="K288" s="207"/>
      <c r="L288" s="207"/>
      <c r="M288" s="207"/>
      <c r="N288" s="248"/>
      <c r="O288" s="248"/>
      <c r="P288" s="248"/>
      <c r="Q288" s="248"/>
    </row>
    <row r="289" spans="1:17" ht="15.75" hidden="1" customHeight="1">
      <c r="A289" s="274"/>
      <c r="B289" s="212"/>
      <c r="C289" s="202" t="e">
        <f>#REF!</f>
        <v>#REF!</v>
      </c>
      <c r="D289" s="202"/>
      <c r="E289" s="214"/>
      <c r="F289" s="202"/>
      <c r="G289" s="234" t="e">
        <f>Backlog[[#This Row],[OP]]</f>
        <v>#VALUE!</v>
      </c>
      <c r="H289" s="202"/>
      <c r="I289" s="316" t="e">
        <f>IF(Backlog[[#This Row],[Fecha Requerida en Producción]]="","",Backlog[[#This Row],[Fecha Requerida en Producción]])</f>
        <v>#VALUE!</v>
      </c>
      <c r="J289" s="207"/>
      <c r="K289" s="207"/>
      <c r="L289" s="207"/>
      <c r="M289" s="207"/>
      <c r="N289" s="248"/>
      <c r="O289" s="248"/>
      <c r="P289" s="248"/>
      <c r="Q289" s="248"/>
    </row>
    <row r="290" spans="1:17" ht="15.75" hidden="1" customHeight="1">
      <c r="A290" s="274"/>
      <c r="B290" s="212"/>
      <c r="C290" s="202" t="e">
        <f>#REF!</f>
        <v>#REF!</v>
      </c>
      <c r="D290" s="202"/>
      <c r="E290" s="214"/>
      <c r="F290" s="202"/>
      <c r="G290" s="234" t="e">
        <f>Backlog[[#This Row],[OP]]</f>
        <v>#VALUE!</v>
      </c>
      <c r="H290" s="202"/>
      <c r="I290" s="316" t="e">
        <f>IF(Backlog[[#This Row],[Fecha Requerida en Producción]]="","",Backlog[[#This Row],[Fecha Requerida en Producción]])</f>
        <v>#VALUE!</v>
      </c>
      <c r="J290" s="207"/>
      <c r="K290" s="207"/>
      <c r="L290" s="207"/>
      <c r="M290" s="207"/>
      <c r="N290" s="248"/>
      <c r="O290" s="248"/>
      <c r="P290" s="248"/>
      <c r="Q290" s="248"/>
    </row>
    <row r="291" spans="1:17" ht="15.75" hidden="1" customHeight="1">
      <c r="A291" s="274"/>
      <c r="B291" s="212"/>
      <c r="C291" s="202" t="e">
        <f>#REF!</f>
        <v>#REF!</v>
      </c>
      <c r="D291" s="202"/>
      <c r="E291" s="214"/>
      <c r="F291" s="202"/>
      <c r="G291" s="234" t="e">
        <f>Backlog[[#This Row],[OP]]</f>
        <v>#VALUE!</v>
      </c>
      <c r="H291" s="202"/>
      <c r="I291" s="316" t="e">
        <f>IF(Backlog[[#This Row],[Fecha Requerida en Producción]]="","",Backlog[[#This Row],[Fecha Requerida en Producción]])</f>
        <v>#VALUE!</v>
      </c>
      <c r="J291" s="207"/>
      <c r="K291" s="207"/>
      <c r="L291" s="207"/>
      <c r="M291" s="207"/>
      <c r="N291" s="248"/>
      <c r="O291" s="248"/>
      <c r="P291" s="248"/>
      <c r="Q291" s="248"/>
    </row>
    <row r="292" spans="1:17" ht="15.75" hidden="1" customHeight="1">
      <c r="A292" s="274"/>
      <c r="B292" s="212"/>
      <c r="C292" s="202" t="e">
        <f>#REF!</f>
        <v>#REF!</v>
      </c>
      <c r="D292" s="202"/>
      <c r="E292" s="214"/>
      <c r="F292" s="202"/>
      <c r="G292" s="234" t="e">
        <f>Backlog[[#This Row],[OP]]</f>
        <v>#VALUE!</v>
      </c>
      <c r="H292" s="202"/>
      <c r="I292" s="316" t="e">
        <f>IF(Backlog[[#This Row],[Fecha Requerida en Producción]]="","",Backlog[[#This Row],[Fecha Requerida en Producción]])</f>
        <v>#VALUE!</v>
      </c>
      <c r="J292" s="207"/>
      <c r="K292" s="207"/>
      <c r="L292" s="207"/>
      <c r="M292" s="207"/>
      <c r="N292" s="248"/>
      <c r="O292" s="248"/>
      <c r="P292" s="248"/>
      <c r="Q292" s="248"/>
    </row>
    <row r="293" spans="1:17" ht="15.75" hidden="1" customHeight="1">
      <c r="A293" s="274"/>
      <c r="B293" s="212"/>
      <c r="C293" s="202" t="e">
        <f>#REF!</f>
        <v>#REF!</v>
      </c>
      <c r="D293" s="202"/>
      <c r="E293" s="214"/>
      <c r="F293" s="202"/>
      <c r="G293" s="234" t="e">
        <f>Backlog[[#This Row],[OP]]</f>
        <v>#VALUE!</v>
      </c>
      <c r="H293" s="202"/>
      <c r="I293" s="316" t="e">
        <f>IF(Backlog[[#This Row],[Fecha Requerida en Producción]]="","",Backlog[[#This Row],[Fecha Requerida en Producción]])</f>
        <v>#VALUE!</v>
      </c>
      <c r="J293" s="207"/>
      <c r="K293" s="207"/>
      <c r="L293" s="207"/>
      <c r="M293" s="207"/>
      <c r="N293" s="248"/>
      <c r="O293" s="248"/>
      <c r="P293" s="248"/>
      <c r="Q293" s="248"/>
    </row>
    <row r="294" spans="1:17" ht="15.75" hidden="1" customHeight="1">
      <c r="A294" s="274"/>
      <c r="B294" s="212"/>
      <c r="C294" s="202" t="e">
        <f>#REF!</f>
        <v>#REF!</v>
      </c>
      <c r="D294" s="202"/>
      <c r="E294" s="214"/>
      <c r="F294" s="202"/>
      <c r="G294" s="234" t="e">
        <f>Backlog[[#This Row],[OP]]</f>
        <v>#VALUE!</v>
      </c>
      <c r="H294" s="202"/>
      <c r="I294" s="316" t="e">
        <f>IF(Backlog[[#This Row],[Fecha Requerida en Producción]]="","",Backlog[[#This Row],[Fecha Requerida en Producción]])</f>
        <v>#VALUE!</v>
      </c>
      <c r="J294" s="207"/>
      <c r="K294" s="207"/>
      <c r="L294" s="207"/>
      <c r="M294" s="207"/>
      <c r="N294" s="248"/>
      <c r="O294" s="248"/>
      <c r="P294" s="248"/>
      <c r="Q294" s="248"/>
    </row>
    <row r="295" spans="1:17" ht="15.75" hidden="1" customHeight="1">
      <c r="A295" s="274"/>
      <c r="B295" s="212"/>
      <c r="C295" s="202" t="e">
        <f>#REF!</f>
        <v>#REF!</v>
      </c>
      <c r="D295" s="202"/>
      <c r="E295" s="214"/>
      <c r="F295" s="202"/>
      <c r="G295" s="234" t="e">
        <f>Backlog[[#This Row],[OP]]</f>
        <v>#VALUE!</v>
      </c>
      <c r="H295" s="202"/>
      <c r="I295" s="316" t="e">
        <f>IF(Backlog[[#This Row],[Fecha Requerida en Producción]]="","",Backlog[[#This Row],[Fecha Requerida en Producción]])</f>
        <v>#VALUE!</v>
      </c>
      <c r="J295" s="207"/>
      <c r="K295" s="207"/>
      <c r="L295" s="207"/>
      <c r="M295" s="207"/>
      <c r="N295" s="248"/>
      <c r="O295" s="248"/>
      <c r="P295" s="248"/>
      <c r="Q295" s="248"/>
    </row>
    <row r="296" spans="1:17" ht="15.75" hidden="1" customHeight="1">
      <c r="A296" s="274"/>
      <c r="B296" s="212"/>
      <c r="C296" s="202" t="e">
        <f>#REF!</f>
        <v>#REF!</v>
      </c>
      <c r="D296" s="202"/>
      <c r="E296" s="214"/>
      <c r="F296" s="202"/>
      <c r="G296" s="234" t="e">
        <f>Backlog[[#This Row],[OP]]</f>
        <v>#VALUE!</v>
      </c>
      <c r="H296" s="202"/>
      <c r="I296" s="316" t="e">
        <f>IF(Backlog[[#This Row],[Fecha Requerida en Producción]]="","",Backlog[[#This Row],[Fecha Requerida en Producción]])</f>
        <v>#VALUE!</v>
      </c>
      <c r="J296" s="207"/>
      <c r="K296" s="207"/>
      <c r="L296" s="207"/>
      <c r="M296" s="207"/>
      <c r="N296" s="248"/>
      <c r="O296" s="248"/>
      <c r="P296" s="248"/>
      <c r="Q296" s="248"/>
    </row>
    <row r="297" spans="1:17" ht="15.75" hidden="1" customHeight="1">
      <c r="A297" s="274"/>
      <c r="B297" s="212"/>
      <c r="C297" s="202" t="e">
        <f>#REF!</f>
        <v>#REF!</v>
      </c>
      <c r="D297" s="202"/>
      <c r="E297" s="214"/>
      <c r="F297" s="202"/>
      <c r="G297" s="234" t="e">
        <f>Backlog[[#This Row],[OP]]</f>
        <v>#VALUE!</v>
      </c>
      <c r="H297" s="202"/>
      <c r="I297" s="316" t="e">
        <f>IF(Backlog[[#This Row],[Fecha Requerida en Producción]]="","",Backlog[[#This Row],[Fecha Requerida en Producción]])</f>
        <v>#VALUE!</v>
      </c>
      <c r="J297" s="207"/>
      <c r="K297" s="207"/>
      <c r="L297" s="207"/>
      <c r="M297" s="207"/>
      <c r="N297" s="248"/>
      <c r="O297" s="248"/>
      <c r="P297" s="248"/>
      <c r="Q297" s="248"/>
    </row>
    <row r="298" spans="1:17" ht="15.75" hidden="1" customHeight="1">
      <c r="A298" s="274"/>
      <c r="B298" s="212"/>
      <c r="C298" s="202" t="e">
        <f>#REF!</f>
        <v>#REF!</v>
      </c>
      <c r="D298" s="202"/>
      <c r="E298" s="214"/>
      <c r="F298" s="202"/>
      <c r="G298" s="234" t="e">
        <f>Backlog[[#This Row],[OP]]</f>
        <v>#VALUE!</v>
      </c>
      <c r="H298" s="202"/>
      <c r="I298" s="316" t="e">
        <f>IF(Backlog[[#This Row],[Fecha Requerida en Producción]]="","",Backlog[[#This Row],[Fecha Requerida en Producción]])</f>
        <v>#VALUE!</v>
      </c>
      <c r="J298" s="207"/>
      <c r="K298" s="207"/>
      <c r="L298" s="207"/>
      <c r="M298" s="207"/>
      <c r="N298" s="248"/>
      <c r="O298" s="248"/>
      <c r="P298" s="248"/>
      <c r="Q298" s="248"/>
    </row>
    <row r="299" spans="1:17" ht="15.75" hidden="1" customHeight="1">
      <c r="A299" s="274"/>
      <c r="B299" s="212"/>
      <c r="C299" s="202" t="e">
        <f>#REF!</f>
        <v>#REF!</v>
      </c>
      <c r="D299" s="202"/>
      <c r="E299" s="214"/>
      <c r="F299" s="202"/>
      <c r="G299" s="234" t="e">
        <f>Backlog[[#This Row],[OP]]</f>
        <v>#VALUE!</v>
      </c>
      <c r="H299" s="202"/>
      <c r="I299" s="316" t="e">
        <f>IF(Backlog[[#This Row],[Fecha Requerida en Producción]]="","",Backlog[[#This Row],[Fecha Requerida en Producción]])</f>
        <v>#VALUE!</v>
      </c>
      <c r="J299" s="207"/>
      <c r="K299" s="207"/>
      <c r="L299" s="207"/>
      <c r="M299" s="207"/>
      <c r="N299" s="248"/>
      <c r="O299" s="248"/>
      <c r="P299" s="248"/>
      <c r="Q299" s="248"/>
    </row>
    <row r="300" spans="1:17" ht="15.75" hidden="1" customHeight="1">
      <c r="A300" s="274"/>
      <c r="B300" s="212"/>
      <c r="C300" s="202" t="e">
        <f>#REF!</f>
        <v>#REF!</v>
      </c>
      <c r="D300" s="202"/>
      <c r="E300" s="214"/>
      <c r="F300" s="202"/>
      <c r="G300" s="234" t="e">
        <f>Backlog[[#This Row],[OP]]</f>
        <v>#VALUE!</v>
      </c>
      <c r="H300" s="202"/>
      <c r="I300" s="316" t="e">
        <f>IF(Backlog[[#This Row],[Fecha Requerida en Producción]]="","",Backlog[[#This Row],[Fecha Requerida en Producción]])</f>
        <v>#VALUE!</v>
      </c>
      <c r="J300" s="207"/>
      <c r="K300" s="207"/>
      <c r="L300" s="207"/>
      <c r="M300" s="207"/>
      <c r="N300" s="248"/>
      <c r="O300" s="248"/>
      <c r="P300" s="248"/>
      <c r="Q300" s="248"/>
    </row>
    <row r="301" spans="1:17" ht="15.75" hidden="1" customHeight="1">
      <c r="A301" s="274"/>
      <c r="B301" s="212"/>
      <c r="C301" s="202" t="e">
        <f>#REF!</f>
        <v>#REF!</v>
      </c>
      <c r="D301" s="202"/>
      <c r="E301" s="214"/>
      <c r="F301" s="202"/>
      <c r="G301" s="234" t="e">
        <f>Backlog[[#This Row],[OP]]</f>
        <v>#VALUE!</v>
      </c>
      <c r="H301" s="202"/>
      <c r="I301" s="316" t="e">
        <f>IF(Backlog[[#This Row],[Fecha Requerida en Producción]]="","",Backlog[[#This Row],[Fecha Requerida en Producción]])</f>
        <v>#VALUE!</v>
      </c>
      <c r="J301" s="207"/>
      <c r="K301" s="207"/>
      <c r="L301" s="207"/>
      <c r="M301" s="207"/>
      <c r="N301" s="248"/>
      <c r="O301" s="248"/>
      <c r="P301" s="248"/>
      <c r="Q301" s="248"/>
    </row>
    <row r="302" spans="1:17" ht="15.75" hidden="1" customHeight="1">
      <c r="A302" s="274"/>
      <c r="B302" s="212"/>
      <c r="C302" s="202" t="e">
        <f>#REF!</f>
        <v>#REF!</v>
      </c>
      <c r="D302" s="202"/>
      <c r="E302" s="214"/>
      <c r="F302" s="202"/>
      <c r="G302" s="234" t="e">
        <f>Backlog[[#This Row],[OP]]</f>
        <v>#VALUE!</v>
      </c>
      <c r="H302" s="202"/>
      <c r="I302" s="316" t="e">
        <f>IF(Backlog[[#This Row],[Fecha Requerida en Producción]]="","",Backlog[[#This Row],[Fecha Requerida en Producción]])</f>
        <v>#VALUE!</v>
      </c>
      <c r="J302" s="207"/>
      <c r="K302" s="207"/>
      <c r="L302" s="207"/>
      <c r="M302" s="207"/>
      <c r="N302" s="248"/>
      <c r="O302" s="248"/>
      <c r="P302" s="248"/>
      <c r="Q302" s="248"/>
    </row>
    <row r="303" spans="1:17" ht="15.75" hidden="1" customHeight="1">
      <c r="A303" s="274"/>
      <c r="B303" s="212"/>
      <c r="C303" s="202" t="e">
        <f>#REF!</f>
        <v>#REF!</v>
      </c>
      <c r="D303" s="202"/>
      <c r="E303" s="214"/>
      <c r="F303" s="202"/>
      <c r="G303" s="234" t="e">
        <f>Backlog[[#This Row],[OP]]</f>
        <v>#VALUE!</v>
      </c>
      <c r="H303" s="202"/>
      <c r="I303" s="316" t="e">
        <f>IF(Backlog[[#This Row],[Fecha Requerida en Producción]]="","",Backlog[[#This Row],[Fecha Requerida en Producción]])</f>
        <v>#VALUE!</v>
      </c>
      <c r="J303" s="207"/>
      <c r="K303" s="207"/>
      <c r="L303" s="207"/>
      <c r="M303" s="207"/>
      <c r="N303" s="248"/>
      <c r="O303" s="248"/>
      <c r="P303" s="248"/>
      <c r="Q303" s="248"/>
    </row>
    <row r="304" spans="1:17" ht="15.75" hidden="1" customHeight="1">
      <c r="A304" s="274"/>
      <c r="B304" s="212"/>
      <c r="C304" s="202" t="e">
        <f>#REF!</f>
        <v>#REF!</v>
      </c>
      <c r="D304" s="202"/>
      <c r="E304" s="214"/>
      <c r="F304" s="202"/>
      <c r="G304" s="234" t="e">
        <f>Backlog[[#This Row],[OP]]</f>
        <v>#VALUE!</v>
      </c>
      <c r="H304" s="202"/>
      <c r="I304" s="316" t="e">
        <f>IF(Backlog[[#This Row],[Fecha Requerida en Producción]]="","",Backlog[[#This Row],[Fecha Requerida en Producción]])</f>
        <v>#VALUE!</v>
      </c>
      <c r="J304" s="207"/>
      <c r="K304" s="207"/>
      <c r="L304" s="207"/>
      <c r="M304" s="207"/>
      <c r="N304" s="248"/>
      <c r="O304" s="248"/>
      <c r="P304" s="248"/>
      <c r="Q304" s="248"/>
    </row>
    <row r="305" spans="1:17" ht="15.75" hidden="1" customHeight="1">
      <c r="A305" s="274"/>
      <c r="B305" s="212"/>
      <c r="C305" s="202" t="e">
        <f>#REF!</f>
        <v>#REF!</v>
      </c>
      <c r="D305" s="202"/>
      <c r="E305" s="214"/>
      <c r="F305" s="202"/>
      <c r="G305" s="234" t="e">
        <f>Backlog[[#This Row],[OP]]</f>
        <v>#VALUE!</v>
      </c>
      <c r="H305" s="202"/>
      <c r="I305" s="316" t="e">
        <f>IF(Backlog[[#This Row],[Fecha Requerida en Producción]]="","",Backlog[[#This Row],[Fecha Requerida en Producción]])</f>
        <v>#VALUE!</v>
      </c>
      <c r="J305" s="207"/>
      <c r="K305" s="207"/>
      <c r="L305" s="207"/>
      <c r="M305" s="207"/>
      <c r="N305" s="248"/>
      <c r="O305" s="248"/>
      <c r="P305" s="248"/>
      <c r="Q305" s="248"/>
    </row>
    <row r="306" spans="1:17" ht="15.75" hidden="1" customHeight="1">
      <c r="A306" s="274"/>
      <c r="B306" s="212"/>
      <c r="C306" s="202" t="e">
        <f>#REF!</f>
        <v>#REF!</v>
      </c>
      <c r="D306" s="202"/>
      <c r="E306" s="214"/>
      <c r="F306" s="202"/>
      <c r="G306" s="234" t="e">
        <f>Backlog[[#This Row],[OP]]</f>
        <v>#VALUE!</v>
      </c>
      <c r="H306" s="202"/>
      <c r="I306" s="316" t="e">
        <f>IF(Backlog[[#This Row],[Fecha Requerida en Producción]]="","",Backlog[[#This Row],[Fecha Requerida en Producción]])</f>
        <v>#VALUE!</v>
      </c>
      <c r="J306" s="207"/>
      <c r="K306" s="207"/>
      <c r="L306" s="207"/>
      <c r="M306" s="207"/>
      <c r="N306" s="248"/>
      <c r="O306" s="248"/>
      <c r="P306" s="248"/>
      <c r="Q306" s="248"/>
    </row>
    <row r="307" spans="1:17" ht="15.75" hidden="1" customHeight="1">
      <c r="A307" s="274"/>
      <c r="B307" s="212"/>
      <c r="C307" s="202" t="e">
        <f>#REF!</f>
        <v>#REF!</v>
      </c>
      <c r="D307" s="202"/>
      <c r="E307" s="214"/>
      <c r="F307" s="202"/>
      <c r="G307" s="234" t="e">
        <f>Backlog[[#This Row],[OP]]</f>
        <v>#VALUE!</v>
      </c>
      <c r="H307" s="202"/>
      <c r="I307" s="316" t="e">
        <f>IF(Backlog[[#This Row],[Fecha Requerida en Producción]]="","",Backlog[[#This Row],[Fecha Requerida en Producción]])</f>
        <v>#VALUE!</v>
      </c>
      <c r="J307" s="207"/>
      <c r="K307" s="207"/>
      <c r="L307" s="207"/>
      <c r="M307" s="207"/>
      <c r="N307" s="248"/>
      <c r="O307" s="248"/>
      <c r="P307" s="248"/>
      <c r="Q307" s="248"/>
    </row>
    <row r="308" spans="1:17" ht="15.75" hidden="1" customHeight="1">
      <c r="A308" s="274"/>
      <c r="B308" s="212"/>
      <c r="C308" s="202" t="e">
        <f>#REF!</f>
        <v>#REF!</v>
      </c>
      <c r="D308" s="202"/>
      <c r="E308" s="214"/>
      <c r="F308" s="202"/>
      <c r="G308" s="234" t="e">
        <f>Backlog[[#This Row],[OP]]</f>
        <v>#VALUE!</v>
      </c>
      <c r="H308" s="202"/>
      <c r="I308" s="316" t="e">
        <f>IF(Backlog[[#This Row],[Fecha Requerida en Producción]]="","",Backlog[[#This Row],[Fecha Requerida en Producción]])</f>
        <v>#VALUE!</v>
      </c>
      <c r="J308" s="207"/>
      <c r="K308" s="207"/>
      <c r="L308" s="207"/>
      <c r="M308" s="207"/>
      <c r="N308" s="248"/>
      <c r="O308" s="248"/>
      <c r="P308" s="248"/>
      <c r="Q308" s="248"/>
    </row>
    <row r="309" spans="1:17" ht="15.75" hidden="1" customHeight="1">
      <c r="A309" s="274"/>
      <c r="B309" s="212"/>
      <c r="C309" s="202" t="e">
        <f>#REF!</f>
        <v>#REF!</v>
      </c>
      <c r="D309" s="202"/>
      <c r="E309" s="214"/>
      <c r="F309" s="202"/>
      <c r="G309" s="234" t="e">
        <f>Backlog[[#This Row],[OP]]</f>
        <v>#VALUE!</v>
      </c>
      <c r="H309" s="202"/>
      <c r="I309" s="316" t="e">
        <f>IF(Backlog[[#This Row],[Fecha Requerida en Producción]]="","",Backlog[[#This Row],[Fecha Requerida en Producción]])</f>
        <v>#VALUE!</v>
      </c>
      <c r="J309" s="207"/>
      <c r="K309" s="207"/>
      <c r="L309" s="207"/>
      <c r="M309" s="207"/>
      <c r="N309" s="248"/>
      <c r="O309" s="248"/>
      <c r="P309" s="248"/>
      <c r="Q309" s="248"/>
    </row>
    <row r="310" spans="1:17" ht="15.75" hidden="1" customHeight="1">
      <c r="A310" s="274"/>
      <c r="B310" s="212"/>
      <c r="C310" s="202" t="e">
        <f>#REF!</f>
        <v>#REF!</v>
      </c>
      <c r="D310" s="202"/>
      <c r="E310" s="214"/>
      <c r="F310" s="202"/>
      <c r="G310" s="234" t="e">
        <f>Backlog[[#This Row],[OP]]</f>
        <v>#VALUE!</v>
      </c>
      <c r="H310" s="202"/>
      <c r="I310" s="316" t="e">
        <f>IF(Backlog[[#This Row],[Fecha Requerida en Producción]]="","",Backlog[[#This Row],[Fecha Requerida en Producción]])</f>
        <v>#VALUE!</v>
      </c>
      <c r="J310" s="207"/>
      <c r="K310" s="207"/>
      <c r="L310" s="207"/>
      <c r="M310" s="207"/>
      <c r="N310" s="248"/>
      <c r="O310" s="248"/>
      <c r="P310" s="248"/>
      <c r="Q310" s="248"/>
    </row>
    <row r="311" spans="1:17" ht="15.75" hidden="1" customHeight="1">
      <c r="A311" s="274"/>
      <c r="B311" s="212"/>
      <c r="C311" s="202" t="e">
        <f>#REF!</f>
        <v>#REF!</v>
      </c>
      <c r="D311" s="202"/>
      <c r="E311" s="214"/>
      <c r="F311" s="202"/>
      <c r="G311" s="234" t="e">
        <f>Backlog[[#This Row],[OP]]</f>
        <v>#VALUE!</v>
      </c>
      <c r="H311" s="202"/>
      <c r="I311" s="316" t="e">
        <f>IF(Backlog[[#This Row],[Fecha Requerida en Producción]]="","",Backlog[[#This Row],[Fecha Requerida en Producción]])</f>
        <v>#VALUE!</v>
      </c>
      <c r="J311" s="207"/>
      <c r="K311" s="207"/>
      <c r="L311" s="207"/>
      <c r="M311" s="207"/>
      <c r="N311" s="248"/>
      <c r="O311" s="248"/>
      <c r="P311" s="248"/>
      <c r="Q311" s="248"/>
    </row>
    <row r="312" spans="1:17" ht="15.75" hidden="1" customHeight="1">
      <c r="A312" s="274"/>
      <c r="B312" s="212"/>
      <c r="C312" s="202" t="e">
        <f>#REF!</f>
        <v>#REF!</v>
      </c>
      <c r="D312" s="202"/>
      <c r="E312" s="214"/>
      <c r="F312" s="202"/>
      <c r="G312" s="234" t="e">
        <f>Backlog[[#This Row],[OP]]</f>
        <v>#VALUE!</v>
      </c>
      <c r="H312" s="202"/>
      <c r="I312" s="316" t="e">
        <f>IF(Backlog[[#This Row],[Fecha Requerida en Producción]]="","",Backlog[[#This Row],[Fecha Requerida en Producción]])</f>
        <v>#VALUE!</v>
      </c>
      <c r="J312" s="207"/>
      <c r="K312" s="207"/>
      <c r="L312" s="207"/>
      <c r="M312" s="207"/>
      <c r="N312" s="248"/>
      <c r="O312" s="248"/>
      <c r="P312" s="248"/>
      <c r="Q312" s="248"/>
    </row>
    <row r="313" spans="1:17" ht="15.75" hidden="1" customHeight="1">
      <c r="A313" s="274"/>
      <c r="B313" s="212"/>
      <c r="C313" s="202" t="e">
        <f>#REF!</f>
        <v>#REF!</v>
      </c>
      <c r="D313" s="202"/>
      <c r="E313" s="214"/>
      <c r="F313" s="202"/>
      <c r="G313" s="234" t="e">
        <f>Backlog[[#This Row],[OP]]</f>
        <v>#VALUE!</v>
      </c>
      <c r="H313" s="202"/>
      <c r="I313" s="316" t="e">
        <f>IF(Backlog[[#This Row],[Fecha Requerida en Producción]]="","",Backlog[[#This Row],[Fecha Requerida en Producción]])</f>
        <v>#VALUE!</v>
      </c>
      <c r="J313" s="207"/>
      <c r="K313" s="207"/>
      <c r="L313" s="207"/>
      <c r="M313" s="207"/>
      <c r="N313" s="248"/>
      <c r="O313" s="248"/>
      <c r="P313" s="248"/>
      <c r="Q313" s="248"/>
    </row>
    <row r="314" spans="1:17" ht="15.75" hidden="1" customHeight="1">
      <c r="A314" s="274"/>
      <c r="B314" s="212"/>
      <c r="C314" s="202" t="e">
        <f>#REF!</f>
        <v>#REF!</v>
      </c>
      <c r="D314" s="202"/>
      <c r="E314" s="214"/>
      <c r="F314" s="202"/>
      <c r="G314" s="234" t="e">
        <f>Backlog[[#This Row],[OP]]</f>
        <v>#VALUE!</v>
      </c>
      <c r="H314" s="202"/>
      <c r="I314" s="316" t="e">
        <f>IF(Backlog[[#This Row],[Fecha Requerida en Producción]]="","",Backlog[[#This Row],[Fecha Requerida en Producción]])</f>
        <v>#VALUE!</v>
      </c>
      <c r="J314" s="207"/>
      <c r="K314" s="207"/>
      <c r="L314" s="207"/>
      <c r="M314" s="207"/>
      <c r="N314" s="248"/>
      <c r="O314" s="248"/>
      <c r="P314" s="248"/>
      <c r="Q314" s="248"/>
    </row>
    <row r="315" spans="1:17" ht="15.75" hidden="1" customHeight="1">
      <c r="A315" s="274"/>
      <c r="B315" s="212"/>
      <c r="C315" s="202" t="e">
        <f>#REF!</f>
        <v>#REF!</v>
      </c>
      <c r="D315" s="202"/>
      <c r="E315" s="214"/>
      <c r="F315" s="202"/>
      <c r="G315" s="234" t="e">
        <f>Backlog[[#This Row],[OP]]</f>
        <v>#VALUE!</v>
      </c>
      <c r="H315" s="202"/>
      <c r="I315" s="316" t="e">
        <f>IF(Backlog[[#This Row],[Fecha Requerida en Producción]]="","",Backlog[[#This Row],[Fecha Requerida en Producción]])</f>
        <v>#VALUE!</v>
      </c>
      <c r="J315" s="207"/>
      <c r="K315" s="207"/>
      <c r="L315" s="207"/>
      <c r="M315" s="207"/>
      <c r="N315" s="248"/>
      <c r="O315" s="248"/>
      <c r="P315" s="248"/>
      <c r="Q315" s="248"/>
    </row>
    <row r="316" spans="1:17" ht="15.75" hidden="1" customHeight="1">
      <c r="A316" s="274"/>
      <c r="B316" s="212"/>
      <c r="C316" s="202" t="e">
        <f>#REF!</f>
        <v>#REF!</v>
      </c>
      <c r="D316" s="202"/>
      <c r="E316" s="214"/>
      <c r="F316" s="202"/>
      <c r="G316" s="234" t="e">
        <f>Backlog[[#This Row],[OP]]</f>
        <v>#VALUE!</v>
      </c>
      <c r="H316" s="202"/>
      <c r="I316" s="316" t="e">
        <f>IF(Backlog[[#This Row],[Fecha Requerida en Producción]]="","",Backlog[[#This Row],[Fecha Requerida en Producción]])</f>
        <v>#VALUE!</v>
      </c>
      <c r="J316" s="207"/>
      <c r="K316" s="207"/>
      <c r="L316" s="207"/>
      <c r="M316" s="207"/>
      <c r="N316" s="248"/>
      <c r="O316" s="248"/>
      <c r="P316" s="248"/>
      <c r="Q316" s="248"/>
    </row>
    <row r="317" spans="1:17" ht="15.75" hidden="1" customHeight="1">
      <c r="A317" s="274"/>
      <c r="B317" s="212"/>
      <c r="C317" s="202" t="e">
        <f>#REF!</f>
        <v>#REF!</v>
      </c>
      <c r="D317" s="202"/>
      <c r="E317" s="214"/>
      <c r="F317" s="202"/>
      <c r="G317" s="234" t="e">
        <f>Backlog[[#This Row],[OP]]</f>
        <v>#VALUE!</v>
      </c>
      <c r="H317" s="202"/>
      <c r="I317" s="316" t="e">
        <f>IF(Backlog[[#This Row],[Fecha Requerida en Producción]]="","",Backlog[[#This Row],[Fecha Requerida en Producción]])</f>
        <v>#VALUE!</v>
      </c>
      <c r="J317" s="207"/>
      <c r="K317" s="207"/>
      <c r="L317" s="207"/>
      <c r="M317" s="207"/>
      <c r="N317" s="248"/>
      <c r="O317" s="248"/>
      <c r="P317" s="248"/>
      <c r="Q317" s="248"/>
    </row>
    <row r="318" spans="1:17" ht="15.75" hidden="1" customHeight="1">
      <c r="A318" s="274"/>
      <c r="B318" s="212"/>
      <c r="C318" s="202" t="e">
        <f>#REF!</f>
        <v>#REF!</v>
      </c>
      <c r="D318" s="202"/>
      <c r="E318" s="214"/>
      <c r="F318" s="202"/>
      <c r="G318" s="234" t="e">
        <f>Backlog[[#This Row],[OP]]</f>
        <v>#VALUE!</v>
      </c>
      <c r="H318" s="202"/>
      <c r="I318" s="316" t="e">
        <f>IF(Backlog[[#This Row],[Fecha Requerida en Producción]]="","",Backlog[[#This Row],[Fecha Requerida en Producción]])</f>
        <v>#VALUE!</v>
      </c>
      <c r="J318" s="207"/>
      <c r="K318" s="207"/>
      <c r="L318" s="207"/>
      <c r="M318" s="207"/>
      <c r="N318" s="248"/>
      <c r="O318" s="248"/>
      <c r="P318" s="248"/>
      <c r="Q318" s="248"/>
    </row>
    <row r="319" spans="1:17" ht="15.75" hidden="1" customHeight="1">
      <c r="A319" s="274"/>
      <c r="B319" s="212"/>
      <c r="C319" s="202" t="e">
        <f>#REF!</f>
        <v>#REF!</v>
      </c>
      <c r="D319" s="202"/>
      <c r="E319" s="214"/>
      <c r="F319" s="202"/>
      <c r="G319" s="234" t="e">
        <f>Backlog[[#This Row],[OP]]</f>
        <v>#VALUE!</v>
      </c>
      <c r="H319" s="202"/>
      <c r="I319" s="316" t="e">
        <f>IF(Backlog[[#This Row],[Fecha Requerida en Producción]]="","",Backlog[[#This Row],[Fecha Requerida en Producción]])</f>
        <v>#VALUE!</v>
      </c>
      <c r="J319" s="207"/>
      <c r="K319" s="207"/>
      <c r="L319" s="207"/>
      <c r="M319" s="207"/>
      <c r="N319" s="250"/>
      <c r="O319" s="250"/>
      <c r="P319" s="250"/>
      <c r="Q319" s="250"/>
    </row>
    <row r="320" spans="1:17" ht="15.75" hidden="1" customHeight="1">
      <c r="A320" s="274"/>
      <c r="B320" s="212"/>
      <c r="C320" s="202" t="e">
        <f>#REF!</f>
        <v>#REF!</v>
      </c>
      <c r="D320" s="202"/>
      <c r="E320" s="214"/>
      <c r="F320" s="202"/>
      <c r="G320" s="234" t="e">
        <f>Backlog[[#This Row],[OP]]</f>
        <v>#VALUE!</v>
      </c>
      <c r="H320" s="202"/>
      <c r="I320" s="316" t="e">
        <f>IF(Backlog[[#This Row],[Fecha Requerida en Producción]]="","",Backlog[[#This Row],[Fecha Requerida en Producción]])</f>
        <v>#VALUE!</v>
      </c>
      <c r="J320" s="207"/>
      <c r="K320" s="207"/>
      <c r="L320" s="207"/>
      <c r="M320" s="207"/>
      <c r="N320" s="248"/>
      <c r="O320" s="248"/>
      <c r="P320" s="248"/>
      <c r="Q320" s="248"/>
    </row>
    <row r="321" spans="1:17" ht="15.75" hidden="1" customHeight="1">
      <c r="A321" s="274"/>
      <c r="B321" s="212"/>
      <c r="C321" s="202" t="e">
        <f>#REF!</f>
        <v>#REF!</v>
      </c>
      <c r="D321" s="202"/>
      <c r="E321" s="214"/>
      <c r="F321" s="202"/>
      <c r="G321" s="234" t="e">
        <f>Backlog[[#This Row],[OP]]</f>
        <v>#VALUE!</v>
      </c>
      <c r="H321" s="202"/>
      <c r="I321" s="316" t="e">
        <f>IF(Backlog[[#This Row],[Fecha Requerida en Producción]]="","",Backlog[[#This Row],[Fecha Requerida en Producción]])</f>
        <v>#VALUE!</v>
      </c>
      <c r="J321" s="207"/>
      <c r="K321" s="207"/>
      <c r="L321" s="207"/>
      <c r="M321" s="207"/>
      <c r="N321" s="248"/>
      <c r="O321" s="248"/>
      <c r="P321" s="248"/>
      <c r="Q321" s="248"/>
    </row>
    <row r="322" spans="1:17" ht="15.75" hidden="1" customHeight="1">
      <c r="A322" s="274"/>
      <c r="B322" s="212"/>
      <c r="C322" s="202" t="e">
        <f>#REF!</f>
        <v>#REF!</v>
      </c>
      <c r="D322" s="202"/>
      <c r="E322" s="214"/>
      <c r="F322" s="202"/>
      <c r="G322" s="234" t="e">
        <f>Backlog[[#This Row],[OP]]</f>
        <v>#VALUE!</v>
      </c>
      <c r="H322" s="202"/>
      <c r="I322" s="316" t="e">
        <f>IF(Backlog[[#This Row],[Fecha Requerida en Producción]]="","",Backlog[[#This Row],[Fecha Requerida en Producción]])</f>
        <v>#VALUE!</v>
      </c>
      <c r="J322" s="207"/>
      <c r="K322" s="207"/>
      <c r="L322" s="207"/>
      <c r="M322" s="207"/>
      <c r="N322" s="248"/>
      <c r="O322" s="248"/>
      <c r="P322" s="248"/>
      <c r="Q322" s="248"/>
    </row>
    <row r="323" spans="1:17" ht="15.75" hidden="1" customHeight="1">
      <c r="A323" s="274"/>
      <c r="B323" s="212"/>
      <c r="C323" s="202" t="e">
        <f>#REF!</f>
        <v>#REF!</v>
      </c>
      <c r="D323" s="202"/>
      <c r="E323" s="214"/>
      <c r="F323" s="202"/>
      <c r="G323" s="234" t="e">
        <f>Backlog[[#This Row],[OP]]</f>
        <v>#VALUE!</v>
      </c>
      <c r="H323" s="202"/>
      <c r="I323" s="316" t="e">
        <f>IF(Backlog[[#This Row],[Fecha Requerida en Producción]]="","",Backlog[[#This Row],[Fecha Requerida en Producción]])</f>
        <v>#VALUE!</v>
      </c>
      <c r="J323" s="207"/>
      <c r="K323" s="207"/>
      <c r="L323" s="207"/>
      <c r="M323" s="207"/>
      <c r="N323" s="248"/>
      <c r="O323" s="248"/>
      <c r="P323" s="248"/>
      <c r="Q323" s="248"/>
    </row>
    <row r="324" spans="1:17" ht="15.75" hidden="1" customHeight="1">
      <c r="A324" s="274"/>
      <c r="B324" s="212"/>
      <c r="C324" s="202" t="e">
        <f>#REF!</f>
        <v>#REF!</v>
      </c>
      <c r="D324" s="202"/>
      <c r="E324" s="214"/>
      <c r="F324" s="202"/>
      <c r="G324" s="234" t="e">
        <f>Backlog[[#This Row],[OP]]</f>
        <v>#VALUE!</v>
      </c>
      <c r="H324" s="202"/>
      <c r="I324" s="316" t="e">
        <f>IF(Backlog[[#This Row],[Fecha Requerida en Producción]]="","",Backlog[[#This Row],[Fecha Requerida en Producción]])</f>
        <v>#VALUE!</v>
      </c>
      <c r="J324" s="207"/>
      <c r="K324" s="207"/>
      <c r="L324" s="207"/>
      <c r="M324" s="207"/>
      <c r="N324" s="248"/>
      <c r="O324" s="248"/>
      <c r="P324" s="248"/>
      <c r="Q324" s="248"/>
    </row>
    <row r="325" spans="1:17" ht="15.75" hidden="1" customHeight="1">
      <c r="A325" s="274"/>
      <c r="B325" s="212"/>
      <c r="C325" s="202" t="e">
        <f>#REF!</f>
        <v>#REF!</v>
      </c>
      <c r="D325" s="202"/>
      <c r="E325" s="214"/>
      <c r="F325" s="202"/>
      <c r="G325" s="234" t="e">
        <f>Backlog[[#This Row],[OP]]</f>
        <v>#VALUE!</v>
      </c>
      <c r="H325" s="202"/>
      <c r="I325" s="316" t="e">
        <f>IF(Backlog[[#This Row],[Fecha Requerida en Producción]]="","",Backlog[[#This Row],[Fecha Requerida en Producción]])</f>
        <v>#VALUE!</v>
      </c>
      <c r="J325" s="207"/>
      <c r="K325" s="207"/>
      <c r="L325" s="207"/>
      <c r="M325" s="207"/>
      <c r="N325" s="248"/>
      <c r="O325" s="248"/>
      <c r="P325" s="248"/>
      <c r="Q325" s="248"/>
    </row>
    <row r="326" spans="1:17" ht="15.75" hidden="1" customHeight="1">
      <c r="A326" s="274"/>
      <c r="B326" s="212"/>
      <c r="C326" s="202" t="e">
        <f>#REF!</f>
        <v>#REF!</v>
      </c>
      <c r="D326" s="202"/>
      <c r="E326" s="214"/>
      <c r="F326" s="202"/>
      <c r="G326" s="234" t="e">
        <f>Backlog[[#This Row],[OP]]</f>
        <v>#VALUE!</v>
      </c>
      <c r="H326" s="202"/>
      <c r="I326" s="316" t="e">
        <f>IF(Backlog[[#This Row],[Fecha Requerida en Producción]]="","",Backlog[[#This Row],[Fecha Requerida en Producción]])</f>
        <v>#VALUE!</v>
      </c>
      <c r="J326" s="207"/>
      <c r="K326" s="207"/>
      <c r="L326" s="207"/>
      <c r="M326" s="207"/>
      <c r="N326" s="248"/>
      <c r="O326" s="248"/>
      <c r="P326" s="248"/>
      <c r="Q326" s="248"/>
    </row>
    <row r="327" spans="1:17" ht="15.75" hidden="1" customHeight="1">
      <c r="A327" s="274"/>
      <c r="B327" s="212"/>
      <c r="C327" s="202" t="e">
        <f>#REF!</f>
        <v>#REF!</v>
      </c>
      <c r="D327" s="202"/>
      <c r="E327" s="214"/>
      <c r="F327" s="202"/>
      <c r="G327" s="234" t="e">
        <f>Backlog[[#This Row],[OP]]</f>
        <v>#VALUE!</v>
      </c>
      <c r="H327" s="202"/>
      <c r="I327" s="316" t="e">
        <f>IF(Backlog[[#This Row],[Fecha Requerida en Producción]]="","",Backlog[[#This Row],[Fecha Requerida en Producción]])</f>
        <v>#VALUE!</v>
      </c>
      <c r="J327" s="207"/>
      <c r="K327" s="207"/>
      <c r="L327" s="207"/>
      <c r="M327" s="207"/>
      <c r="N327" s="248"/>
      <c r="O327" s="248"/>
      <c r="P327" s="248"/>
      <c r="Q327" s="248"/>
    </row>
    <row r="328" spans="1:17" ht="15.75" hidden="1" customHeight="1">
      <c r="A328" s="274"/>
      <c r="B328" s="212"/>
      <c r="C328" s="202" t="e">
        <f>#REF!</f>
        <v>#REF!</v>
      </c>
      <c r="D328" s="202"/>
      <c r="E328" s="214"/>
      <c r="F328" s="202"/>
      <c r="G328" s="234" t="e">
        <f>Backlog[[#This Row],[OP]]</f>
        <v>#VALUE!</v>
      </c>
      <c r="H328" s="202"/>
      <c r="I328" s="316" t="e">
        <f>IF(Backlog[[#This Row],[Fecha Requerida en Producción]]="","",Backlog[[#This Row],[Fecha Requerida en Producción]])</f>
        <v>#VALUE!</v>
      </c>
      <c r="J328" s="207"/>
      <c r="K328" s="207"/>
      <c r="L328" s="207"/>
      <c r="M328" s="207"/>
      <c r="N328" s="250"/>
      <c r="O328" s="250"/>
      <c r="P328" s="250"/>
      <c r="Q328" s="250"/>
    </row>
    <row r="329" spans="1:17" ht="15.75" hidden="1" customHeight="1">
      <c r="A329" s="274"/>
      <c r="B329" s="212"/>
      <c r="C329" s="202" t="e">
        <f>#REF!</f>
        <v>#REF!</v>
      </c>
      <c r="D329" s="202"/>
      <c r="E329" s="214"/>
      <c r="F329" s="202"/>
      <c r="G329" s="234" t="e">
        <f>Backlog[[#This Row],[OP]]</f>
        <v>#VALUE!</v>
      </c>
      <c r="H329" s="202"/>
      <c r="I329" s="316" t="e">
        <f>IF(Backlog[[#This Row],[Fecha Requerida en Producción]]="","",Backlog[[#This Row],[Fecha Requerida en Producción]])</f>
        <v>#VALUE!</v>
      </c>
      <c r="J329" s="207"/>
      <c r="K329" s="207"/>
      <c r="L329" s="207"/>
      <c r="M329" s="207"/>
      <c r="N329" s="248"/>
      <c r="O329" s="248"/>
      <c r="P329" s="248"/>
      <c r="Q329" s="248"/>
    </row>
    <row r="330" spans="1:17" ht="15.75" hidden="1" customHeight="1">
      <c r="A330" s="274"/>
      <c r="B330" s="212"/>
      <c r="C330" s="202" t="e">
        <f>#REF!</f>
        <v>#REF!</v>
      </c>
      <c r="D330" s="202"/>
      <c r="E330" s="214"/>
      <c r="F330" s="202"/>
      <c r="G330" s="234" t="e">
        <f>Backlog[[#This Row],[OP]]</f>
        <v>#VALUE!</v>
      </c>
      <c r="H330" s="202"/>
      <c r="I330" s="316" t="e">
        <f>IF(Backlog[[#This Row],[Fecha Requerida en Producción]]="","",Backlog[[#This Row],[Fecha Requerida en Producción]])</f>
        <v>#VALUE!</v>
      </c>
      <c r="J330" s="207"/>
      <c r="K330" s="207"/>
      <c r="L330" s="207"/>
      <c r="M330" s="207"/>
      <c r="N330" s="248"/>
      <c r="O330" s="248"/>
      <c r="P330" s="248"/>
      <c r="Q330" s="248"/>
    </row>
    <row r="331" spans="1:17" ht="15.75" hidden="1" customHeight="1">
      <c r="A331" s="274"/>
      <c r="B331" s="212"/>
      <c r="C331" s="202" t="e">
        <f>#REF!</f>
        <v>#REF!</v>
      </c>
      <c r="D331" s="202"/>
      <c r="E331" s="214"/>
      <c r="F331" s="202"/>
      <c r="G331" s="234" t="e">
        <f>Backlog[[#This Row],[OP]]</f>
        <v>#VALUE!</v>
      </c>
      <c r="H331" s="202"/>
      <c r="I331" s="316" t="e">
        <f>IF(Backlog[[#This Row],[Fecha Requerida en Producción]]="","",Backlog[[#This Row],[Fecha Requerida en Producción]])</f>
        <v>#VALUE!</v>
      </c>
      <c r="J331" s="207"/>
      <c r="K331" s="207"/>
      <c r="L331" s="207"/>
      <c r="M331" s="207"/>
      <c r="N331" s="248"/>
      <c r="O331" s="248"/>
      <c r="P331" s="248"/>
      <c r="Q331" s="248"/>
    </row>
    <row r="332" spans="1:17" ht="15.75" hidden="1" customHeight="1">
      <c r="A332" s="274"/>
      <c r="B332" s="212"/>
      <c r="C332" s="202" t="e">
        <f>#REF!</f>
        <v>#REF!</v>
      </c>
      <c r="D332" s="202"/>
      <c r="E332" s="214"/>
      <c r="F332" s="202"/>
      <c r="G332" s="234" t="e">
        <f>Backlog[[#This Row],[OP]]</f>
        <v>#VALUE!</v>
      </c>
      <c r="H332" s="202"/>
      <c r="I332" s="316" t="e">
        <f>IF(Backlog[[#This Row],[Fecha Requerida en Producción]]="","",Backlog[[#This Row],[Fecha Requerida en Producción]])</f>
        <v>#VALUE!</v>
      </c>
      <c r="J332" s="207"/>
      <c r="K332" s="207"/>
      <c r="L332" s="207"/>
      <c r="M332" s="207"/>
      <c r="N332" s="248"/>
      <c r="O332" s="248"/>
      <c r="P332" s="248"/>
      <c r="Q332" s="248"/>
    </row>
    <row r="333" spans="1:17" ht="15.75" hidden="1" customHeight="1">
      <c r="A333" s="274"/>
      <c r="B333" s="212"/>
      <c r="C333" s="202" t="e">
        <f>#REF!</f>
        <v>#REF!</v>
      </c>
      <c r="D333" s="202"/>
      <c r="E333" s="214"/>
      <c r="F333" s="202"/>
      <c r="G333" s="234" t="e">
        <f>Backlog[[#This Row],[OP]]</f>
        <v>#VALUE!</v>
      </c>
      <c r="H333" s="202"/>
      <c r="I333" s="316" t="e">
        <f>IF(Backlog[[#This Row],[Fecha Requerida en Producción]]="","",Backlog[[#This Row],[Fecha Requerida en Producción]])</f>
        <v>#VALUE!</v>
      </c>
      <c r="J333" s="207"/>
      <c r="K333" s="207"/>
      <c r="L333" s="207"/>
      <c r="M333" s="207"/>
      <c r="N333" s="248"/>
      <c r="O333" s="248"/>
      <c r="P333" s="248"/>
      <c r="Q333" s="248"/>
    </row>
    <row r="334" spans="1:17" ht="15.75" hidden="1" customHeight="1">
      <c r="A334" s="274"/>
      <c r="B334" s="212"/>
      <c r="C334" s="202" t="e">
        <f>#REF!</f>
        <v>#REF!</v>
      </c>
      <c r="D334" s="202"/>
      <c r="E334" s="214"/>
      <c r="F334" s="202"/>
      <c r="G334" s="234" t="e">
        <f>Backlog[[#This Row],[OP]]</f>
        <v>#VALUE!</v>
      </c>
      <c r="H334" s="202"/>
      <c r="I334" s="316" t="e">
        <f>IF(Backlog[[#This Row],[Fecha Requerida en Producción]]="","",Backlog[[#This Row],[Fecha Requerida en Producción]])</f>
        <v>#VALUE!</v>
      </c>
      <c r="J334" s="207"/>
      <c r="K334" s="207"/>
      <c r="L334" s="207"/>
      <c r="M334" s="207"/>
      <c r="N334" s="248"/>
      <c r="O334" s="248"/>
      <c r="P334" s="248"/>
      <c r="Q334" s="248"/>
    </row>
    <row r="335" spans="1:17" ht="15.75" hidden="1" customHeight="1">
      <c r="A335" s="274"/>
      <c r="B335" s="212"/>
      <c r="C335" s="202" t="e">
        <f>#REF!</f>
        <v>#REF!</v>
      </c>
      <c r="D335" s="202"/>
      <c r="E335" s="214"/>
      <c r="F335" s="202"/>
      <c r="G335" s="234" t="e">
        <f>Backlog[[#This Row],[OP]]</f>
        <v>#VALUE!</v>
      </c>
      <c r="H335" s="202"/>
      <c r="I335" s="316" t="e">
        <f>IF(Backlog[[#This Row],[Fecha Requerida en Producción]]="","",Backlog[[#This Row],[Fecha Requerida en Producción]])</f>
        <v>#VALUE!</v>
      </c>
      <c r="J335" s="207"/>
      <c r="K335" s="207"/>
      <c r="L335" s="207"/>
      <c r="M335" s="207"/>
      <c r="N335" s="248"/>
      <c r="O335" s="248"/>
      <c r="P335" s="248"/>
      <c r="Q335" s="248"/>
    </row>
    <row r="336" spans="1:17" ht="15.75" hidden="1" customHeight="1">
      <c r="A336" s="274"/>
      <c r="B336" s="212"/>
      <c r="C336" s="202" t="e">
        <f>#REF!</f>
        <v>#REF!</v>
      </c>
      <c r="D336" s="202"/>
      <c r="E336" s="214"/>
      <c r="F336" s="202"/>
      <c r="G336" s="234" t="e">
        <f>Backlog[[#This Row],[OP]]</f>
        <v>#VALUE!</v>
      </c>
      <c r="H336" s="202"/>
      <c r="I336" s="316" t="e">
        <f>IF(Backlog[[#This Row],[Fecha Requerida en Producción]]="","",Backlog[[#This Row],[Fecha Requerida en Producción]])</f>
        <v>#VALUE!</v>
      </c>
      <c r="J336" s="207"/>
      <c r="K336" s="207"/>
      <c r="L336" s="207"/>
      <c r="M336" s="207"/>
      <c r="N336" s="248"/>
      <c r="O336" s="248"/>
      <c r="P336" s="248"/>
      <c r="Q336" s="248"/>
    </row>
    <row r="337" spans="1:17" ht="15.75" hidden="1" customHeight="1">
      <c r="A337" s="274"/>
      <c r="B337" s="212"/>
      <c r="C337" s="202" t="e">
        <f>#REF!</f>
        <v>#REF!</v>
      </c>
      <c r="D337" s="202"/>
      <c r="E337" s="214"/>
      <c r="F337" s="202"/>
      <c r="G337" s="234" t="e">
        <f>Backlog[[#This Row],[OP]]</f>
        <v>#VALUE!</v>
      </c>
      <c r="H337" s="202"/>
      <c r="I337" s="316" t="e">
        <f>IF(Backlog[[#This Row],[Fecha Requerida en Producción]]="","",Backlog[[#This Row],[Fecha Requerida en Producción]])</f>
        <v>#VALUE!</v>
      </c>
      <c r="J337" s="207"/>
      <c r="K337" s="207"/>
      <c r="L337" s="207"/>
      <c r="M337" s="207"/>
      <c r="N337" s="248"/>
      <c r="O337" s="248"/>
      <c r="P337" s="248"/>
      <c r="Q337" s="248"/>
    </row>
    <row r="338" spans="1:17" ht="15.75" hidden="1" customHeight="1">
      <c r="A338" s="274"/>
      <c r="B338" s="212"/>
      <c r="C338" s="202" t="e">
        <f>#REF!</f>
        <v>#REF!</v>
      </c>
      <c r="D338" s="202"/>
      <c r="E338" s="214"/>
      <c r="F338" s="202"/>
      <c r="G338" s="234" t="e">
        <f>Backlog[[#This Row],[OP]]</f>
        <v>#VALUE!</v>
      </c>
      <c r="H338" s="202"/>
      <c r="I338" s="316" t="e">
        <f>IF(Backlog[[#This Row],[Fecha Requerida en Producción]]="","",Backlog[[#This Row],[Fecha Requerida en Producción]])</f>
        <v>#VALUE!</v>
      </c>
      <c r="J338" s="207"/>
      <c r="K338" s="207"/>
      <c r="L338" s="207"/>
      <c r="M338" s="207"/>
      <c r="N338" s="248"/>
      <c r="O338" s="248"/>
      <c r="P338" s="248"/>
      <c r="Q338" s="248"/>
    </row>
    <row r="339" spans="1:17" ht="15.75" hidden="1" customHeight="1">
      <c r="A339" s="274"/>
      <c r="B339" s="212"/>
      <c r="C339" s="202" t="e">
        <f>#REF!</f>
        <v>#REF!</v>
      </c>
      <c r="D339" s="202"/>
      <c r="E339" s="214"/>
      <c r="F339" s="202"/>
      <c r="G339" s="234" t="e">
        <f>Backlog[[#This Row],[OP]]</f>
        <v>#VALUE!</v>
      </c>
      <c r="H339" s="202"/>
      <c r="I339" s="316" t="e">
        <f>IF(Backlog[[#This Row],[Fecha Requerida en Producción]]="","",Backlog[[#This Row],[Fecha Requerida en Producción]])</f>
        <v>#VALUE!</v>
      </c>
      <c r="J339" s="207"/>
      <c r="K339" s="207"/>
      <c r="L339" s="207"/>
      <c r="M339" s="207"/>
      <c r="N339" s="248"/>
      <c r="O339" s="248"/>
      <c r="P339" s="248"/>
      <c r="Q339" s="248"/>
    </row>
    <row r="340" spans="1:17" ht="15.75" hidden="1" customHeight="1">
      <c r="A340" s="274"/>
      <c r="B340" s="212"/>
      <c r="C340" s="202" t="e">
        <f>#REF!</f>
        <v>#REF!</v>
      </c>
      <c r="D340" s="202"/>
      <c r="E340" s="214"/>
      <c r="F340" s="202"/>
      <c r="G340" s="234" t="e">
        <f>Backlog[[#This Row],[OP]]</f>
        <v>#VALUE!</v>
      </c>
      <c r="H340" s="202"/>
      <c r="I340" s="316" t="e">
        <f>IF(Backlog[[#This Row],[Fecha Requerida en Producción]]="","",Backlog[[#This Row],[Fecha Requerida en Producción]])</f>
        <v>#VALUE!</v>
      </c>
      <c r="J340" s="207"/>
      <c r="K340" s="207"/>
      <c r="L340" s="207"/>
      <c r="M340" s="207"/>
      <c r="N340" s="248"/>
      <c r="O340" s="248"/>
      <c r="P340" s="248"/>
      <c r="Q340" s="248"/>
    </row>
    <row r="341" spans="1:17" ht="15.75" hidden="1" customHeight="1">
      <c r="A341" s="274"/>
      <c r="B341" s="212"/>
      <c r="C341" s="202" t="e">
        <f>#REF!</f>
        <v>#REF!</v>
      </c>
      <c r="D341" s="202"/>
      <c r="E341" s="214"/>
      <c r="F341" s="202"/>
      <c r="G341" s="234" t="e">
        <f>Backlog[[#This Row],[OP]]</f>
        <v>#VALUE!</v>
      </c>
      <c r="H341" s="202"/>
      <c r="I341" s="316" t="e">
        <f>IF(Backlog[[#This Row],[Fecha Requerida en Producción]]="","",Backlog[[#This Row],[Fecha Requerida en Producción]])</f>
        <v>#VALUE!</v>
      </c>
      <c r="J341" s="207"/>
      <c r="K341" s="207"/>
      <c r="L341" s="207"/>
      <c r="M341" s="207"/>
      <c r="N341" s="248"/>
      <c r="O341" s="248"/>
      <c r="P341" s="248"/>
      <c r="Q341" s="248"/>
    </row>
    <row r="342" spans="1:17" ht="15.75" hidden="1" customHeight="1">
      <c r="A342" s="274"/>
      <c r="B342" s="212"/>
      <c r="C342" s="202" t="e">
        <f>#REF!</f>
        <v>#REF!</v>
      </c>
      <c r="D342" s="202"/>
      <c r="E342" s="214"/>
      <c r="F342" s="202"/>
      <c r="G342" s="234" t="e">
        <f>Backlog[[#This Row],[OP]]</f>
        <v>#VALUE!</v>
      </c>
      <c r="H342" s="202"/>
      <c r="I342" s="316" t="e">
        <f>IF(Backlog[[#This Row],[Fecha Requerida en Producción]]="","",Backlog[[#This Row],[Fecha Requerida en Producción]])</f>
        <v>#VALUE!</v>
      </c>
      <c r="J342" s="207"/>
      <c r="K342" s="207"/>
      <c r="L342" s="207"/>
      <c r="M342" s="207"/>
      <c r="N342" s="248"/>
      <c r="O342" s="248"/>
      <c r="P342" s="248"/>
      <c r="Q342" s="248"/>
    </row>
    <row r="343" spans="1:17" ht="15.75" hidden="1" customHeight="1">
      <c r="A343" s="274"/>
      <c r="B343" s="212"/>
      <c r="C343" s="202" t="e">
        <f>#REF!</f>
        <v>#REF!</v>
      </c>
      <c r="D343" s="202"/>
      <c r="E343" s="214"/>
      <c r="F343" s="202"/>
      <c r="G343" s="234" t="e">
        <f>Backlog[[#This Row],[OP]]</f>
        <v>#VALUE!</v>
      </c>
      <c r="H343" s="202"/>
      <c r="I343" s="316" t="e">
        <f>IF(Backlog[[#This Row],[Fecha Requerida en Producción]]="","",Backlog[[#This Row],[Fecha Requerida en Producción]])</f>
        <v>#VALUE!</v>
      </c>
      <c r="J343" s="207"/>
      <c r="K343" s="207"/>
      <c r="L343" s="207"/>
      <c r="M343" s="207"/>
      <c r="N343" s="248"/>
      <c r="O343" s="248"/>
      <c r="P343" s="248"/>
      <c r="Q343" s="248"/>
    </row>
    <row r="344" spans="1:17" ht="15.75" hidden="1" customHeight="1">
      <c r="A344" s="274"/>
      <c r="B344" s="212"/>
      <c r="C344" s="202" t="e">
        <f>#REF!</f>
        <v>#REF!</v>
      </c>
      <c r="D344" s="202"/>
      <c r="E344" s="214"/>
      <c r="F344" s="202"/>
      <c r="G344" s="234" t="e">
        <f>Backlog[[#This Row],[OP]]</f>
        <v>#VALUE!</v>
      </c>
      <c r="H344" s="202"/>
      <c r="I344" s="316" t="e">
        <f>IF(Backlog[[#This Row],[Fecha Requerida en Producción]]="","",Backlog[[#This Row],[Fecha Requerida en Producción]])</f>
        <v>#VALUE!</v>
      </c>
      <c r="J344" s="207"/>
      <c r="K344" s="207"/>
      <c r="L344" s="207"/>
      <c r="M344" s="207"/>
      <c r="N344" s="248"/>
      <c r="O344" s="248"/>
      <c r="P344" s="248"/>
      <c r="Q344" s="248"/>
    </row>
    <row r="345" spans="1:17" ht="15.75" hidden="1" customHeight="1">
      <c r="A345" s="274"/>
      <c r="B345" s="212"/>
      <c r="C345" s="202" t="e">
        <f>#REF!</f>
        <v>#REF!</v>
      </c>
      <c r="D345" s="202"/>
      <c r="E345" s="214"/>
      <c r="F345" s="202"/>
      <c r="G345" s="234" t="e">
        <f>Backlog[[#This Row],[OP]]</f>
        <v>#VALUE!</v>
      </c>
      <c r="H345" s="202"/>
      <c r="I345" s="316" t="e">
        <f>IF(Backlog[[#This Row],[Fecha Requerida en Producción]]="","",Backlog[[#This Row],[Fecha Requerida en Producción]])</f>
        <v>#VALUE!</v>
      </c>
      <c r="J345" s="207"/>
      <c r="K345" s="207"/>
      <c r="L345" s="207"/>
      <c r="M345" s="207"/>
      <c r="N345" s="248"/>
      <c r="O345" s="248"/>
      <c r="P345" s="248"/>
      <c r="Q345" s="248"/>
    </row>
    <row r="346" spans="1:17" ht="15.75" hidden="1" customHeight="1">
      <c r="A346" s="274"/>
      <c r="B346" s="212"/>
      <c r="C346" s="202" t="e">
        <f>#REF!</f>
        <v>#REF!</v>
      </c>
      <c r="D346" s="202"/>
      <c r="E346" s="214"/>
      <c r="F346" s="202"/>
      <c r="G346" s="234" t="e">
        <f>Backlog[[#This Row],[OP]]</f>
        <v>#VALUE!</v>
      </c>
      <c r="H346" s="202"/>
      <c r="I346" s="316" t="e">
        <f>IF(Backlog[[#This Row],[Fecha Requerida en Producción]]="","",Backlog[[#This Row],[Fecha Requerida en Producción]])</f>
        <v>#VALUE!</v>
      </c>
      <c r="J346" s="207"/>
      <c r="K346" s="207"/>
      <c r="L346" s="207"/>
      <c r="M346" s="207"/>
      <c r="N346" s="248"/>
      <c r="O346" s="248"/>
      <c r="P346" s="248"/>
      <c r="Q346" s="248"/>
    </row>
    <row r="347" spans="1:17" ht="15.75" hidden="1" customHeight="1">
      <c r="A347" s="274"/>
      <c r="B347" s="212"/>
      <c r="C347" s="202" t="e">
        <f>#REF!</f>
        <v>#REF!</v>
      </c>
      <c r="D347" s="202"/>
      <c r="E347" s="214"/>
      <c r="F347" s="202"/>
      <c r="G347" s="234" t="e">
        <f>Backlog[[#This Row],[OP]]</f>
        <v>#VALUE!</v>
      </c>
      <c r="H347" s="202"/>
      <c r="I347" s="316" t="e">
        <f>IF(Backlog[[#This Row],[Fecha Requerida en Producción]]="","",Backlog[[#This Row],[Fecha Requerida en Producción]])</f>
        <v>#VALUE!</v>
      </c>
      <c r="J347" s="207"/>
      <c r="K347" s="207"/>
      <c r="L347" s="207"/>
      <c r="M347" s="207"/>
      <c r="N347" s="248"/>
      <c r="O347" s="248"/>
      <c r="P347" s="248"/>
      <c r="Q347" s="248"/>
    </row>
    <row r="348" spans="1:17" ht="15.75" hidden="1" customHeight="1">
      <c r="A348" s="274"/>
      <c r="B348" s="212"/>
      <c r="C348" s="202" t="e">
        <f>#REF!</f>
        <v>#REF!</v>
      </c>
      <c r="D348" s="202"/>
      <c r="E348" s="214"/>
      <c r="F348" s="202"/>
      <c r="G348" s="234" t="e">
        <f>Backlog[[#This Row],[OP]]</f>
        <v>#VALUE!</v>
      </c>
      <c r="H348" s="202"/>
      <c r="I348" s="316" t="e">
        <f>IF(Backlog[[#This Row],[Fecha Requerida en Producción]]="","",Backlog[[#This Row],[Fecha Requerida en Producción]])</f>
        <v>#VALUE!</v>
      </c>
      <c r="J348" s="207"/>
      <c r="K348" s="207"/>
      <c r="L348" s="207"/>
      <c r="M348" s="207"/>
      <c r="N348" s="248"/>
      <c r="O348" s="248"/>
      <c r="P348" s="248"/>
      <c r="Q348" s="248"/>
    </row>
    <row r="349" spans="1:17" ht="15.75" hidden="1" customHeight="1">
      <c r="A349" s="274"/>
      <c r="B349" s="212"/>
      <c r="C349" s="202" t="e">
        <f>#REF!</f>
        <v>#REF!</v>
      </c>
      <c r="D349" s="202"/>
      <c r="E349" s="214"/>
      <c r="F349" s="202"/>
      <c r="G349" s="234" t="e">
        <f>Backlog[[#This Row],[OP]]</f>
        <v>#VALUE!</v>
      </c>
      <c r="H349" s="202"/>
      <c r="I349" s="316" t="e">
        <f>IF(Backlog[[#This Row],[Fecha Requerida en Producción]]="","",Backlog[[#This Row],[Fecha Requerida en Producción]])</f>
        <v>#VALUE!</v>
      </c>
      <c r="J349" s="207"/>
      <c r="K349" s="207"/>
      <c r="L349" s="207"/>
      <c r="M349" s="207"/>
      <c r="N349" s="248"/>
      <c r="O349" s="248"/>
      <c r="P349" s="248"/>
      <c r="Q349" s="248"/>
    </row>
    <row r="350" spans="1:17" ht="15.75" hidden="1" customHeight="1">
      <c r="A350" s="274"/>
      <c r="B350" s="212"/>
      <c r="C350" s="202" t="e">
        <f>#REF!</f>
        <v>#REF!</v>
      </c>
      <c r="D350" s="202"/>
      <c r="E350" s="214"/>
      <c r="F350" s="202"/>
      <c r="G350" s="234" t="e">
        <f>Backlog[[#This Row],[OP]]</f>
        <v>#VALUE!</v>
      </c>
      <c r="H350" s="202"/>
      <c r="I350" s="316" t="e">
        <f>IF(Backlog[[#This Row],[Fecha Requerida en Producción]]="","",Backlog[[#This Row],[Fecha Requerida en Producción]])</f>
        <v>#VALUE!</v>
      </c>
      <c r="J350" s="207"/>
      <c r="K350" s="207"/>
      <c r="L350" s="207"/>
      <c r="M350" s="207"/>
      <c r="N350" s="248"/>
      <c r="O350" s="248"/>
      <c r="P350" s="248"/>
      <c r="Q350" s="248"/>
    </row>
    <row r="351" spans="1:17" ht="15.75" hidden="1" customHeight="1">
      <c r="A351" s="274"/>
      <c r="B351" s="212"/>
      <c r="C351" s="202" t="e">
        <f>#REF!</f>
        <v>#REF!</v>
      </c>
      <c r="D351" s="202"/>
      <c r="E351" s="214"/>
      <c r="F351" s="202"/>
      <c r="G351" s="234" t="e">
        <f>Backlog[[#This Row],[OP]]</f>
        <v>#VALUE!</v>
      </c>
      <c r="H351" s="202"/>
      <c r="I351" s="316" t="e">
        <f>IF(Backlog[[#This Row],[Fecha Requerida en Producción]]="","",Backlog[[#This Row],[Fecha Requerida en Producción]])</f>
        <v>#VALUE!</v>
      </c>
      <c r="J351" s="207"/>
      <c r="K351" s="207"/>
      <c r="L351" s="207"/>
      <c r="M351" s="207"/>
      <c r="N351" s="248"/>
      <c r="O351" s="248"/>
      <c r="P351" s="248"/>
      <c r="Q351" s="248"/>
    </row>
    <row r="352" spans="1:17" ht="15.75" hidden="1" customHeight="1">
      <c r="A352" s="274"/>
      <c r="B352" s="212"/>
      <c r="C352" s="202" t="e">
        <f>#REF!</f>
        <v>#REF!</v>
      </c>
      <c r="D352" s="202"/>
      <c r="E352" s="214"/>
      <c r="F352" s="202"/>
      <c r="G352" s="234" t="e">
        <f>Backlog[[#This Row],[OP]]</f>
        <v>#VALUE!</v>
      </c>
      <c r="H352" s="202"/>
      <c r="I352" s="316" t="e">
        <f>IF(Backlog[[#This Row],[Fecha Requerida en Producción]]="","",Backlog[[#This Row],[Fecha Requerida en Producción]])</f>
        <v>#VALUE!</v>
      </c>
      <c r="J352" s="207"/>
      <c r="K352" s="207"/>
      <c r="L352" s="207"/>
      <c r="M352" s="207"/>
      <c r="N352" s="248"/>
      <c r="O352" s="248"/>
      <c r="P352" s="248"/>
      <c r="Q352" s="248"/>
    </row>
    <row r="353" spans="1:17" ht="15.75" hidden="1" customHeight="1">
      <c r="A353" s="274"/>
      <c r="B353" s="212"/>
      <c r="C353" s="202" t="e">
        <f>#REF!</f>
        <v>#REF!</v>
      </c>
      <c r="D353" s="202"/>
      <c r="E353" s="214"/>
      <c r="F353" s="202"/>
      <c r="G353" s="234" t="e">
        <f>Backlog[[#This Row],[OP]]</f>
        <v>#VALUE!</v>
      </c>
      <c r="H353" s="202"/>
      <c r="I353" s="316" t="e">
        <f>IF(Backlog[[#This Row],[Fecha Requerida en Producción]]="","",Backlog[[#This Row],[Fecha Requerida en Producción]])</f>
        <v>#VALUE!</v>
      </c>
      <c r="J353" s="207"/>
      <c r="K353" s="207"/>
      <c r="L353" s="207"/>
      <c r="M353" s="207"/>
      <c r="N353" s="248"/>
      <c r="O353" s="248"/>
      <c r="P353" s="248"/>
      <c r="Q353" s="248"/>
    </row>
    <row r="354" spans="1:17" ht="15.75" hidden="1" customHeight="1">
      <c r="A354" s="274"/>
      <c r="B354" s="212"/>
      <c r="C354" s="202" t="e">
        <f>#REF!</f>
        <v>#REF!</v>
      </c>
      <c r="D354" s="202"/>
      <c r="E354" s="214"/>
      <c r="F354" s="202"/>
      <c r="G354" s="234" t="e">
        <f>Backlog[[#This Row],[OP]]</f>
        <v>#VALUE!</v>
      </c>
      <c r="H354" s="202"/>
      <c r="I354" s="316" t="e">
        <f>IF(Backlog[[#This Row],[Fecha Requerida en Producción]]="","",Backlog[[#This Row],[Fecha Requerida en Producción]])</f>
        <v>#VALUE!</v>
      </c>
      <c r="J354" s="207"/>
      <c r="K354" s="207"/>
      <c r="L354" s="207"/>
      <c r="M354" s="207"/>
      <c r="N354" s="248"/>
      <c r="O354" s="248"/>
      <c r="P354" s="248"/>
      <c r="Q354" s="248"/>
    </row>
    <row r="355" spans="1:17" ht="15.75" hidden="1" customHeight="1">
      <c r="A355" s="274"/>
      <c r="B355" s="212"/>
      <c r="C355" s="202" t="e">
        <f>#REF!</f>
        <v>#REF!</v>
      </c>
      <c r="D355" s="202"/>
      <c r="E355" s="214"/>
      <c r="F355" s="202"/>
      <c r="G355" s="234" t="e">
        <f>Backlog[[#This Row],[OP]]</f>
        <v>#VALUE!</v>
      </c>
      <c r="H355" s="202"/>
      <c r="I355" s="316" t="e">
        <f>IF(Backlog[[#This Row],[Fecha Requerida en Producción]]="","",Backlog[[#This Row],[Fecha Requerida en Producción]])</f>
        <v>#VALUE!</v>
      </c>
      <c r="J355" s="207"/>
      <c r="K355" s="207"/>
      <c r="L355" s="207"/>
      <c r="M355" s="207"/>
      <c r="N355" s="248"/>
      <c r="O355" s="248"/>
      <c r="P355" s="248"/>
      <c r="Q355" s="248"/>
    </row>
    <row r="356" spans="1:17" ht="15.75" hidden="1" customHeight="1">
      <c r="A356" s="274"/>
      <c r="B356" s="212"/>
      <c r="C356" s="202" t="e">
        <f>#REF!</f>
        <v>#REF!</v>
      </c>
      <c r="D356" s="202"/>
      <c r="E356" s="214"/>
      <c r="F356" s="202"/>
      <c r="G356" s="234" t="e">
        <f>Backlog[[#This Row],[OP]]</f>
        <v>#VALUE!</v>
      </c>
      <c r="H356" s="202"/>
      <c r="I356" s="316" t="e">
        <f>IF(Backlog[[#This Row],[Fecha Requerida en Producción]]="","",Backlog[[#This Row],[Fecha Requerida en Producción]])</f>
        <v>#VALUE!</v>
      </c>
      <c r="J356" s="207"/>
      <c r="K356" s="207"/>
      <c r="L356" s="207"/>
      <c r="M356" s="207"/>
      <c r="N356" s="248"/>
      <c r="O356" s="248"/>
      <c r="P356" s="248"/>
      <c r="Q356" s="248"/>
    </row>
    <row r="357" spans="1:17" ht="15.75" hidden="1" customHeight="1">
      <c r="A357" s="274"/>
      <c r="B357" s="212"/>
      <c r="C357" s="202" t="e">
        <f>#REF!</f>
        <v>#REF!</v>
      </c>
      <c r="D357" s="202"/>
      <c r="E357" s="214"/>
      <c r="F357" s="202"/>
      <c r="G357" s="234" t="e">
        <f>Backlog[[#This Row],[OP]]</f>
        <v>#VALUE!</v>
      </c>
      <c r="H357" s="202"/>
      <c r="I357" s="316" t="e">
        <f>IF(Backlog[[#This Row],[Fecha Requerida en Producción]]="","",Backlog[[#This Row],[Fecha Requerida en Producción]])</f>
        <v>#VALUE!</v>
      </c>
      <c r="J357" s="207"/>
      <c r="K357" s="207"/>
      <c r="L357" s="207"/>
      <c r="M357" s="207"/>
      <c r="N357" s="248"/>
      <c r="O357" s="248"/>
      <c r="P357" s="248"/>
      <c r="Q357" s="248"/>
    </row>
    <row r="358" spans="1:17" ht="15.75" hidden="1" customHeight="1">
      <c r="A358" s="274"/>
      <c r="B358" s="212"/>
      <c r="C358" s="202" t="e">
        <f>#REF!</f>
        <v>#REF!</v>
      </c>
      <c r="D358" s="202"/>
      <c r="E358" s="214"/>
      <c r="F358" s="202"/>
      <c r="G358" s="234" t="e">
        <f>Backlog[[#This Row],[OP]]</f>
        <v>#VALUE!</v>
      </c>
      <c r="H358" s="202"/>
      <c r="I358" s="316" t="e">
        <f>IF(Backlog[[#This Row],[Fecha Requerida en Producción]]="","",Backlog[[#This Row],[Fecha Requerida en Producción]])</f>
        <v>#VALUE!</v>
      </c>
      <c r="J358" s="207"/>
      <c r="K358" s="207"/>
      <c r="L358" s="207"/>
      <c r="M358" s="207"/>
      <c r="N358" s="248"/>
      <c r="O358" s="248"/>
      <c r="P358" s="248"/>
      <c r="Q358" s="248"/>
    </row>
    <row r="359" spans="1:17" ht="15.75" hidden="1" customHeight="1">
      <c r="A359" s="274"/>
      <c r="B359" s="212"/>
      <c r="C359" s="202" t="e">
        <f>#REF!</f>
        <v>#REF!</v>
      </c>
      <c r="D359" s="202"/>
      <c r="E359" s="214"/>
      <c r="F359" s="202"/>
      <c r="G359" s="234" t="e">
        <f>Backlog[[#This Row],[OP]]</f>
        <v>#VALUE!</v>
      </c>
      <c r="H359" s="202"/>
      <c r="I359" s="316" t="e">
        <f>IF(Backlog[[#This Row],[Fecha Requerida en Producción]]="","",Backlog[[#This Row],[Fecha Requerida en Producción]])</f>
        <v>#VALUE!</v>
      </c>
      <c r="J359" s="207"/>
      <c r="K359" s="207"/>
      <c r="L359" s="207"/>
      <c r="M359" s="207"/>
      <c r="N359" s="248"/>
      <c r="O359" s="248"/>
      <c r="P359" s="248"/>
      <c r="Q359" s="248"/>
    </row>
    <row r="360" spans="1:17" ht="15.75" hidden="1" customHeight="1">
      <c r="A360" s="274"/>
      <c r="B360" s="212"/>
      <c r="C360" s="202" t="e">
        <f>#REF!</f>
        <v>#REF!</v>
      </c>
      <c r="D360" s="202"/>
      <c r="E360" s="214"/>
      <c r="F360" s="202"/>
      <c r="G360" s="234" t="e">
        <f>Backlog[[#This Row],[OP]]</f>
        <v>#VALUE!</v>
      </c>
      <c r="H360" s="202"/>
      <c r="I360" s="316" t="e">
        <f>IF(Backlog[[#This Row],[Fecha Requerida en Producción]]="","",Backlog[[#This Row],[Fecha Requerida en Producción]])</f>
        <v>#VALUE!</v>
      </c>
      <c r="J360" s="207"/>
      <c r="K360" s="207"/>
      <c r="L360" s="207"/>
      <c r="M360" s="207"/>
      <c r="N360" s="248"/>
      <c r="O360" s="248"/>
      <c r="P360" s="248"/>
      <c r="Q360" s="248"/>
    </row>
    <row r="361" spans="1:17" ht="15.75" hidden="1" customHeight="1">
      <c r="A361" s="274"/>
      <c r="B361" s="212"/>
      <c r="C361" s="202" t="e">
        <f>#REF!</f>
        <v>#REF!</v>
      </c>
      <c r="D361" s="202"/>
      <c r="E361" s="214"/>
      <c r="F361" s="202"/>
      <c r="G361" s="234" t="e">
        <f>Backlog[[#This Row],[OP]]</f>
        <v>#VALUE!</v>
      </c>
      <c r="H361" s="202"/>
      <c r="I361" s="316" t="e">
        <f>IF(Backlog[[#This Row],[Fecha Requerida en Producción]]="","",Backlog[[#This Row],[Fecha Requerida en Producción]])</f>
        <v>#VALUE!</v>
      </c>
      <c r="J361" s="207"/>
      <c r="K361" s="207"/>
      <c r="L361" s="207"/>
      <c r="M361" s="207"/>
      <c r="N361" s="248"/>
      <c r="O361" s="248"/>
      <c r="P361" s="248"/>
      <c r="Q361" s="248"/>
    </row>
    <row r="362" spans="1:17" ht="15.75" hidden="1" customHeight="1">
      <c r="A362" s="274"/>
      <c r="B362" s="212"/>
      <c r="C362" s="202" t="e">
        <f>#REF!</f>
        <v>#REF!</v>
      </c>
      <c r="D362" s="202"/>
      <c r="E362" s="214"/>
      <c r="F362" s="202"/>
      <c r="G362" s="234" t="e">
        <f>Backlog[[#This Row],[OP]]</f>
        <v>#VALUE!</v>
      </c>
      <c r="H362" s="202"/>
      <c r="I362" s="316" t="e">
        <f>IF(Backlog[[#This Row],[Fecha Requerida en Producción]]="","",Backlog[[#This Row],[Fecha Requerida en Producción]])</f>
        <v>#VALUE!</v>
      </c>
      <c r="J362" s="207"/>
      <c r="K362" s="207"/>
      <c r="L362" s="207"/>
      <c r="M362" s="207"/>
      <c r="N362" s="248"/>
      <c r="O362" s="248"/>
      <c r="P362" s="248"/>
      <c r="Q362" s="248"/>
    </row>
    <row r="363" spans="1:17" ht="15.75" hidden="1" customHeight="1">
      <c r="A363" s="274"/>
      <c r="B363" s="212"/>
      <c r="C363" s="202" t="e">
        <f>#REF!</f>
        <v>#REF!</v>
      </c>
      <c r="D363" s="202"/>
      <c r="E363" s="214"/>
      <c r="F363" s="202"/>
      <c r="G363" s="234" t="e">
        <f>Backlog[[#This Row],[OP]]</f>
        <v>#VALUE!</v>
      </c>
      <c r="H363" s="202"/>
      <c r="I363" s="316" t="e">
        <f>IF(Backlog[[#This Row],[Fecha Requerida en Producción]]="","",Backlog[[#This Row],[Fecha Requerida en Producción]])</f>
        <v>#VALUE!</v>
      </c>
      <c r="J363" s="207"/>
      <c r="K363" s="207"/>
      <c r="L363" s="207"/>
      <c r="M363" s="207"/>
      <c r="N363" s="248"/>
      <c r="O363" s="248"/>
      <c r="P363" s="248"/>
      <c r="Q363" s="248"/>
    </row>
    <row r="364" spans="1:17" ht="15.75" hidden="1" customHeight="1">
      <c r="A364" s="274"/>
      <c r="B364" s="212"/>
      <c r="C364" s="202" t="e">
        <f>#REF!</f>
        <v>#REF!</v>
      </c>
      <c r="D364" s="202"/>
      <c r="E364" s="214"/>
      <c r="F364" s="202"/>
      <c r="G364" s="234" t="e">
        <f>Backlog[[#This Row],[OP]]</f>
        <v>#VALUE!</v>
      </c>
      <c r="H364" s="202"/>
      <c r="I364" s="316" t="e">
        <f>IF(Backlog[[#This Row],[Fecha Requerida en Producción]]="","",Backlog[[#This Row],[Fecha Requerida en Producción]])</f>
        <v>#VALUE!</v>
      </c>
      <c r="J364" s="207"/>
      <c r="K364" s="207"/>
      <c r="L364" s="207"/>
      <c r="M364" s="207"/>
      <c r="N364" s="248"/>
      <c r="O364" s="248"/>
      <c r="P364" s="248"/>
      <c r="Q364" s="248"/>
    </row>
    <row r="365" spans="1:17" ht="15.75" hidden="1" customHeight="1">
      <c r="A365" s="274"/>
      <c r="B365" s="212"/>
      <c r="C365" s="202" t="e">
        <f>#REF!</f>
        <v>#REF!</v>
      </c>
      <c r="D365" s="202"/>
      <c r="E365" s="214"/>
      <c r="F365" s="202"/>
      <c r="G365" s="234" t="e">
        <f>Backlog[[#This Row],[OP]]</f>
        <v>#VALUE!</v>
      </c>
      <c r="H365" s="202"/>
      <c r="I365" s="316" t="e">
        <f>IF(Backlog[[#This Row],[Fecha Requerida en Producción]]="","",Backlog[[#This Row],[Fecha Requerida en Producción]])</f>
        <v>#VALUE!</v>
      </c>
      <c r="J365" s="207"/>
      <c r="K365" s="207"/>
      <c r="L365" s="207"/>
      <c r="M365" s="207"/>
      <c r="N365" s="248"/>
      <c r="O365" s="248"/>
      <c r="P365" s="248"/>
      <c r="Q365" s="248"/>
    </row>
    <row r="366" spans="1:17" ht="15.75" hidden="1" customHeight="1">
      <c r="A366" s="274"/>
      <c r="B366" s="212"/>
      <c r="C366" s="202" t="e">
        <f>#REF!</f>
        <v>#REF!</v>
      </c>
      <c r="D366" s="202"/>
      <c r="E366" s="214"/>
      <c r="F366" s="202"/>
      <c r="G366" s="234" t="e">
        <f>Backlog[[#This Row],[OP]]</f>
        <v>#VALUE!</v>
      </c>
      <c r="H366" s="202"/>
      <c r="I366" s="316" t="e">
        <f>IF(Backlog[[#This Row],[Fecha Requerida en Producción]]="","",Backlog[[#This Row],[Fecha Requerida en Producción]])</f>
        <v>#VALUE!</v>
      </c>
      <c r="J366" s="207"/>
      <c r="K366" s="207"/>
      <c r="L366" s="207"/>
      <c r="M366" s="207"/>
      <c r="N366" s="248"/>
      <c r="O366" s="248"/>
      <c r="P366" s="248"/>
      <c r="Q366" s="248"/>
    </row>
    <row r="367" spans="1:17" ht="15.75" hidden="1" customHeight="1">
      <c r="A367" s="274"/>
      <c r="B367" s="212"/>
      <c r="C367" s="202" t="e">
        <f>#REF!</f>
        <v>#REF!</v>
      </c>
      <c r="D367" s="202"/>
      <c r="E367" s="214"/>
      <c r="F367" s="202"/>
      <c r="G367" s="234" t="e">
        <f>Backlog[[#This Row],[OP]]</f>
        <v>#VALUE!</v>
      </c>
      <c r="H367" s="202"/>
      <c r="I367" s="316" t="e">
        <f>IF(Backlog[[#This Row],[Fecha Requerida en Producción]]="","",Backlog[[#This Row],[Fecha Requerida en Producción]])</f>
        <v>#VALUE!</v>
      </c>
      <c r="J367" s="207"/>
      <c r="K367" s="207"/>
      <c r="L367" s="207"/>
      <c r="M367" s="207"/>
      <c r="N367" s="248"/>
      <c r="O367" s="248"/>
      <c r="P367" s="248"/>
      <c r="Q367" s="248"/>
    </row>
    <row r="368" spans="1:17" ht="15.75" hidden="1" customHeight="1">
      <c r="A368" s="274"/>
      <c r="B368" s="212"/>
      <c r="C368" s="202" t="e">
        <f>#REF!</f>
        <v>#REF!</v>
      </c>
      <c r="D368" s="202"/>
      <c r="E368" s="214"/>
      <c r="F368" s="202"/>
      <c r="G368" s="234" t="e">
        <f>Backlog[[#This Row],[OP]]</f>
        <v>#VALUE!</v>
      </c>
      <c r="H368" s="202"/>
      <c r="I368" s="316" t="e">
        <f>IF(Backlog[[#This Row],[Fecha Requerida en Producción]]="","",Backlog[[#This Row],[Fecha Requerida en Producción]])</f>
        <v>#VALUE!</v>
      </c>
      <c r="J368" s="207"/>
      <c r="K368" s="207"/>
      <c r="L368" s="207"/>
      <c r="M368" s="207"/>
      <c r="N368" s="248"/>
      <c r="O368" s="248"/>
      <c r="P368" s="248"/>
      <c r="Q368" s="248"/>
    </row>
    <row r="369" spans="1:17" ht="15.75" hidden="1" customHeight="1">
      <c r="A369" s="274"/>
      <c r="B369" s="212"/>
      <c r="C369" s="202" t="e">
        <f>#REF!</f>
        <v>#REF!</v>
      </c>
      <c r="D369" s="202"/>
      <c r="E369" s="214"/>
      <c r="F369" s="202"/>
      <c r="G369" s="234" t="e">
        <f>Backlog[[#This Row],[OP]]</f>
        <v>#VALUE!</v>
      </c>
      <c r="H369" s="202"/>
      <c r="I369" s="316" t="e">
        <f>IF(Backlog[[#This Row],[Fecha Requerida en Producción]]="","",Backlog[[#This Row],[Fecha Requerida en Producción]])</f>
        <v>#VALUE!</v>
      </c>
      <c r="J369" s="207"/>
      <c r="K369" s="207"/>
      <c r="L369" s="207"/>
      <c r="M369" s="207"/>
      <c r="N369" s="248"/>
      <c r="O369" s="248"/>
      <c r="P369" s="248"/>
      <c r="Q369" s="248"/>
    </row>
    <row r="370" spans="1:17" ht="15.75" hidden="1" customHeight="1">
      <c r="A370" s="274"/>
      <c r="B370" s="212"/>
      <c r="C370" s="202" t="e">
        <f>#REF!</f>
        <v>#REF!</v>
      </c>
      <c r="D370" s="202"/>
      <c r="E370" s="214"/>
      <c r="F370" s="202"/>
      <c r="G370" s="234" t="e">
        <f>Backlog[[#This Row],[OP]]</f>
        <v>#VALUE!</v>
      </c>
      <c r="H370" s="202"/>
      <c r="I370" s="316" t="e">
        <f>IF(Backlog[[#This Row],[Fecha Requerida en Producción]]="","",Backlog[[#This Row],[Fecha Requerida en Producción]])</f>
        <v>#VALUE!</v>
      </c>
      <c r="J370" s="207"/>
      <c r="K370" s="207"/>
      <c r="L370" s="207"/>
      <c r="M370" s="207"/>
      <c r="N370" s="248"/>
      <c r="O370" s="248"/>
      <c r="P370" s="248"/>
      <c r="Q370" s="248"/>
    </row>
    <row r="371" spans="1:17" ht="15.75" hidden="1" customHeight="1">
      <c r="A371" s="274"/>
      <c r="B371" s="212"/>
      <c r="C371" s="202" t="e">
        <f>#REF!</f>
        <v>#REF!</v>
      </c>
      <c r="D371" s="202"/>
      <c r="E371" s="214"/>
      <c r="F371" s="202"/>
      <c r="G371" s="234" t="e">
        <f>Backlog[[#This Row],[OP]]</f>
        <v>#VALUE!</v>
      </c>
      <c r="H371" s="202"/>
      <c r="I371" s="316" t="e">
        <f>IF(Backlog[[#This Row],[Fecha Requerida en Producción]]="","",Backlog[[#This Row],[Fecha Requerida en Producción]])</f>
        <v>#VALUE!</v>
      </c>
      <c r="J371" s="207"/>
      <c r="K371" s="207"/>
      <c r="L371" s="207"/>
      <c r="M371" s="207"/>
      <c r="N371" s="248"/>
      <c r="O371" s="248"/>
      <c r="P371" s="248"/>
      <c r="Q371" s="248"/>
    </row>
    <row r="372" spans="1:17" ht="15.75" hidden="1" customHeight="1">
      <c r="A372" s="274"/>
      <c r="B372" s="212"/>
      <c r="C372" s="202" t="e">
        <f>#REF!</f>
        <v>#REF!</v>
      </c>
      <c r="D372" s="202"/>
      <c r="E372" s="214"/>
      <c r="F372" s="202"/>
      <c r="G372" s="234" t="e">
        <f>Backlog[[#This Row],[OP]]</f>
        <v>#VALUE!</v>
      </c>
      <c r="H372" s="202"/>
      <c r="I372" s="316" t="e">
        <f>IF(Backlog[[#This Row],[Fecha Requerida en Producción]]="","",Backlog[[#This Row],[Fecha Requerida en Producción]])</f>
        <v>#VALUE!</v>
      </c>
      <c r="J372" s="207"/>
      <c r="K372" s="207"/>
      <c r="L372" s="207"/>
      <c r="M372" s="207"/>
      <c r="N372" s="248"/>
      <c r="O372" s="248"/>
      <c r="P372" s="248"/>
      <c r="Q372" s="248"/>
    </row>
    <row r="373" spans="1:17" ht="15.75" hidden="1" customHeight="1">
      <c r="A373" s="274"/>
      <c r="B373" s="212"/>
      <c r="C373" s="202" t="e">
        <f>#REF!</f>
        <v>#REF!</v>
      </c>
      <c r="D373" s="202"/>
      <c r="E373" s="214"/>
      <c r="F373" s="202"/>
      <c r="G373" s="234" t="e">
        <f>Backlog[[#This Row],[OP]]</f>
        <v>#VALUE!</v>
      </c>
      <c r="H373" s="202"/>
      <c r="I373" s="316" t="e">
        <f>IF(Backlog[[#This Row],[Fecha Requerida en Producción]]="","",Backlog[[#This Row],[Fecha Requerida en Producción]])</f>
        <v>#VALUE!</v>
      </c>
      <c r="J373" s="207"/>
      <c r="K373" s="207"/>
      <c r="L373" s="207"/>
      <c r="M373" s="207"/>
      <c r="N373" s="248"/>
      <c r="O373" s="248"/>
      <c r="P373" s="248"/>
      <c r="Q373" s="248"/>
    </row>
    <row r="374" spans="1:17" ht="15.75" hidden="1" customHeight="1">
      <c r="A374" s="274"/>
      <c r="B374" s="212"/>
      <c r="C374" s="202" t="e">
        <f>#REF!</f>
        <v>#REF!</v>
      </c>
      <c r="D374" s="202"/>
      <c r="E374" s="214"/>
      <c r="F374" s="202"/>
      <c r="G374" s="234" t="e">
        <f>Backlog[[#This Row],[OP]]</f>
        <v>#VALUE!</v>
      </c>
      <c r="H374" s="202"/>
      <c r="I374" s="316" t="e">
        <f>IF(Backlog[[#This Row],[Fecha Requerida en Producción]]="","",Backlog[[#This Row],[Fecha Requerida en Producción]])</f>
        <v>#VALUE!</v>
      </c>
      <c r="J374" s="207"/>
      <c r="K374" s="207"/>
      <c r="L374" s="207"/>
      <c r="M374" s="207"/>
      <c r="N374" s="248"/>
      <c r="O374" s="248"/>
      <c r="P374" s="248"/>
      <c r="Q374" s="248"/>
    </row>
    <row r="375" spans="1:17" ht="15.75" hidden="1" customHeight="1">
      <c r="A375" s="274"/>
      <c r="B375" s="212"/>
      <c r="C375" s="202" t="e">
        <f>#REF!</f>
        <v>#REF!</v>
      </c>
      <c r="D375" s="202"/>
      <c r="E375" s="214"/>
      <c r="F375" s="202"/>
      <c r="G375" s="234" t="e">
        <f>Backlog[[#This Row],[OP]]</f>
        <v>#VALUE!</v>
      </c>
      <c r="H375" s="202"/>
      <c r="I375" s="316" t="e">
        <f>IF(Backlog[[#This Row],[Fecha Requerida en Producción]]="","",Backlog[[#This Row],[Fecha Requerida en Producción]])</f>
        <v>#VALUE!</v>
      </c>
      <c r="J375" s="207"/>
      <c r="K375" s="207"/>
      <c r="L375" s="207"/>
      <c r="M375" s="207"/>
      <c r="N375" s="248"/>
      <c r="O375" s="248"/>
      <c r="P375" s="248"/>
      <c r="Q375" s="248"/>
    </row>
    <row r="376" spans="1:17" ht="15.75" hidden="1" customHeight="1">
      <c r="A376" s="274"/>
      <c r="B376" s="212"/>
      <c r="C376" s="202" t="e">
        <f>#REF!</f>
        <v>#REF!</v>
      </c>
      <c r="D376" s="202"/>
      <c r="E376" s="214"/>
      <c r="F376" s="202"/>
      <c r="G376" s="234" t="e">
        <f>Backlog[[#This Row],[OP]]</f>
        <v>#VALUE!</v>
      </c>
      <c r="H376" s="202"/>
      <c r="I376" s="316" t="e">
        <f>IF(Backlog[[#This Row],[Fecha Requerida en Producción]]="","",Backlog[[#This Row],[Fecha Requerida en Producción]])</f>
        <v>#VALUE!</v>
      </c>
      <c r="J376" s="207"/>
      <c r="K376" s="207"/>
      <c r="L376" s="207"/>
      <c r="M376" s="207"/>
      <c r="N376" s="248"/>
      <c r="O376" s="248"/>
      <c r="P376" s="248"/>
      <c r="Q376" s="248"/>
    </row>
    <row r="377" spans="1:17" ht="15.75" hidden="1" customHeight="1">
      <c r="A377" s="274"/>
      <c r="B377" s="212"/>
      <c r="C377" s="202" t="e">
        <f>#REF!</f>
        <v>#REF!</v>
      </c>
      <c r="D377" s="202"/>
      <c r="E377" s="214"/>
      <c r="F377" s="202"/>
      <c r="G377" s="234" t="e">
        <f>Backlog[[#This Row],[OP]]</f>
        <v>#VALUE!</v>
      </c>
      <c r="H377" s="202"/>
      <c r="I377" s="316" t="e">
        <f>IF(Backlog[[#This Row],[Fecha Requerida en Producción]]="","",Backlog[[#This Row],[Fecha Requerida en Producción]])</f>
        <v>#VALUE!</v>
      </c>
      <c r="J377" s="207"/>
      <c r="K377" s="207"/>
      <c r="L377" s="207"/>
      <c r="M377" s="207"/>
      <c r="N377" s="248"/>
      <c r="O377" s="248"/>
      <c r="P377" s="248"/>
      <c r="Q377" s="248"/>
    </row>
    <row r="378" spans="1:17" ht="15.75" hidden="1" customHeight="1">
      <c r="A378" s="274"/>
      <c r="B378" s="212"/>
      <c r="C378" s="202" t="e">
        <f>#REF!</f>
        <v>#REF!</v>
      </c>
      <c r="D378" s="202"/>
      <c r="E378" s="214"/>
      <c r="F378" s="202"/>
      <c r="G378" s="234" t="e">
        <f>Backlog[[#This Row],[OP]]</f>
        <v>#VALUE!</v>
      </c>
      <c r="H378" s="202"/>
      <c r="I378" s="316" t="e">
        <f>IF(Backlog[[#This Row],[Fecha Requerida en Producción]]="","",Backlog[[#This Row],[Fecha Requerida en Producción]])</f>
        <v>#VALUE!</v>
      </c>
      <c r="J378" s="207"/>
      <c r="K378" s="207"/>
      <c r="L378" s="207"/>
      <c r="M378" s="207"/>
      <c r="N378" s="248"/>
      <c r="O378" s="248"/>
      <c r="P378" s="248"/>
      <c r="Q378" s="248"/>
    </row>
    <row r="379" spans="1:17" ht="15.75" hidden="1" customHeight="1">
      <c r="A379" s="274"/>
      <c r="B379" s="212"/>
      <c r="C379" s="202" t="e">
        <f>#REF!</f>
        <v>#REF!</v>
      </c>
      <c r="D379" s="202"/>
      <c r="E379" s="214"/>
      <c r="F379" s="202"/>
      <c r="G379" s="234" t="e">
        <f>Backlog[[#This Row],[OP]]</f>
        <v>#VALUE!</v>
      </c>
      <c r="H379" s="202"/>
      <c r="I379" s="316" t="e">
        <f>IF(Backlog[[#This Row],[Fecha Requerida en Producción]]="","",Backlog[[#This Row],[Fecha Requerida en Producción]])</f>
        <v>#VALUE!</v>
      </c>
      <c r="J379" s="207"/>
      <c r="K379" s="207"/>
      <c r="L379" s="207"/>
      <c r="M379" s="207"/>
      <c r="N379" s="248"/>
      <c r="O379" s="248"/>
      <c r="P379" s="248"/>
      <c r="Q379" s="248"/>
    </row>
    <row r="380" spans="1:17" ht="15.75" hidden="1" customHeight="1">
      <c r="A380" s="274"/>
      <c r="B380" s="212"/>
      <c r="C380" s="202" t="e">
        <f>#REF!</f>
        <v>#REF!</v>
      </c>
      <c r="D380" s="202"/>
      <c r="E380" s="214"/>
      <c r="F380" s="202"/>
      <c r="G380" s="234" t="e">
        <f>Backlog[[#This Row],[OP]]</f>
        <v>#VALUE!</v>
      </c>
      <c r="H380" s="202"/>
      <c r="I380" s="316" t="e">
        <f>IF(Backlog[[#This Row],[Fecha Requerida en Producción]]="","",Backlog[[#This Row],[Fecha Requerida en Producción]])</f>
        <v>#VALUE!</v>
      </c>
      <c r="J380" s="207"/>
      <c r="K380" s="207"/>
      <c r="L380" s="207"/>
      <c r="M380" s="207"/>
      <c r="N380" s="248"/>
      <c r="O380" s="248"/>
      <c r="P380" s="248"/>
      <c r="Q380" s="248"/>
    </row>
    <row r="381" spans="1:17" ht="15.75" hidden="1" customHeight="1">
      <c r="A381" s="274"/>
      <c r="B381" s="212"/>
      <c r="C381" s="202" t="e">
        <f>#REF!</f>
        <v>#REF!</v>
      </c>
      <c r="D381" s="202"/>
      <c r="E381" s="214"/>
      <c r="F381" s="202"/>
      <c r="G381" s="234" t="e">
        <f>Backlog[[#This Row],[OP]]</f>
        <v>#VALUE!</v>
      </c>
      <c r="H381" s="202"/>
      <c r="I381" s="316" t="e">
        <f>IF(Backlog[[#This Row],[Fecha Requerida en Producción]]="","",Backlog[[#This Row],[Fecha Requerida en Producción]])</f>
        <v>#VALUE!</v>
      </c>
      <c r="J381" s="207"/>
      <c r="K381" s="207"/>
      <c r="L381" s="207"/>
      <c r="M381" s="207"/>
      <c r="N381" s="248"/>
      <c r="O381" s="248"/>
      <c r="P381" s="248"/>
      <c r="Q381" s="248"/>
    </row>
    <row r="382" spans="1:17" ht="15.75" hidden="1" customHeight="1">
      <c r="A382" s="274"/>
      <c r="B382" s="212"/>
      <c r="C382" s="202" t="e">
        <f>#REF!</f>
        <v>#REF!</v>
      </c>
      <c r="D382" s="202"/>
      <c r="E382" s="214"/>
      <c r="F382" s="202"/>
      <c r="G382" s="234" t="e">
        <f>Backlog[[#This Row],[OP]]</f>
        <v>#VALUE!</v>
      </c>
      <c r="H382" s="202"/>
      <c r="I382" s="316" t="e">
        <f>IF(Backlog[[#This Row],[Fecha Requerida en Producción]]="","",Backlog[[#This Row],[Fecha Requerida en Producción]])</f>
        <v>#VALUE!</v>
      </c>
      <c r="J382" s="207"/>
      <c r="K382" s="207"/>
      <c r="L382" s="207"/>
      <c r="M382" s="207"/>
      <c r="N382" s="248"/>
      <c r="O382" s="248"/>
      <c r="P382" s="248"/>
      <c r="Q382" s="248"/>
    </row>
    <row r="383" spans="1:17" ht="15.75" hidden="1" customHeight="1">
      <c r="A383" s="274"/>
      <c r="B383" s="212"/>
      <c r="C383" s="202" t="e">
        <f>#REF!</f>
        <v>#REF!</v>
      </c>
      <c r="D383" s="202"/>
      <c r="E383" s="214"/>
      <c r="F383" s="202"/>
      <c r="G383" s="234" t="e">
        <f>Backlog[[#This Row],[OP]]</f>
        <v>#VALUE!</v>
      </c>
      <c r="H383" s="202"/>
      <c r="I383" s="316" t="e">
        <f>IF(Backlog[[#This Row],[Fecha Requerida en Producción]]="","",Backlog[[#This Row],[Fecha Requerida en Producción]])</f>
        <v>#VALUE!</v>
      </c>
      <c r="J383" s="207"/>
      <c r="K383" s="207"/>
      <c r="L383" s="207"/>
      <c r="M383" s="207"/>
      <c r="N383" s="248"/>
      <c r="O383" s="248"/>
      <c r="P383" s="248"/>
      <c r="Q383" s="248"/>
    </row>
    <row r="384" spans="1:17" ht="15.75" hidden="1" customHeight="1">
      <c r="A384" s="274"/>
      <c r="B384" s="212"/>
      <c r="C384" s="202" t="e">
        <f>#REF!</f>
        <v>#REF!</v>
      </c>
      <c r="D384" s="202"/>
      <c r="E384" s="214"/>
      <c r="F384" s="202"/>
      <c r="G384" s="234" t="e">
        <f>Backlog[[#This Row],[OP]]</f>
        <v>#VALUE!</v>
      </c>
      <c r="H384" s="202"/>
      <c r="I384" s="316" t="e">
        <f>IF(Backlog[[#This Row],[Fecha Requerida en Producción]]="","",Backlog[[#This Row],[Fecha Requerida en Producción]])</f>
        <v>#VALUE!</v>
      </c>
      <c r="J384" s="207"/>
      <c r="K384" s="207"/>
      <c r="L384" s="207"/>
      <c r="M384" s="207"/>
      <c r="N384" s="248"/>
      <c r="O384" s="248"/>
      <c r="P384" s="248"/>
      <c r="Q384" s="248"/>
    </row>
    <row r="385" spans="1:17" ht="15.75" hidden="1" customHeight="1">
      <c r="A385" s="274"/>
      <c r="B385" s="212"/>
      <c r="C385" s="202" t="e">
        <f>#REF!</f>
        <v>#REF!</v>
      </c>
      <c r="D385" s="202"/>
      <c r="E385" s="214"/>
      <c r="F385" s="202"/>
      <c r="G385" s="234" t="e">
        <f>Backlog[[#This Row],[OP]]</f>
        <v>#VALUE!</v>
      </c>
      <c r="H385" s="202"/>
      <c r="I385" s="316" t="e">
        <f>IF(Backlog[[#This Row],[Fecha Requerida en Producción]]="","",Backlog[[#This Row],[Fecha Requerida en Producción]])</f>
        <v>#VALUE!</v>
      </c>
      <c r="J385" s="207"/>
      <c r="K385" s="207"/>
      <c r="L385" s="207"/>
      <c r="M385" s="207"/>
      <c r="N385" s="248"/>
      <c r="O385" s="248"/>
      <c r="P385" s="248"/>
      <c r="Q385" s="248"/>
    </row>
    <row r="386" spans="1:17" ht="15.75" hidden="1" customHeight="1">
      <c r="A386" s="274"/>
      <c r="B386" s="212"/>
      <c r="C386" s="202" t="e">
        <f>#REF!</f>
        <v>#REF!</v>
      </c>
      <c r="D386" s="202"/>
      <c r="E386" s="214"/>
      <c r="F386" s="202"/>
      <c r="G386" s="234" t="e">
        <f>Backlog[[#This Row],[OP]]</f>
        <v>#VALUE!</v>
      </c>
      <c r="H386" s="202"/>
      <c r="I386" s="316" t="e">
        <f>IF(Backlog[[#This Row],[Fecha Requerida en Producción]]="","",Backlog[[#This Row],[Fecha Requerida en Producción]])</f>
        <v>#VALUE!</v>
      </c>
      <c r="J386" s="207"/>
      <c r="K386" s="207"/>
      <c r="L386" s="207"/>
      <c r="M386" s="207"/>
      <c r="N386" s="248"/>
      <c r="O386" s="248"/>
      <c r="P386" s="248"/>
      <c r="Q386" s="248"/>
    </row>
    <row r="387" spans="1:17" ht="15.75" hidden="1" customHeight="1">
      <c r="A387" s="274"/>
      <c r="B387" s="212"/>
      <c r="C387" s="202" t="e">
        <f>#REF!</f>
        <v>#REF!</v>
      </c>
      <c r="D387" s="202"/>
      <c r="E387" s="214"/>
      <c r="F387" s="202"/>
      <c r="G387" s="234" t="e">
        <f>Backlog[[#This Row],[OP]]</f>
        <v>#VALUE!</v>
      </c>
      <c r="H387" s="202"/>
      <c r="I387" s="316" t="e">
        <f>IF(Backlog[[#This Row],[Fecha Requerida en Producción]]="","",Backlog[[#This Row],[Fecha Requerida en Producción]])</f>
        <v>#VALUE!</v>
      </c>
      <c r="J387" s="207"/>
      <c r="K387" s="207"/>
      <c r="L387" s="207"/>
      <c r="M387" s="207"/>
      <c r="N387" s="251"/>
      <c r="O387" s="251"/>
      <c r="P387" s="251"/>
      <c r="Q387" s="251"/>
    </row>
    <row r="388" spans="1:17" ht="15.75" hidden="1" customHeight="1">
      <c r="A388" s="274"/>
      <c r="B388" s="212"/>
      <c r="C388" s="202" t="e">
        <f>#REF!</f>
        <v>#REF!</v>
      </c>
      <c r="D388" s="202"/>
      <c r="E388" s="214"/>
      <c r="F388" s="202"/>
      <c r="G388" s="234" t="e">
        <f>Backlog[[#This Row],[OP]]</f>
        <v>#VALUE!</v>
      </c>
      <c r="H388" s="202"/>
      <c r="I388" s="316" t="e">
        <f>IF(Backlog[[#This Row],[Fecha Requerida en Producción]]="","",Backlog[[#This Row],[Fecha Requerida en Producción]])</f>
        <v>#VALUE!</v>
      </c>
      <c r="J388" s="207"/>
      <c r="K388" s="207"/>
      <c r="L388" s="207"/>
      <c r="M388" s="207"/>
      <c r="N388" s="248"/>
      <c r="O388" s="248"/>
      <c r="P388" s="248"/>
      <c r="Q388" s="248"/>
    </row>
    <row r="389" spans="1:17" ht="15.75" hidden="1" customHeight="1">
      <c r="A389" s="274"/>
      <c r="B389" s="212"/>
      <c r="C389" s="202" t="e">
        <f>#REF!</f>
        <v>#REF!</v>
      </c>
      <c r="D389" s="202"/>
      <c r="E389" s="214"/>
      <c r="F389" s="202"/>
      <c r="G389" s="234" t="e">
        <f>Backlog[[#This Row],[OP]]</f>
        <v>#VALUE!</v>
      </c>
      <c r="H389" s="202"/>
      <c r="I389" s="316" t="e">
        <f>IF(Backlog[[#This Row],[Fecha Requerida en Producción]]="","",Backlog[[#This Row],[Fecha Requerida en Producción]])</f>
        <v>#VALUE!</v>
      </c>
      <c r="J389" s="207"/>
      <c r="K389" s="207"/>
      <c r="L389" s="207"/>
      <c r="M389" s="207"/>
      <c r="N389" s="248"/>
      <c r="O389" s="248"/>
      <c r="P389" s="248"/>
      <c r="Q389" s="248"/>
    </row>
    <row r="390" spans="1:17" ht="15.75" hidden="1" customHeight="1">
      <c r="A390" s="274"/>
      <c r="B390" s="212"/>
      <c r="C390" s="202" t="e">
        <f>#REF!</f>
        <v>#REF!</v>
      </c>
      <c r="D390" s="202"/>
      <c r="E390" s="214"/>
      <c r="F390" s="202"/>
      <c r="G390" s="234" t="e">
        <f>Backlog[[#This Row],[OP]]</f>
        <v>#VALUE!</v>
      </c>
      <c r="H390" s="202"/>
      <c r="I390" s="316" t="e">
        <f>IF(Backlog[[#This Row],[Fecha Requerida en Producción]]="","",Backlog[[#This Row],[Fecha Requerida en Producción]])</f>
        <v>#VALUE!</v>
      </c>
      <c r="J390" s="207"/>
      <c r="K390" s="207"/>
      <c r="L390" s="207"/>
      <c r="M390" s="207"/>
      <c r="N390" s="248"/>
      <c r="O390" s="248"/>
      <c r="P390" s="248"/>
      <c r="Q390" s="248"/>
    </row>
    <row r="391" spans="1:17" ht="15.75" hidden="1" customHeight="1">
      <c r="A391" s="274"/>
      <c r="B391" s="212"/>
      <c r="C391" s="202" t="e">
        <f>#REF!</f>
        <v>#REF!</v>
      </c>
      <c r="D391" s="202"/>
      <c r="E391" s="214"/>
      <c r="F391" s="202"/>
      <c r="G391" s="234" t="e">
        <f>Backlog[[#This Row],[OP]]</f>
        <v>#VALUE!</v>
      </c>
      <c r="H391" s="202"/>
      <c r="I391" s="316" t="e">
        <f>IF(Backlog[[#This Row],[Fecha Requerida en Producción]]="","",Backlog[[#This Row],[Fecha Requerida en Producción]])</f>
        <v>#VALUE!</v>
      </c>
      <c r="J391" s="207"/>
      <c r="K391" s="207"/>
      <c r="L391" s="207"/>
      <c r="M391" s="207"/>
      <c r="N391" s="248"/>
      <c r="O391" s="248"/>
      <c r="P391" s="248"/>
      <c r="Q391" s="248"/>
    </row>
    <row r="392" spans="1:17" ht="15.75" hidden="1" customHeight="1">
      <c r="A392" s="274"/>
      <c r="B392" s="212"/>
      <c r="C392" s="202" t="e">
        <f>#REF!</f>
        <v>#REF!</v>
      </c>
      <c r="D392" s="202"/>
      <c r="E392" s="214"/>
      <c r="F392" s="202"/>
      <c r="G392" s="234" t="e">
        <f>Backlog[[#This Row],[OP]]</f>
        <v>#VALUE!</v>
      </c>
      <c r="H392" s="202"/>
      <c r="I392" s="316" t="e">
        <f>IF(Backlog[[#This Row],[Fecha Requerida en Producción]]="","",Backlog[[#This Row],[Fecha Requerida en Producción]])</f>
        <v>#VALUE!</v>
      </c>
      <c r="J392" s="207"/>
      <c r="K392" s="207"/>
      <c r="L392" s="207"/>
      <c r="M392" s="207"/>
      <c r="N392" s="248"/>
      <c r="O392" s="248"/>
      <c r="P392" s="248"/>
      <c r="Q392" s="248"/>
    </row>
    <row r="393" spans="1:17" ht="15.75" hidden="1" customHeight="1">
      <c r="A393" s="274"/>
      <c r="B393" s="212"/>
      <c r="C393" s="202" t="e">
        <f>#REF!</f>
        <v>#REF!</v>
      </c>
      <c r="D393" s="202"/>
      <c r="E393" s="214"/>
      <c r="F393" s="202"/>
      <c r="G393" s="234" t="e">
        <f>Backlog[[#This Row],[OP]]</f>
        <v>#VALUE!</v>
      </c>
      <c r="H393" s="202"/>
      <c r="I393" s="316" t="e">
        <f>IF(Backlog[[#This Row],[Fecha Requerida en Producción]]="","",Backlog[[#This Row],[Fecha Requerida en Producción]])</f>
        <v>#VALUE!</v>
      </c>
      <c r="J393" s="207"/>
      <c r="K393" s="207"/>
      <c r="L393" s="207"/>
      <c r="M393" s="207"/>
      <c r="N393" s="248"/>
      <c r="O393" s="248"/>
      <c r="P393" s="248"/>
      <c r="Q393" s="248"/>
    </row>
    <row r="394" spans="1:17" ht="15.75" hidden="1" customHeight="1">
      <c r="A394" s="274"/>
      <c r="B394" s="212"/>
      <c r="C394" s="202" t="e">
        <f>#REF!</f>
        <v>#REF!</v>
      </c>
      <c r="D394" s="202"/>
      <c r="E394" s="214"/>
      <c r="F394" s="202"/>
      <c r="G394" s="234" t="e">
        <f>Backlog[[#This Row],[OP]]</f>
        <v>#VALUE!</v>
      </c>
      <c r="H394" s="202"/>
      <c r="I394" s="316" t="e">
        <f>IF(Backlog[[#This Row],[Fecha Requerida en Producción]]="","",Backlog[[#This Row],[Fecha Requerida en Producción]])</f>
        <v>#VALUE!</v>
      </c>
      <c r="J394" s="207"/>
      <c r="K394" s="207"/>
      <c r="L394" s="207"/>
      <c r="M394" s="207"/>
      <c r="N394" s="248"/>
      <c r="O394" s="248"/>
      <c r="P394" s="248"/>
      <c r="Q394" s="248"/>
    </row>
    <row r="395" spans="1:17" ht="15.75" hidden="1" customHeight="1">
      <c r="A395" s="274"/>
      <c r="B395" s="212"/>
      <c r="C395" s="202" t="e">
        <f>#REF!</f>
        <v>#REF!</v>
      </c>
      <c r="D395" s="202"/>
      <c r="E395" s="214"/>
      <c r="F395" s="202"/>
      <c r="G395" s="234" t="e">
        <f>Backlog[[#This Row],[OP]]</f>
        <v>#VALUE!</v>
      </c>
      <c r="H395" s="202"/>
      <c r="I395" s="316" t="e">
        <f>IF(Backlog[[#This Row],[Fecha Requerida en Producción]]="","",Backlog[[#This Row],[Fecha Requerida en Producción]])</f>
        <v>#VALUE!</v>
      </c>
      <c r="J395" s="207"/>
      <c r="K395" s="207"/>
      <c r="L395" s="207"/>
      <c r="M395" s="207"/>
      <c r="N395" s="248"/>
      <c r="O395" s="248"/>
      <c r="P395" s="248"/>
      <c r="Q395" s="248"/>
    </row>
    <row r="396" spans="1:17" ht="15.75" hidden="1" customHeight="1">
      <c r="A396" s="274"/>
      <c r="B396" s="212"/>
      <c r="C396" s="202" t="e">
        <f>#REF!</f>
        <v>#REF!</v>
      </c>
      <c r="D396" s="202"/>
      <c r="E396" s="214"/>
      <c r="F396" s="202"/>
      <c r="G396" s="234" t="e">
        <f>Backlog[[#This Row],[OP]]</f>
        <v>#VALUE!</v>
      </c>
      <c r="H396" s="202"/>
      <c r="I396" s="316" t="e">
        <f>IF(Backlog[[#This Row],[Fecha Requerida en Producción]]="","",Backlog[[#This Row],[Fecha Requerida en Producción]])</f>
        <v>#VALUE!</v>
      </c>
      <c r="J396" s="207"/>
      <c r="K396" s="207"/>
      <c r="L396" s="207"/>
      <c r="M396" s="207"/>
      <c r="N396" s="248"/>
      <c r="O396" s="248"/>
      <c r="P396" s="248"/>
      <c r="Q396" s="248"/>
    </row>
    <row r="397" spans="1:17" ht="15.75" hidden="1" customHeight="1">
      <c r="A397" s="274"/>
      <c r="B397" s="212"/>
      <c r="C397" s="202" t="e">
        <f>#REF!</f>
        <v>#REF!</v>
      </c>
      <c r="D397" s="202"/>
      <c r="E397" s="214"/>
      <c r="F397" s="202"/>
      <c r="G397" s="234" t="e">
        <f>Backlog[[#This Row],[OP]]</f>
        <v>#VALUE!</v>
      </c>
      <c r="H397" s="202"/>
      <c r="I397" s="316" t="e">
        <f>IF(Backlog[[#This Row],[Fecha Requerida en Producción]]="","",Backlog[[#This Row],[Fecha Requerida en Producción]])</f>
        <v>#VALUE!</v>
      </c>
      <c r="J397" s="207"/>
      <c r="K397" s="207"/>
      <c r="L397" s="207"/>
      <c r="M397" s="207"/>
      <c r="N397" s="248"/>
      <c r="O397" s="248"/>
      <c r="P397" s="248"/>
      <c r="Q397" s="248"/>
    </row>
    <row r="398" spans="1:17" ht="15.75" hidden="1" customHeight="1">
      <c r="A398" s="274"/>
      <c r="B398" s="212"/>
      <c r="C398" s="202" t="e">
        <f>#REF!</f>
        <v>#REF!</v>
      </c>
      <c r="D398" s="202"/>
      <c r="E398" s="214"/>
      <c r="F398" s="202"/>
      <c r="G398" s="234" t="e">
        <f>Backlog[[#This Row],[OP]]</f>
        <v>#VALUE!</v>
      </c>
      <c r="H398" s="202"/>
      <c r="I398" s="316" t="e">
        <f>IF(Backlog[[#This Row],[Fecha Requerida en Producción]]="","",Backlog[[#This Row],[Fecha Requerida en Producción]])</f>
        <v>#VALUE!</v>
      </c>
      <c r="J398" s="207"/>
      <c r="K398" s="207"/>
      <c r="L398" s="207"/>
      <c r="M398" s="207"/>
      <c r="N398" s="248"/>
      <c r="O398" s="248"/>
      <c r="P398" s="248"/>
      <c r="Q398" s="248"/>
    </row>
    <row r="399" spans="1:17" ht="15.75" hidden="1" customHeight="1">
      <c r="A399" s="274"/>
      <c r="B399" s="212"/>
      <c r="C399" s="202" t="e">
        <f>#REF!</f>
        <v>#REF!</v>
      </c>
      <c r="D399" s="202"/>
      <c r="E399" s="214"/>
      <c r="F399" s="202"/>
      <c r="G399" s="234" t="e">
        <f>Backlog[[#This Row],[OP]]</f>
        <v>#VALUE!</v>
      </c>
      <c r="H399" s="202"/>
      <c r="I399" s="316" t="e">
        <f>IF(Backlog[[#This Row],[Fecha Requerida en Producción]]="","",Backlog[[#This Row],[Fecha Requerida en Producción]])</f>
        <v>#VALUE!</v>
      </c>
      <c r="J399" s="207"/>
      <c r="K399" s="207"/>
      <c r="L399" s="207"/>
      <c r="M399" s="207"/>
      <c r="N399" s="248"/>
      <c r="O399" s="248"/>
      <c r="P399" s="248"/>
      <c r="Q399" s="248"/>
    </row>
    <row r="400" spans="1:17" ht="15.75" hidden="1" customHeight="1">
      <c r="A400" s="274"/>
      <c r="B400" s="212"/>
      <c r="C400" s="202" t="e">
        <f>#REF!</f>
        <v>#REF!</v>
      </c>
      <c r="D400" s="202"/>
      <c r="E400" s="214"/>
      <c r="F400" s="202"/>
      <c r="G400" s="234" t="e">
        <f>Backlog[[#This Row],[OP]]</f>
        <v>#VALUE!</v>
      </c>
      <c r="H400" s="202"/>
      <c r="I400" s="316" t="e">
        <f>IF(Backlog[[#This Row],[Fecha Requerida en Producción]]="","",Backlog[[#This Row],[Fecha Requerida en Producción]])</f>
        <v>#VALUE!</v>
      </c>
      <c r="J400" s="207"/>
      <c r="K400" s="207"/>
      <c r="L400" s="207"/>
      <c r="M400" s="207"/>
      <c r="N400" s="248"/>
      <c r="O400" s="248"/>
      <c r="P400" s="248"/>
      <c r="Q400" s="248"/>
    </row>
    <row r="401" spans="1:17" ht="15.75" hidden="1" customHeight="1">
      <c r="A401" s="274"/>
      <c r="B401" s="212"/>
      <c r="C401" s="202" t="e">
        <f>#REF!</f>
        <v>#REF!</v>
      </c>
      <c r="D401" s="202"/>
      <c r="E401" s="214"/>
      <c r="F401" s="202"/>
      <c r="G401" s="234" t="e">
        <f>Backlog[[#This Row],[OP]]</f>
        <v>#VALUE!</v>
      </c>
      <c r="H401" s="202"/>
      <c r="I401" s="316" t="e">
        <f>IF(Backlog[[#This Row],[Fecha Requerida en Producción]]="","",Backlog[[#This Row],[Fecha Requerida en Producción]])</f>
        <v>#VALUE!</v>
      </c>
      <c r="J401" s="207"/>
      <c r="K401" s="207"/>
      <c r="L401" s="207"/>
      <c r="M401" s="207"/>
      <c r="N401" s="248"/>
      <c r="O401" s="248"/>
      <c r="P401" s="248"/>
      <c r="Q401" s="248"/>
    </row>
    <row r="402" spans="1:17" ht="15.75" hidden="1" customHeight="1">
      <c r="A402" s="274"/>
      <c r="B402" s="212"/>
      <c r="C402" s="202" t="e">
        <f>#REF!</f>
        <v>#REF!</v>
      </c>
      <c r="D402" s="202"/>
      <c r="E402" s="214"/>
      <c r="F402" s="202"/>
      <c r="G402" s="234" t="e">
        <f>Backlog[[#This Row],[OP]]</f>
        <v>#VALUE!</v>
      </c>
      <c r="H402" s="202"/>
      <c r="I402" s="316" t="e">
        <f>IF(Backlog[[#This Row],[Fecha Requerida en Producción]]="","",Backlog[[#This Row],[Fecha Requerida en Producción]])</f>
        <v>#VALUE!</v>
      </c>
      <c r="J402" s="207"/>
      <c r="K402" s="207"/>
      <c r="L402" s="207"/>
      <c r="M402" s="207"/>
      <c r="N402" s="248"/>
      <c r="O402" s="248"/>
      <c r="P402" s="248"/>
      <c r="Q402" s="248"/>
    </row>
    <row r="403" spans="1:17" ht="15.75" hidden="1" customHeight="1">
      <c r="A403" s="274"/>
      <c r="B403" s="212"/>
      <c r="C403" s="202" t="e">
        <f>#REF!</f>
        <v>#REF!</v>
      </c>
      <c r="D403" s="202"/>
      <c r="E403" s="214"/>
      <c r="F403" s="202"/>
      <c r="G403" s="234" t="e">
        <f>Backlog[[#This Row],[OP]]</f>
        <v>#VALUE!</v>
      </c>
      <c r="H403" s="202"/>
      <c r="I403" s="316" t="e">
        <f>IF(Backlog[[#This Row],[Fecha Requerida en Producción]]="","",Backlog[[#This Row],[Fecha Requerida en Producción]])</f>
        <v>#VALUE!</v>
      </c>
      <c r="J403" s="207"/>
      <c r="K403" s="207"/>
      <c r="L403" s="207"/>
      <c r="M403" s="207"/>
      <c r="N403" s="248"/>
      <c r="O403" s="248"/>
      <c r="P403" s="248"/>
      <c r="Q403" s="248"/>
    </row>
    <row r="404" spans="1:17" ht="15.75" hidden="1" customHeight="1">
      <c r="A404" s="274"/>
      <c r="B404" s="212"/>
      <c r="C404" s="202" t="e">
        <f>#REF!</f>
        <v>#REF!</v>
      </c>
      <c r="D404" s="202"/>
      <c r="E404" s="214"/>
      <c r="F404" s="202"/>
      <c r="G404" s="234" t="e">
        <f>Backlog[[#This Row],[OP]]</f>
        <v>#VALUE!</v>
      </c>
      <c r="H404" s="202"/>
      <c r="I404" s="316" t="e">
        <f>IF(Backlog[[#This Row],[Fecha Requerida en Producción]]="","",Backlog[[#This Row],[Fecha Requerida en Producción]])</f>
        <v>#VALUE!</v>
      </c>
      <c r="J404" s="207"/>
      <c r="K404" s="207"/>
      <c r="L404" s="207"/>
      <c r="M404" s="207"/>
      <c r="N404" s="248"/>
      <c r="O404" s="248"/>
      <c r="P404" s="248"/>
      <c r="Q404" s="248"/>
    </row>
    <row r="405" spans="1:17" ht="15.75" hidden="1" customHeight="1">
      <c r="A405" s="274"/>
      <c r="B405" s="212"/>
      <c r="C405" s="202" t="e">
        <f>#REF!</f>
        <v>#REF!</v>
      </c>
      <c r="D405" s="202"/>
      <c r="E405" s="214"/>
      <c r="F405" s="202"/>
      <c r="G405" s="234" t="e">
        <f>Backlog[[#This Row],[OP]]</f>
        <v>#VALUE!</v>
      </c>
      <c r="H405" s="202"/>
      <c r="I405" s="316" t="e">
        <f>IF(Backlog[[#This Row],[Fecha Requerida en Producción]]="","",Backlog[[#This Row],[Fecha Requerida en Producción]])</f>
        <v>#VALUE!</v>
      </c>
      <c r="J405" s="207"/>
      <c r="K405" s="207"/>
      <c r="L405" s="207"/>
      <c r="M405" s="207"/>
      <c r="N405" s="248"/>
      <c r="O405" s="248"/>
      <c r="P405" s="248"/>
      <c r="Q405" s="248"/>
    </row>
    <row r="406" spans="1:17" ht="15.75" hidden="1" customHeight="1">
      <c r="A406" s="274"/>
      <c r="B406" s="212"/>
      <c r="C406" s="202" t="e">
        <f>#REF!</f>
        <v>#REF!</v>
      </c>
      <c r="D406" s="202"/>
      <c r="E406" s="214"/>
      <c r="F406" s="202"/>
      <c r="G406" s="234" t="e">
        <f>Backlog[[#This Row],[OP]]</f>
        <v>#VALUE!</v>
      </c>
      <c r="H406" s="202"/>
      <c r="I406" s="316" t="e">
        <f>IF(Backlog[[#This Row],[Fecha Requerida en Producción]]="","",Backlog[[#This Row],[Fecha Requerida en Producción]])</f>
        <v>#VALUE!</v>
      </c>
      <c r="J406" s="207"/>
      <c r="K406" s="207"/>
      <c r="L406" s="207"/>
      <c r="M406" s="207"/>
      <c r="N406" s="248"/>
      <c r="O406" s="248"/>
      <c r="P406" s="248"/>
      <c r="Q406" s="248"/>
    </row>
    <row r="407" spans="1:17" ht="15.75" hidden="1" customHeight="1">
      <c r="A407" s="274"/>
      <c r="B407" s="212"/>
      <c r="C407" s="202" t="e">
        <f>#REF!</f>
        <v>#REF!</v>
      </c>
      <c r="D407" s="202"/>
      <c r="E407" s="214"/>
      <c r="F407" s="202"/>
      <c r="G407" s="234" t="e">
        <f>Backlog[[#This Row],[OP]]</f>
        <v>#VALUE!</v>
      </c>
      <c r="H407" s="202"/>
      <c r="I407" s="316" t="e">
        <f>IF(Backlog[[#This Row],[Fecha Requerida en Producción]]="","",Backlog[[#This Row],[Fecha Requerida en Producción]])</f>
        <v>#VALUE!</v>
      </c>
      <c r="J407" s="207"/>
      <c r="K407" s="207"/>
      <c r="L407" s="207"/>
      <c r="M407" s="207"/>
      <c r="N407" s="248"/>
      <c r="O407" s="248"/>
      <c r="P407" s="248"/>
      <c r="Q407" s="248"/>
    </row>
    <row r="408" spans="1:17" ht="15.75" hidden="1" customHeight="1">
      <c r="A408" s="274"/>
      <c r="B408" s="212"/>
      <c r="C408" s="202" t="e">
        <f>#REF!</f>
        <v>#REF!</v>
      </c>
      <c r="D408" s="202"/>
      <c r="E408" s="214"/>
      <c r="F408" s="202"/>
      <c r="G408" s="234" t="e">
        <f>Backlog[[#This Row],[OP]]</f>
        <v>#VALUE!</v>
      </c>
      <c r="H408" s="202"/>
      <c r="I408" s="316" t="e">
        <f>IF(Backlog[[#This Row],[Fecha Requerida en Producción]]="","",Backlog[[#This Row],[Fecha Requerida en Producción]])</f>
        <v>#VALUE!</v>
      </c>
      <c r="J408" s="207"/>
      <c r="K408" s="207"/>
      <c r="L408" s="207"/>
      <c r="M408" s="207"/>
      <c r="N408" s="248"/>
      <c r="O408" s="248"/>
      <c r="P408" s="248"/>
      <c r="Q408" s="248"/>
    </row>
    <row r="409" spans="1:17" ht="15.75" hidden="1" customHeight="1">
      <c r="A409" s="274"/>
      <c r="B409" s="212"/>
      <c r="C409" s="202" t="e">
        <f>#REF!</f>
        <v>#REF!</v>
      </c>
      <c r="D409" s="202"/>
      <c r="E409" s="214"/>
      <c r="F409" s="202"/>
      <c r="G409" s="234" t="e">
        <f>Backlog[[#This Row],[OP]]</f>
        <v>#VALUE!</v>
      </c>
      <c r="H409" s="202"/>
      <c r="I409" s="316" t="e">
        <f>IF(Backlog[[#This Row],[Fecha Requerida en Producción]]="","",Backlog[[#This Row],[Fecha Requerida en Producción]])</f>
        <v>#VALUE!</v>
      </c>
      <c r="J409" s="207"/>
      <c r="K409" s="207"/>
      <c r="L409" s="207"/>
      <c r="M409" s="207"/>
      <c r="N409" s="248"/>
      <c r="O409" s="248"/>
      <c r="P409" s="248"/>
      <c r="Q409" s="248"/>
    </row>
    <row r="410" spans="1:17" ht="15.75" hidden="1" customHeight="1">
      <c r="A410" s="274"/>
      <c r="B410" s="212"/>
      <c r="C410" s="202" t="e">
        <f>#REF!</f>
        <v>#REF!</v>
      </c>
      <c r="D410" s="202"/>
      <c r="E410" s="214"/>
      <c r="F410" s="202"/>
      <c r="G410" s="234" t="e">
        <f>Backlog[[#This Row],[OP]]</f>
        <v>#VALUE!</v>
      </c>
      <c r="H410" s="202"/>
      <c r="I410" s="316" t="e">
        <f>IF(Backlog[[#This Row],[Fecha Requerida en Producción]]="","",Backlog[[#This Row],[Fecha Requerida en Producción]])</f>
        <v>#VALUE!</v>
      </c>
      <c r="J410" s="207"/>
      <c r="K410" s="207"/>
      <c r="L410" s="207"/>
      <c r="M410" s="207"/>
      <c r="N410" s="248"/>
      <c r="O410" s="248"/>
      <c r="P410" s="248"/>
      <c r="Q410" s="248"/>
    </row>
    <row r="411" spans="1:17" ht="15.75" hidden="1" customHeight="1">
      <c r="A411" s="274"/>
      <c r="B411" s="212"/>
      <c r="C411" s="202" t="e">
        <f>#REF!</f>
        <v>#REF!</v>
      </c>
      <c r="D411" s="202"/>
      <c r="E411" s="214"/>
      <c r="F411" s="202"/>
      <c r="G411" s="234" t="e">
        <f>Backlog[[#This Row],[OP]]</f>
        <v>#VALUE!</v>
      </c>
      <c r="H411" s="202"/>
      <c r="I411" s="316" t="e">
        <f>IF(Backlog[[#This Row],[Fecha Requerida en Producción]]="","",Backlog[[#This Row],[Fecha Requerida en Producción]])</f>
        <v>#VALUE!</v>
      </c>
      <c r="J411" s="207"/>
      <c r="K411" s="207"/>
      <c r="L411" s="207"/>
      <c r="M411" s="207"/>
      <c r="N411" s="248"/>
      <c r="O411" s="248"/>
      <c r="P411" s="248"/>
      <c r="Q411" s="248"/>
    </row>
    <row r="412" spans="1:17" ht="15.75" hidden="1" customHeight="1">
      <c r="A412" s="274"/>
      <c r="B412" s="212"/>
      <c r="C412" s="202" t="e">
        <f>#REF!</f>
        <v>#REF!</v>
      </c>
      <c r="D412" s="202"/>
      <c r="E412" s="214"/>
      <c r="F412" s="202"/>
      <c r="G412" s="234" t="e">
        <f>Backlog[[#This Row],[OP]]</f>
        <v>#VALUE!</v>
      </c>
      <c r="H412" s="202"/>
      <c r="I412" s="316" t="e">
        <f>IF(Backlog[[#This Row],[Fecha Requerida en Producción]]="","",Backlog[[#This Row],[Fecha Requerida en Producción]])</f>
        <v>#VALUE!</v>
      </c>
      <c r="J412" s="207"/>
      <c r="K412" s="207"/>
      <c r="L412" s="207"/>
      <c r="M412" s="207"/>
      <c r="N412" s="248"/>
      <c r="O412" s="248"/>
      <c r="P412" s="248"/>
      <c r="Q412" s="248"/>
    </row>
    <row r="413" spans="1:17" ht="15.75" hidden="1" customHeight="1">
      <c r="A413" s="274"/>
      <c r="B413" s="212"/>
      <c r="C413" s="202" t="e">
        <f>#REF!</f>
        <v>#REF!</v>
      </c>
      <c r="D413" s="202"/>
      <c r="E413" s="214"/>
      <c r="F413" s="202"/>
      <c r="G413" s="234" t="e">
        <f>Backlog[[#This Row],[OP]]</f>
        <v>#VALUE!</v>
      </c>
      <c r="H413" s="202"/>
      <c r="I413" s="316" t="e">
        <f>IF(Backlog[[#This Row],[Fecha Requerida en Producción]]="","",Backlog[[#This Row],[Fecha Requerida en Producción]])</f>
        <v>#VALUE!</v>
      </c>
      <c r="J413" s="207"/>
      <c r="K413" s="207"/>
      <c r="L413" s="207"/>
      <c r="M413" s="207"/>
      <c r="N413" s="248"/>
      <c r="O413" s="248"/>
      <c r="P413" s="248"/>
      <c r="Q413" s="248"/>
    </row>
    <row r="414" spans="1:17" ht="15.75" hidden="1" customHeight="1">
      <c r="A414" s="274"/>
      <c r="B414" s="212"/>
      <c r="C414" s="202" t="e">
        <f>#REF!</f>
        <v>#REF!</v>
      </c>
      <c r="D414" s="202"/>
      <c r="E414" s="214"/>
      <c r="F414" s="202"/>
      <c r="G414" s="234" t="e">
        <f>Backlog[[#This Row],[OP]]</f>
        <v>#VALUE!</v>
      </c>
      <c r="H414" s="202"/>
      <c r="I414" s="316" t="e">
        <f>IF(Backlog[[#This Row],[Fecha Requerida en Producción]]="","",Backlog[[#This Row],[Fecha Requerida en Producción]])</f>
        <v>#VALUE!</v>
      </c>
      <c r="J414" s="207"/>
      <c r="K414" s="207"/>
      <c r="L414" s="207"/>
      <c r="M414" s="207"/>
      <c r="N414" s="248"/>
      <c r="O414" s="248"/>
      <c r="P414" s="248"/>
      <c r="Q414" s="248"/>
    </row>
    <row r="415" spans="1:17" ht="15.75" hidden="1" customHeight="1">
      <c r="A415" s="274"/>
      <c r="B415" s="212"/>
      <c r="C415" s="202" t="e">
        <f>#REF!</f>
        <v>#REF!</v>
      </c>
      <c r="D415" s="202"/>
      <c r="E415" s="214"/>
      <c r="F415" s="202"/>
      <c r="G415" s="234" t="e">
        <f>Backlog[[#This Row],[OP]]</f>
        <v>#VALUE!</v>
      </c>
      <c r="H415" s="202"/>
      <c r="I415" s="316" t="e">
        <f>IF(Backlog[[#This Row],[Fecha Requerida en Producción]]="","",Backlog[[#This Row],[Fecha Requerida en Producción]])</f>
        <v>#VALUE!</v>
      </c>
      <c r="J415" s="207"/>
      <c r="K415" s="207"/>
      <c r="L415" s="207"/>
      <c r="M415" s="207"/>
      <c r="N415" s="248"/>
      <c r="O415" s="248"/>
      <c r="P415" s="248"/>
      <c r="Q415" s="248"/>
    </row>
    <row r="416" spans="1:17" ht="15.75" hidden="1" customHeight="1">
      <c r="A416" s="274"/>
      <c r="B416" s="212"/>
      <c r="C416" s="202" t="e">
        <f>#REF!</f>
        <v>#REF!</v>
      </c>
      <c r="D416" s="202"/>
      <c r="E416" s="214"/>
      <c r="F416" s="202"/>
      <c r="G416" s="234" t="e">
        <f>Backlog[[#This Row],[OP]]</f>
        <v>#VALUE!</v>
      </c>
      <c r="H416" s="202"/>
      <c r="I416" s="316" t="e">
        <f>IF(Backlog[[#This Row],[Fecha Requerida en Producción]]="","",Backlog[[#This Row],[Fecha Requerida en Producción]])</f>
        <v>#VALUE!</v>
      </c>
      <c r="J416" s="207"/>
      <c r="K416" s="207"/>
      <c r="L416" s="207"/>
      <c r="M416" s="207"/>
      <c r="N416" s="248"/>
      <c r="O416" s="248"/>
      <c r="P416" s="248"/>
      <c r="Q416" s="248"/>
    </row>
    <row r="417" spans="1:17" ht="15.75" hidden="1" customHeight="1">
      <c r="A417" s="274"/>
      <c r="B417" s="212"/>
      <c r="C417" s="202" t="e">
        <f>#REF!</f>
        <v>#REF!</v>
      </c>
      <c r="D417" s="202"/>
      <c r="E417" s="214"/>
      <c r="F417" s="202"/>
      <c r="G417" s="234" t="e">
        <f>Backlog[[#This Row],[OP]]</f>
        <v>#VALUE!</v>
      </c>
      <c r="H417" s="202"/>
      <c r="I417" s="316" t="e">
        <f>IF(Backlog[[#This Row],[Fecha Requerida en Producción]]="","",Backlog[[#This Row],[Fecha Requerida en Producción]])</f>
        <v>#VALUE!</v>
      </c>
      <c r="J417" s="207"/>
      <c r="K417" s="207"/>
      <c r="L417" s="207"/>
      <c r="M417" s="207"/>
      <c r="N417" s="248"/>
      <c r="O417" s="248"/>
      <c r="P417" s="248"/>
      <c r="Q417" s="248"/>
    </row>
    <row r="418" spans="1:17" ht="15.75" hidden="1" customHeight="1">
      <c r="A418" s="274"/>
      <c r="B418" s="212"/>
      <c r="C418" s="202" t="e">
        <f>#REF!</f>
        <v>#REF!</v>
      </c>
      <c r="D418" s="202"/>
      <c r="E418" s="214"/>
      <c r="F418" s="202"/>
      <c r="G418" s="234" t="e">
        <f>Backlog[[#This Row],[OP]]</f>
        <v>#VALUE!</v>
      </c>
      <c r="H418" s="202"/>
      <c r="I418" s="316" t="e">
        <f>IF(Backlog[[#This Row],[Fecha Requerida en Producción]]="","",Backlog[[#This Row],[Fecha Requerida en Producción]])</f>
        <v>#VALUE!</v>
      </c>
      <c r="J418" s="207"/>
      <c r="K418" s="207"/>
      <c r="L418" s="207"/>
      <c r="M418" s="207"/>
      <c r="N418" s="248"/>
      <c r="O418" s="248"/>
      <c r="P418" s="248"/>
      <c r="Q418" s="248"/>
    </row>
    <row r="419" spans="1:17" ht="15.75" hidden="1" customHeight="1">
      <c r="A419" s="274"/>
      <c r="B419" s="212"/>
      <c r="C419" s="202" t="e">
        <f>#REF!</f>
        <v>#REF!</v>
      </c>
      <c r="D419" s="202"/>
      <c r="E419" s="214"/>
      <c r="F419" s="202"/>
      <c r="G419" s="234" t="e">
        <f>Backlog[[#This Row],[OP]]</f>
        <v>#VALUE!</v>
      </c>
      <c r="H419" s="202"/>
      <c r="I419" s="316" t="e">
        <f>IF(Backlog[[#This Row],[Fecha Requerida en Producción]]="","",Backlog[[#This Row],[Fecha Requerida en Producción]])</f>
        <v>#VALUE!</v>
      </c>
      <c r="J419" s="207"/>
      <c r="K419" s="207"/>
      <c r="L419" s="207"/>
      <c r="M419" s="207"/>
      <c r="N419" s="248"/>
      <c r="O419" s="248"/>
      <c r="P419" s="248"/>
      <c r="Q419" s="248"/>
    </row>
    <row r="420" spans="1:17" ht="15.75" hidden="1" customHeight="1">
      <c r="A420" s="274"/>
      <c r="B420" s="212"/>
      <c r="C420" s="202" t="e">
        <f>#REF!</f>
        <v>#REF!</v>
      </c>
      <c r="D420" s="202"/>
      <c r="E420" s="214"/>
      <c r="F420" s="202"/>
      <c r="G420" s="234" t="e">
        <f>Backlog[[#This Row],[OP]]</f>
        <v>#VALUE!</v>
      </c>
      <c r="H420" s="202"/>
      <c r="I420" s="316" t="e">
        <f>IF(Backlog[[#This Row],[Fecha Requerida en Producción]]="","",Backlog[[#This Row],[Fecha Requerida en Producción]])</f>
        <v>#VALUE!</v>
      </c>
      <c r="J420" s="207"/>
      <c r="K420" s="207"/>
      <c r="L420" s="207"/>
      <c r="M420" s="207"/>
      <c r="N420" s="248"/>
      <c r="O420" s="248"/>
      <c r="P420" s="248"/>
      <c r="Q420" s="248"/>
    </row>
    <row r="421" spans="1:17" ht="15.75" hidden="1" customHeight="1">
      <c r="A421" s="274"/>
      <c r="B421" s="212"/>
      <c r="C421" s="202" t="e">
        <f>#REF!</f>
        <v>#REF!</v>
      </c>
      <c r="D421" s="202"/>
      <c r="E421" s="214"/>
      <c r="F421" s="202"/>
      <c r="G421" s="234" t="e">
        <f>Backlog[[#This Row],[OP]]</f>
        <v>#VALUE!</v>
      </c>
      <c r="H421" s="202"/>
      <c r="I421" s="316" t="e">
        <f>IF(Backlog[[#This Row],[Fecha Requerida en Producción]]="","",Backlog[[#This Row],[Fecha Requerida en Producción]])</f>
        <v>#VALUE!</v>
      </c>
      <c r="J421" s="207"/>
      <c r="K421" s="207"/>
      <c r="L421" s="207"/>
      <c r="M421" s="207"/>
      <c r="N421" s="248"/>
      <c r="O421" s="248"/>
      <c r="P421" s="248"/>
      <c r="Q421" s="248"/>
    </row>
    <row r="422" spans="1:17" ht="15.75" hidden="1" customHeight="1">
      <c r="A422" s="274"/>
      <c r="B422" s="212"/>
      <c r="C422" s="202" t="e">
        <f>#REF!</f>
        <v>#REF!</v>
      </c>
      <c r="D422" s="202"/>
      <c r="E422" s="214"/>
      <c r="F422" s="202"/>
      <c r="G422" s="234" t="e">
        <f>Backlog[[#This Row],[OP]]</f>
        <v>#VALUE!</v>
      </c>
      <c r="H422" s="202"/>
      <c r="I422" s="316" t="e">
        <f>IF(Backlog[[#This Row],[Fecha Requerida en Producción]]="","",Backlog[[#This Row],[Fecha Requerida en Producción]])</f>
        <v>#VALUE!</v>
      </c>
      <c r="J422" s="207"/>
      <c r="K422" s="207"/>
      <c r="L422" s="207"/>
      <c r="M422" s="207"/>
      <c r="N422" s="248"/>
      <c r="O422" s="248"/>
      <c r="P422" s="248"/>
      <c r="Q422" s="248"/>
    </row>
    <row r="423" spans="1:17" ht="15.75" hidden="1" customHeight="1">
      <c r="A423" s="274"/>
      <c r="B423" s="212"/>
      <c r="C423" s="202" t="e">
        <f>#REF!</f>
        <v>#REF!</v>
      </c>
      <c r="D423" s="202"/>
      <c r="E423" s="214"/>
      <c r="F423" s="202"/>
      <c r="G423" s="234" t="e">
        <f>Backlog[[#This Row],[OP]]</f>
        <v>#VALUE!</v>
      </c>
      <c r="H423" s="202"/>
      <c r="I423" s="316" t="e">
        <f>IF(Backlog[[#This Row],[Fecha Requerida en Producción]]="","",Backlog[[#This Row],[Fecha Requerida en Producción]])</f>
        <v>#VALUE!</v>
      </c>
      <c r="J423" s="207"/>
      <c r="K423" s="207"/>
      <c r="L423" s="207"/>
      <c r="M423" s="207"/>
      <c r="N423" s="248"/>
      <c r="O423" s="248"/>
      <c r="P423" s="248"/>
      <c r="Q423" s="248"/>
    </row>
    <row r="424" spans="1:17" ht="15.75" hidden="1" customHeight="1">
      <c r="A424" s="274"/>
      <c r="B424" s="212"/>
      <c r="C424" s="202" t="e">
        <f>#REF!</f>
        <v>#REF!</v>
      </c>
      <c r="D424" s="202"/>
      <c r="E424" s="214"/>
      <c r="F424" s="202"/>
      <c r="G424" s="234" t="e">
        <f>Backlog[[#This Row],[OP]]</f>
        <v>#VALUE!</v>
      </c>
      <c r="H424" s="202"/>
      <c r="I424" s="316" t="e">
        <f>IF(Backlog[[#This Row],[Fecha Requerida en Producción]]="","",Backlog[[#This Row],[Fecha Requerida en Producción]])</f>
        <v>#VALUE!</v>
      </c>
      <c r="J424" s="207"/>
      <c r="K424" s="207"/>
      <c r="L424" s="207"/>
      <c r="M424" s="207"/>
      <c r="N424" s="248"/>
      <c r="O424" s="248"/>
      <c r="P424" s="248"/>
      <c r="Q424" s="248"/>
    </row>
    <row r="425" spans="1:17" ht="15.75" hidden="1" customHeight="1">
      <c r="A425" s="274"/>
      <c r="B425" s="212"/>
      <c r="C425" s="202" t="e">
        <f>#REF!</f>
        <v>#REF!</v>
      </c>
      <c r="D425" s="202"/>
      <c r="E425" s="214"/>
      <c r="F425" s="202"/>
      <c r="G425" s="234" t="e">
        <f>Backlog[[#This Row],[OP]]</f>
        <v>#VALUE!</v>
      </c>
      <c r="H425" s="202"/>
      <c r="I425" s="316" t="e">
        <f>IF(Backlog[[#This Row],[Fecha Requerida en Producción]]="","",Backlog[[#This Row],[Fecha Requerida en Producción]])</f>
        <v>#VALUE!</v>
      </c>
      <c r="J425" s="207"/>
      <c r="K425" s="207"/>
      <c r="L425" s="207"/>
      <c r="M425" s="207"/>
      <c r="N425" s="248"/>
      <c r="O425" s="248"/>
      <c r="P425" s="248"/>
      <c r="Q425" s="248"/>
    </row>
    <row r="426" spans="1:17" ht="15.75" hidden="1" customHeight="1">
      <c r="A426" s="274"/>
      <c r="B426" s="212"/>
      <c r="C426" s="202" t="e">
        <f>#REF!</f>
        <v>#REF!</v>
      </c>
      <c r="D426" s="202"/>
      <c r="E426" s="214"/>
      <c r="F426" s="202"/>
      <c r="G426" s="234" t="e">
        <f>Backlog[[#This Row],[OP]]</f>
        <v>#VALUE!</v>
      </c>
      <c r="H426" s="202"/>
      <c r="I426" s="316" t="e">
        <f>IF(Backlog[[#This Row],[Fecha Requerida en Producción]]="","",Backlog[[#This Row],[Fecha Requerida en Producción]])</f>
        <v>#VALUE!</v>
      </c>
      <c r="J426" s="207"/>
      <c r="K426" s="207"/>
      <c r="L426" s="207"/>
      <c r="M426" s="207"/>
      <c r="N426" s="248"/>
      <c r="O426" s="248"/>
      <c r="P426" s="248"/>
      <c r="Q426" s="248"/>
    </row>
    <row r="427" spans="1:17" ht="15.75" hidden="1" customHeight="1">
      <c r="A427" s="274"/>
      <c r="B427" s="212"/>
      <c r="C427" s="202" t="e">
        <f>#REF!</f>
        <v>#REF!</v>
      </c>
      <c r="D427" s="202"/>
      <c r="E427" s="214"/>
      <c r="F427" s="202"/>
      <c r="G427" s="234" t="e">
        <f>Backlog[[#This Row],[OP]]</f>
        <v>#VALUE!</v>
      </c>
      <c r="H427" s="202"/>
      <c r="I427" s="316" t="e">
        <f>IF(Backlog[[#This Row],[Fecha Requerida en Producción]]="","",Backlog[[#This Row],[Fecha Requerida en Producción]])</f>
        <v>#VALUE!</v>
      </c>
      <c r="J427" s="207"/>
      <c r="K427" s="207"/>
      <c r="L427" s="207"/>
      <c r="M427" s="207"/>
      <c r="N427" s="248"/>
      <c r="O427" s="248"/>
      <c r="P427" s="248"/>
      <c r="Q427" s="248"/>
    </row>
    <row r="428" spans="1:17" ht="15.75" hidden="1" customHeight="1">
      <c r="A428" s="274"/>
      <c r="B428" s="212"/>
      <c r="C428" s="202" t="e">
        <f>#REF!</f>
        <v>#REF!</v>
      </c>
      <c r="D428" s="202"/>
      <c r="E428" s="214"/>
      <c r="F428" s="202"/>
      <c r="G428" s="234" t="e">
        <f>Backlog[[#This Row],[OP]]</f>
        <v>#VALUE!</v>
      </c>
      <c r="H428" s="202"/>
      <c r="I428" s="316" t="e">
        <f>IF(Backlog[[#This Row],[Fecha Requerida en Producción]]="","",Backlog[[#This Row],[Fecha Requerida en Producción]])</f>
        <v>#VALUE!</v>
      </c>
      <c r="J428" s="207"/>
      <c r="K428" s="207"/>
      <c r="L428" s="207"/>
      <c r="M428" s="207"/>
      <c r="N428" s="248"/>
      <c r="O428" s="248"/>
      <c r="P428" s="248"/>
      <c r="Q428" s="248"/>
    </row>
    <row r="429" spans="1:17" ht="15.75" hidden="1" customHeight="1">
      <c r="A429" s="274"/>
      <c r="B429" s="212"/>
      <c r="C429" s="202" t="e">
        <f>#REF!</f>
        <v>#REF!</v>
      </c>
      <c r="D429" s="202"/>
      <c r="E429" s="214"/>
      <c r="F429" s="202"/>
      <c r="G429" s="234" t="e">
        <f>Backlog[[#This Row],[OP]]</f>
        <v>#VALUE!</v>
      </c>
      <c r="H429" s="202"/>
      <c r="I429" s="316" t="e">
        <f>IF(Backlog[[#This Row],[Fecha Requerida en Producción]]="","",Backlog[[#This Row],[Fecha Requerida en Producción]])</f>
        <v>#VALUE!</v>
      </c>
      <c r="J429" s="207"/>
      <c r="K429" s="207"/>
      <c r="L429" s="207"/>
      <c r="M429" s="207"/>
      <c r="N429" s="248"/>
      <c r="O429" s="248"/>
      <c r="P429" s="248"/>
      <c r="Q429" s="248"/>
    </row>
    <row r="430" spans="1:17" ht="15.75" hidden="1" customHeight="1">
      <c r="A430" s="274"/>
      <c r="B430" s="212"/>
      <c r="C430" s="202" t="e">
        <f>#REF!</f>
        <v>#REF!</v>
      </c>
      <c r="D430" s="202"/>
      <c r="E430" s="214"/>
      <c r="F430" s="202"/>
      <c r="G430" s="234" t="e">
        <f>Backlog[[#This Row],[OP]]</f>
        <v>#VALUE!</v>
      </c>
      <c r="H430" s="202"/>
      <c r="I430" s="316" t="e">
        <f>IF(Backlog[[#This Row],[Fecha Requerida en Producción]]="","",Backlog[[#This Row],[Fecha Requerida en Producción]])</f>
        <v>#VALUE!</v>
      </c>
      <c r="J430" s="207"/>
      <c r="K430" s="207"/>
      <c r="L430" s="207"/>
      <c r="M430" s="207"/>
      <c r="N430" s="248"/>
      <c r="O430" s="248"/>
      <c r="P430" s="248"/>
      <c r="Q430" s="248"/>
    </row>
    <row r="431" spans="1:17" ht="15.75" hidden="1" customHeight="1">
      <c r="A431" s="274"/>
      <c r="B431" s="212"/>
      <c r="C431" s="202" t="e">
        <f>#REF!</f>
        <v>#REF!</v>
      </c>
      <c r="D431" s="202"/>
      <c r="E431" s="214"/>
      <c r="F431" s="202"/>
      <c r="G431" s="234" t="e">
        <f>Backlog[[#This Row],[OP]]</f>
        <v>#VALUE!</v>
      </c>
      <c r="H431" s="202"/>
      <c r="I431" s="316" t="e">
        <f>IF(Backlog[[#This Row],[Fecha Requerida en Producción]]="","",Backlog[[#This Row],[Fecha Requerida en Producción]])</f>
        <v>#VALUE!</v>
      </c>
      <c r="J431" s="207"/>
      <c r="K431" s="207"/>
      <c r="L431" s="207"/>
      <c r="M431" s="207"/>
      <c r="N431" s="248"/>
      <c r="O431" s="248"/>
      <c r="P431" s="248"/>
      <c r="Q431" s="248"/>
    </row>
    <row r="432" spans="1:17" ht="15.75" hidden="1" customHeight="1">
      <c r="A432" s="274"/>
      <c r="B432" s="212"/>
      <c r="C432" s="202" t="e">
        <f>#REF!</f>
        <v>#REF!</v>
      </c>
      <c r="D432" s="202"/>
      <c r="E432" s="214"/>
      <c r="F432" s="202"/>
      <c r="G432" s="234" t="e">
        <f>Backlog[[#This Row],[OP]]</f>
        <v>#VALUE!</v>
      </c>
      <c r="H432" s="202"/>
      <c r="I432" s="316" t="e">
        <f>IF(Backlog[[#This Row],[Fecha Requerida en Producción]]="","",Backlog[[#This Row],[Fecha Requerida en Producción]])</f>
        <v>#VALUE!</v>
      </c>
      <c r="J432" s="207"/>
      <c r="K432" s="207"/>
      <c r="L432" s="207"/>
      <c r="M432" s="207"/>
      <c r="N432" s="248"/>
      <c r="O432" s="248"/>
      <c r="P432" s="248"/>
      <c r="Q432" s="248"/>
    </row>
    <row r="433" spans="1:17" ht="15.75" hidden="1" customHeight="1">
      <c r="A433" s="274"/>
      <c r="B433" s="212"/>
      <c r="C433" s="202" t="e">
        <f>#REF!</f>
        <v>#REF!</v>
      </c>
      <c r="D433" s="202"/>
      <c r="E433" s="214"/>
      <c r="F433" s="202"/>
      <c r="G433" s="234" t="e">
        <f>Backlog[[#This Row],[OP]]</f>
        <v>#VALUE!</v>
      </c>
      <c r="H433" s="202"/>
      <c r="I433" s="316" t="e">
        <f>IF(Backlog[[#This Row],[Fecha Requerida en Producción]]="","",Backlog[[#This Row],[Fecha Requerida en Producción]])</f>
        <v>#VALUE!</v>
      </c>
      <c r="J433" s="207"/>
      <c r="K433" s="207"/>
      <c r="L433" s="207"/>
      <c r="M433" s="207"/>
      <c r="N433" s="248"/>
      <c r="O433" s="248"/>
      <c r="P433" s="248"/>
      <c r="Q433" s="248"/>
    </row>
    <row r="434" spans="1:17" ht="15.75" hidden="1" customHeight="1">
      <c r="A434" s="274"/>
      <c r="B434" s="212"/>
      <c r="C434" s="202" t="e">
        <f>#REF!</f>
        <v>#REF!</v>
      </c>
      <c r="D434" s="202"/>
      <c r="E434" s="214"/>
      <c r="F434" s="202"/>
      <c r="G434" s="234" t="e">
        <f>Backlog[[#This Row],[OP]]</f>
        <v>#VALUE!</v>
      </c>
      <c r="H434" s="202"/>
      <c r="I434" s="316" t="e">
        <f>IF(Backlog[[#This Row],[Fecha Requerida en Producción]]="","",Backlog[[#This Row],[Fecha Requerida en Producción]])</f>
        <v>#VALUE!</v>
      </c>
      <c r="J434" s="207"/>
      <c r="K434" s="207"/>
      <c r="L434" s="207"/>
      <c r="M434" s="207"/>
      <c r="N434" s="248"/>
      <c r="O434" s="248"/>
      <c r="P434" s="248"/>
      <c r="Q434" s="248"/>
    </row>
    <row r="435" spans="1:17" ht="15.75" hidden="1" customHeight="1">
      <c r="A435" s="274"/>
      <c r="B435" s="212"/>
      <c r="C435" s="202" t="e">
        <f>#REF!</f>
        <v>#REF!</v>
      </c>
      <c r="D435" s="202"/>
      <c r="E435" s="214"/>
      <c r="F435" s="202"/>
      <c r="G435" s="234" t="e">
        <f>Backlog[[#This Row],[OP]]</f>
        <v>#VALUE!</v>
      </c>
      <c r="H435" s="202"/>
      <c r="I435" s="316" t="e">
        <f>IF(Backlog[[#This Row],[Fecha Requerida en Producción]]="","",Backlog[[#This Row],[Fecha Requerida en Producción]])</f>
        <v>#VALUE!</v>
      </c>
      <c r="J435" s="207"/>
      <c r="K435" s="207"/>
      <c r="L435" s="207"/>
      <c r="M435" s="207"/>
      <c r="N435" s="248"/>
      <c r="O435" s="248"/>
      <c r="P435" s="248"/>
      <c r="Q435" s="248"/>
    </row>
    <row r="436" spans="1:17" ht="15.75" hidden="1" customHeight="1">
      <c r="A436" s="274"/>
      <c r="B436" s="212"/>
      <c r="C436" s="202" t="e">
        <f>#REF!</f>
        <v>#REF!</v>
      </c>
      <c r="D436" s="202"/>
      <c r="E436" s="214"/>
      <c r="F436" s="202"/>
      <c r="G436" s="234" t="e">
        <f>Backlog[[#This Row],[OP]]</f>
        <v>#VALUE!</v>
      </c>
      <c r="H436" s="202"/>
      <c r="I436" s="316" t="e">
        <f>IF(Backlog[[#This Row],[Fecha Requerida en Producción]]="","",Backlog[[#This Row],[Fecha Requerida en Producción]])</f>
        <v>#VALUE!</v>
      </c>
      <c r="J436" s="207"/>
      <c r="K436" s="207"/>
      <c r="L436" s="207"/>
      <c r="M436" s="207"/>
      <c r="N436" s="248"/>
      <c r="O436" s="248"/>
      <c r="P436" s="248"/>
      <c r="Q436" s="248"/>
    </row>
    <row r="437" spans="1:17" ht="15.75" hidden="1" customHeight="1">
      <c r="A437" s="274"/>
      <c r="B437" s="212"/>
      <c r="C437" s="202" t="e">
        <f>#REF!</f>
        <v>#REF!</v>
      </c>
      <c r="D437" s="202"/>
      <c r="E437" s="214"/>
      <c r="F437" s="202"/>
      <c r="G437" s="234" t="e">
        <f>Backlog[[#This Row],[OP]]</f>
        <v>#VALUE!</v>
      </c>
      <c r="H437" s="202"/>
      <c r="I437" s="316" t="e">
        <f>IF(Backlog[[#This Row],[Fecha Requerida en Producción]]="","",Backlog[[#This Row],[Fecha Requerida en Producción]])</f>
        <v>#VALUE!</v>
      </c>
      <c r="J437" s="207"/>
      <c r="K437" s="207"/>
      <c r="L437" s="207"/>
      <c r="M437" s="207"/>
      <c r="N437" s="248"/>
      <c r="O437" s="248"/>
      <c r="P437" s="248"/>
      <c r="Q437" s="248"/>
    </row>
    <row r="438" spans="1:17" ht="15.75" hidden="1" customHeight="1">
      <c r="A438" s="274"/>
      <c r="B438" s="212"/>
      <c r="C438" s="202" t="e">
        <f>#REF!</f>
        <v>#REF!</v>
      </c>
      <c r="D438" s="202"/>
      <c r="E438" s="214"/>
      <c r="F438" s="202"/>
      <c r="G438" s="234" t="e">
        <f>Backlog[[#This Row],[OP]]</f>
        <v>#VALUE!</v>
      </c>
      <c r="H438" s="202"/>
      <c r="I438" s="316" t="e">
        <f>IF(Backlog[[#This Row],[Fecha Requerida en Producción]]="","",Backlog[[#This Row],[Fecha Requerida en Producción]])</f>
        <v>#VALUE!</v>
      </c>
      <c r="J438" s="207"/>
      <c r="K438" s="207"/>
      <c r="L438" s="207"/>
      <c r="M438" s="207"/>
      <c r="N438" s="248"/>
      <c r="O438" s="248"/>
      <c r="P438" s="248"/>
      <c r="Q438" s="248"/>
    </row>
    <row r="439" spans="1:17" ht="15.75" hidden="1" customHeight="1">
      <c r="A439" s="274"/>
      <c r="B439" s="212"/>
      <c r="C439" s="202" t="e">
        <f>#REF!</f>
        <v>#REF!</v>
      </c>
      <c r="D439" s="202"/>
      <c r="E439" s="214"/>
      <c r="F439" s="202"/>
      <c r="G439" s="234" t="e">
        <f>Backlog[[#This Row],[OP]]</f>
        <v>#VALUE!</v>
      </c>
      <c r="H439" s="202"/>
      <c r="I439" s="316" t="e">
        <f>IF(Backlog[[#This Row],[Fecha Requerida en Producción]]="","",Backlog[[#This Row],[Fecha Requerida en Producción]])</f>
        <v>#VALUE!</v>
      </c>
      <c r="J439" s="207"/>
      <c r="K439" s="207"/>
      <c r="L439" s="207"/>
      <c r="M439" s="207"/>
      <c r="N439" s="248"/>
      <c r="O439" s="248"/>
      <c r="P439" s="248"/>
      <c r="Q439" s="248"/>
    </row>
    <row r="440" spans="1:17" ht="15.75" hidden="1" customHeight="1">
      <c r="A440" s="274"/>
      <c r="B440" s="212"/>
      <c r="C440" s="202" t="e">
        <f>#REF!</f>
        <v>#REF!</v>
      </c>
      <c r="D440" s="202"/>
      <c r="E440" s="214"/>
      <c r="F440" s="202"/>
      <c r="G440" s="234" t="e">
        <f>Backlog[[#This Row],[OP]]</f>
        <v>#VALUE!</v>
      </c>
      <c r="H440" s="202"/>
      <c r="I440" s="316" t="e">
        <f>IF(Backlog[[#This Row],[Fecha Requerida en Producción]]="","",Backlog[[#This Row],[Fecha Requerida en Producción]])</f>
        <v>#VALUE!</v>
      </c>
      <c r="J440" s="207"/>
      <c r="K440" s="207"/>
      <c r="L440" s="207"/>
      <c r="M440" s="207"/>
      <c r="N440" s="248"/>
      <c r="O440" s="248"/>
      <c r="P440" s="248"/>
      <c r="Q440" s="248"/>
    </row>
    <row r="441" spans="1:17" ht="15.75" hidden="1" customHeight="1">
      <c r="A441" s="274"/>
      <c r="B441" s="212"/>
      <c r="C441" s="202" t="e">
        <f>#REF!</f>
        <v>#REF!</v>
      </c>
      <c r="D441" s="202"/>
      <c r="E441" s="214"/>
      <c r="F441" s="202"/>
      <c r="G441" s="234" t="e">
        <f>Backlog[[#This Row],[OP]]</f>
        <v>#VALUE!</v>
      </c>
      <c r="H441" s="202"/>
      <c r="I441" s="316" t="e">
        <f>IF(Backlog[[#This Row],[Fecha Requerida en Producción]]="","",Backlog[[#This Row],[Fecha Requerida en Producción]])</f>
        <v>#VALUE!</v>
      </c>
      <c r="J441" s="207"/>
      <c r="K441" s="207"/>
      <c r="L441" s="207"/>
      <c r="M441" s="207"/>
      <c r="N441" s="248"/>
      <c r="O441" s="248"/>
      <c r="P441" s="248"/>
      <c r="Q441" s="248"/>
    </row>
    <row r="442" spans="1:17" ht="15.75" hidden="1" customHeight="1">
      <c r="A442" s="274"/>
      <c r="B442" s="212"/>
      <c r="C442" s="202" t="e">
        <f>#REF!</f>
        <v>#REF!</v>
      </c>
      <c r="D442" s="202"/>
      <c r="E442" s="214"/>
      <c r="F442" s="202"/>
      <c r="G442" s="234" t="e">
        <f>Backlog[[#This Row],[OP]]</f>
        <v>#VALUE!</v>
      </c>
      <c r="H442" s="202"/>
      <c r="I442" s="316" t="e">
        <f>IF(Backlog[[#This Row],[Fecha Requerida en Producción]]="","",Backlog[[#This Row],[Fecha Requerida en Producción]])</f>
        <v>#VALUE!</v>
      </c>
      <c r="J442" s="207"/>
      <c r="K442" s="207"/>
      <c r="L442" s="207"/>
      <c r="M442" s="207"/>
      <c r="N442" s="248"/>
      <c r="O442" s="248"/>
      <c r="P442" s="248"/>
      <c r="Q442" s="248"/>
    </row>
    <row r="443" spans="1:17" ht="15.75" hidden="1" customHeight="1">
      <c r="A443" s="274"/>
      <c r="B443" s="212"/>
      <c r="C443" s="202" t="e">
        <f>#REF!</f>
        <v>#REF!</v>
      </c>
      <c r="D443" s="202"/>
      <c r="E443" s="214"/>
      <c r="F443" s="202"/>
      <c r="G443" s="234" t="e">
        <f>Backlog[[#This Row],[OP]]</f>
        <v>#VALUE!</v>
      </c>
      <c r="H443" s="202"/>
      <c r="I443" s="316" t="e">
        <f>IF(Backlog[[#This Row],[Fecha Requerida en Producción]]="","",Backlog[[#This Row],[Fecha Requerida en Producción]])</f>
        <v>#VALUE!</v>
      </c>
      <c r="J443" s="207"/>
      <c r="K443" s="207"/>
      <c r="L443" s="207"/>
      <c r="M443" s="207"/>
      <c r="N443" s="248"/>
      <c r="O443" s="248"/>
      <c r="P443" s="248"/>
      <c r="Q443" s="248"/>
    </row>
    <row r="444" spans="1:17" ht="15.75" hidden="1" customHeight="1">
      <c r="A444" s="274"/>
      <c r="B444" s="212"/>
      <c r="C444" s="202" t="e">
        <f>#REF!</f>
        <v>#REF!</v>
      </c>
      <c r="D444" s="202"/>
      <c r="E444" s="214"/>
      <c r="F444" s="202"/>
      <c r="G444" s="234" t="e">
        <f>Backlog[[#This Row],[OP]]</f>
        <v>#VALUE!</v>
      </c>
      <c r="H444" s="202"/>
      <c r="I444" s="316" t="e">
        <f>IF(Backlog[[#This Row],[Fecha Requerida en Producción]]="","",Backlog[[#This Row],[Fecha Requerida en Producción]])</f>
        <v>#VALUE!</v>
      </c>
      <c r="J444" s="207"/>
      <c r="K444" s="207"/>
      <c r="L444" s="207"/>
      <c r="M444" s="207"/>
      <c r="N444" s="248"/>
      <c r="O444" s="248"/>
      <c r="P444" s="248"/>
      <c r="Q444" s="248"/>
    </row>
    <row r="445" spans="1:17" ht="15.75" hidden="1" customHeight="1">
      <c r="A445" s="274"/>
      <c r="B445" s="212"/>
      <c r="C445" s="202" t="e">
        <f>#REF!</f>
        <v>#REF!</v>
      </c>
      <c r="D445" s="202"/>
      <c r="E445" s="214"/>
      <c r="F445" s="202"/>
      <c r="G445" s="234" t="e">
        <f>Backlog[[#This Row],[OP]]</f>
        <v>#VALUE!</v>
      </c>
      <c r="H445" s="202"/>
      <c r="I445" s="316" t="e">
        <f>IF(Backlog[[#This Row],[Fecha Requerida en Producción]]="","",Backlog[[#This Row],[Fecha Requerida en Producción]])</f>
        <v>#VALUE!</v>
      </c>
      <c r="J445" s="207"/>
      <c r="K445" s="207"/>
      <c r="L445" s="207"/>
      <c r="M445" s="207"/>
      <c r="N445" s="248"/>
      <c r="O445" s="248"/>
      <c r="P445" s="248"/>
      <c r="Q445" s="248"/>
    </row>
    <row r="446" spans="1:17" ht="15.75" hidden="1" customHeight="1">
      <c r="A446" s="274"/>
      <c r="B446" s="212"/>
      <c r="C446" s="202" t="e">
        <f>#REF!</f>
        <v>#REF!</v>
      </c>
      <c r="D446" s="202"/>
      <c r="E446" s="214"/>
      <c r="F446" s="202"/>
      <c r="G446" s="234" t="e">
        <f>Backlog[[#This Row],[OP]]</f>
        <v>#VALUE!</v>
      </c>
      <c r="H446" s="202"/>
      <c r="I446" s="316" t="e">
        <f>IF(Backlog[[#This Row],[Fecha Requerida en Producción]]="","",Backlog[[#This Row],[Fecha Requerida en Producción]])</f>
        <v>#VALUE!</v>
      </c>
      <c r="J446" s="207"/>
      <c r="K446" s="207"/>
      <c r="L446" s="207"/>
      <c r="M446" s="207"/>
      <c r="N446" s="248"/>
      <c r="O446" s="248"/>
      <c r="P446" s="248"/>
      <c r="Q446" s="248"/>
    </row>
    <row r="447" spans="1:17" ht="15.75" hidden="1" customHeight="1">
      <c r="A447" s="274"/>
      <c r="B447" s="212"/>
      <c r="C447" s="202" t="e">
        <f>#REF!</f>
        <v>#REF!</v>
      </c>
      <c r="D447" s="202"/>
      <c r="E447" s="214"/>
      <c r="F447" s="202"/>
      <c r="G447" s="234" t="e">
        <f>Backlog[[#This Row],[OP]]</f>
        <v>#VALUE!</v>
      </c>
      <c r="H447" s="202"/>
      <c r="I447" s="316" t="e">
        <f>IF(Backlog[[#This Row],[Fecha Requerida en Producción]]="","",Backlog[[#This Row],[Fecha Requerida en Producción]])</f>
        <v>#VALUE!</v>
      </c>
      <c r="J447" s="207"/>
      <c r="K447" s="207"/>
      <c r="L447" s="207"/>
      <c r="M447" s="207"/>
      <c r="N447" s="248"/>
      <c r="O447" s="248"/>
      <c r="P447" s="248"/>
      <c r="Q447" s="248"/>
    </row>
    <row r="448" spans="1:17" ht="15.75" hidden="1" customHeight="1">
      <c r="A448" s="274"/>
      <c r="B448" s="212"/>
      <c r="C448" s="202" t="e">
        <f>#REF!</f>
        <v>#REF!</v>
      </c>
      <c r="D448" s="202"/>
      <c r="E448" s="214"/>
      <c r="F448" s="202"/>
      <c r="G448" s="234" t="e">
        <f>Backlog[[#This Row],[OP]]</f>
        <v>#VALUE!</v>
      </c>
      <c r="H448" s="202"/>
      <c r="I448" s="316" t="e">
        <f>IF(Backlog[[#This Row],[Fecha Requerida en Producción]]="","",Backlog[[#This Row],[Fecha Requerida en Producción]])</f>
        <v>#VALUE!</v>
      </c>
      <c r="J448" s="207"/>
      <c r="K448" s="207"/>
      <c r="L448" s="207"/>
      <c r="M448" s="207"/>
      <c r="N448" s="248"/>
      <c r="O448" s="248"/>
      <c r="P448" s="248"/>
      <c r="Q448" s="248"/>
    </row>
    <row r="449" spans="1:17" ht="15.75" hidden="1" customHeight="1">
      <c r="A449" s="274"/>
      <c r="B449" s="212"/>
      <c r="C449" s="202" t="e">
        <f>#REF!</f>
        <v>#REF!</v>
      </c>
      <c r="D449" s="202"/>
      <c r="E449" s="214"/>
      <c r="F449" s="202"/>
      <c r="G449" s="234" t="e">
        <f>Backlog[[#This Row],[OP]]</f>
        <v>#VALUE!</v>
      </c>
      <c r="H449" s="202"/>
      <c r="I449" s="316" t="e">
        <f>IF(Backlog[[#This Row],[Fecha Requerida en Producción]]="","",Backlog[[#This Row],[Fecha Requerida en Producción]])</f>
        <v>#VALUE!</v>
      </c>
      <c r="J449" s="207"/>
      <c r="K449" s="207"/>
      <c r="L449" s="207"/>
      <c r="M449" s="207"/>
      <c r="N449" s="248"/>
      <c r="O449" s="248"/>
      <c r="P449" s="248"/>
      <c r="Q449" s="248"/>
    </row>
    <row r="450" spans="1:17" ht="15.75" hidden="1" customHeight="1">
      <c r="A450" s="274"/>
      <c r="B450" s="212"/>
      <c r="C450" s="202" t="e">
        <f>#REF!</f>
        <v>#REF!</v>
      </c>
      <c r="D450" s="202"/>
      <c r="E450" s="214"/>
      <c r="F450" s="202"/>
      <c r="G450" s="234" t="e">
        <f>Backlog[[#This Row],[OP]]</f>
        <v>#VALUE!</v>
      </c>
      <c r="H450" s="202"/>
      <c r="I450" s="316" t="e">
        <f>IF(Backlog[[#This Row],[Fecha Requerida en Producción]]="","",Backlog[[#This Row],[Fecha Requerida en Producción]])</f>
        <v>#VALUE!</v>
      </c>
      <c r="J450" s="207"/>
      <c r="K450" s="207"/>
      <c r="L450" s="207"/>
      <c r="M450" s="207"/>
      <c r="N450" s="248"/>
      <c r="O450" s="248"/>
      <c r="P450" s="248"/>
      <c r="Q450" s="248"/>
    </row>
    <row r="451" spans="1:17" ht="15.75" hidden="1" customHeight="1">
      <c r="A451" s="274"/>
      <c r="B451" s="212"/>
      <c r="C451" s="202" t="e">
        <f>#REF!</f>
        <v>#REF!</v>
      </c>
      <c r="D451" s="202"/>
      <c r="E451" s="214"/>
      <c r="F451" s="202"/>
      <c r="G451" s="234" t="e">
        <f>Backlog[[#This Row],[OP]]</f>
        <v>#VALUE!</v>
      </c>
      <c r="H451" s="202"/>
      <c r="I451" s="316" t="e">
        <f>IF(Backlog[[#This Row],[Fecha Requerida en Producción]]="","",Backlog[[#This Row],[Fecha Requerida en Producción]])</f>
        <v>#VALUE!</v>
      </c>
      <c r="J451" s="207"/>
      <c r="K451" s="207"/>
      <c r="L451" s="207"/>
      <c r="M451" s="207"/>
      <c r="N451" s="248"/>
      <c r="O451" s="248"/>
      <c r="P451" s="248"/>
      <c r="Q451" s="248"/>
    </row>
    <row r="452" spans="1:17" ht="15.75" hidden="1" customHeight="1">
      <c r="A452" s="274"/>
      <c r="B452" s="212"/>
      <c r="C452" s="202" t="e">
        <f>#REF!</f>
        <v>#REF!</v>
      </c>
      <c r="D452" s="202"/>
      <c r="E452" s="214"/>
      <c r="F452" s="202"/>
      <c r="G452" s="234" t="e">
        <f>Backlog[[#This Row],[OP]]</f>
        <v>#VALUE!</v>
      </c>
      <c r="H452" s="202"/>
      <c r="I452" s="316" t="e">
        <f>IF(Backlog[[#This Row],[Fecha Requerida en Producción]]="","",Backlog[[#This Row],[Fecha Requerida en Producción]])</f>
        <v>#VALUE!</v>
      </c>
      <c r="J452" s="207"/>
      <c r="K452" s="207"/>
      <c r="L452" s="207"/>
      <c r="M452" s="207"/>
      <c r="N452" s="248"/>
      <c r="O452" s="248"/>
      <c r="P452" s="248"/>
      <c r="Q452" s="248"/>
    </row>
    <row r="453" spans="1:17" ht="15.75" hidden="1" customHeight="1">
      <c r="A453" s="274"/>
      <c r="B453" s="212"/>
      <c r="C453" s="202" t="e">
        <f>#REF!</f>
        <v>#REF!</v>
      </c>
      <c r="D453" s="202"/>
      <c r="E453" s="214"/>
      <c r="F453" s="202"/>
      <c r="G453" s="234" t="e">
        <f>Backlog[[#This Row],[OP]]</f>
        <v>#VALUE!</v>
      </c>
      <c r="H453" s="202"/>
      <c r="I453" s="316" t="e">
        <f>IF(Backlog[[#This Row],[Fecha Requerida en Producción]]="","",Backlog[[#This Row],[Fecha Requerida en Producción]])</f>
        <v>#VALUE!</v>
      </c>
      <c r="J453" s="207"/>
      <c r="K453" s="207"/>
      <c r="L453" s="207"/>
      <c r="M453" s="207"/>
      <c r="N453" s="248"/>
      <c r="O453" s="248"/>
      <c r="P453" s="248"/>
      <c r="Q453" s="248"/>
    </row>
    <row r="454" spans="1:17" ht="15.75" hidden="1" customHeight="1">
      <c r="A454" s="274"/>
      <c r="B454" s="212"/>
      <c r="C454" s="202" t="e">
        <f>#REF!</f>
        <v>#REF!</v>
      </c>
      <c r="D454" s="202"/>
      <c r="E454" s="214"/>
      <c r="F454" s="202"/>
      <c r="G454" s="234" t="e">
        <f>Backlog[[#This Row],[OP]]</f>
        <v>#VALUE!</v>
      </c>
      <c r="H454" s="202"/>
      <c r="I454" s="316" t="e">
        <f>IF(Backlog[[#This Row],[Fecha Requerida en Producción]]="","",Backlog[[#This Row],[Fecha Requerida en Producción]])</f>
        <v>#VALUE!</v>
      </c>
      <c r="J454" s="207"/>
      <c r="K454" s="207"/>
      <c r="L454" s="207"/>
      <c r="M454" s="207"/>
      <c r="N454" s="248"/>
      <c r="O454" s="248"/>
      <c r="P454" s="248"/>
      <c r="Q454" s="248"/>
    </row>
    <row r="455" spans="1:17" ht="15.75" hidden="1" customHeight="1">
      <c r="A455" s="274"/>
      <c r="B455" s="212"/>
      <c r="C455" s="202" t="e">
        <f>#REF!</f>
        <v>#REF!</v>
      </c>
      <c r="D455" s="202"/>
      <c r="E455" s="214"/>
      <c r="F455" s="202"/>
      <c r="G455" s="234" t="e">
        <f>Backlog[[#This Row],[OP]]</f>
        <v>#VALUE!</v>
      </c>
      <c r="H455" s="202"/>
      <c r="I455" s="316" t="e">
        <f>IF(Backlog[[#This Row],[Fecha Requerida en Producción]]="","",Backlog[[#This Row],[Fecha Requerida en Producción]])</f>
        <v>#VALUE!</v>
      </c>
      <c r="J455" s="207"/>
      <c r="K455" s="207"/>
      <c r="L455" s="207"/>
      <c r="M455" s="207"/>
      <c r="N455" s="248"/>
      <c r="O455" s="248"/>
      <c r="P455" s="248"/>
      <c r="Q455" s="248"/>
    </row>
    <row r="456" spans="1:17" ht="15.75" hidden="1" customHeight="1">
      <c r="A456" s="274"/>
      <c r="B456" s="212"/>
      <c r="C456" s="202" t="e">
        <f>#REF!</f>
        <v>#REF!</v>
      </c>
      <c r="D456" s="202"/>
      <c r="E456" s="214"/>
      <c r="F456" s="202"/>
      <c r="G456" s="234" t="e">
        <f>Backlog[[#This Row],[OP]]</f>
        <v>#VALUE!</v>
      </c>
      <c r="H456" s="202"/>
      <c r="I456" s="316" t="e">
        <f>IF(Backlog[[#This Row],[Fecha Requerida en Producción]]="","",Backlog[[#This Row],[Fecha Requerida en Producción]])</f>
        <v>#VALUE!</v>
      </c>
      <c r="J456" s="207"/>
      <c r="K456" s="207"/>
      <c r="L456" s="207"/>
      <c r="M456" s="207"/>
      <c r="N456" s="248"/>
      <c r="O456" s="248"/>
      <c r="P456" s="248"/>
      <c r="Q456" s="248"/>
    </row>
    <row r="457" spans="1:17" ht="15.75" hidden="1" customHeight="1">
      <c r="A457" s="274"/>
      <c r="B457" s="212"/>
      <c r="C457" s="202" t="e">
        <f>#REF!</f>
        <v>#REF!</v>
      </c>
      <c r="D457" s="202"/>
      <c r="E457" s="214"/>
      <c r="F457" s="202"/>
      <c r="G457" s="234" t="e">
        <f>Backlog[[#This Row],[OP]]</f>
        <v>#VALUE!</v>
      </c>
      <c r="H457" s="202"/>
      <c r="I457" s="316" t="e">
        <f>IF(Backlog[[#This Row],[Fecha Requerida en Producción]]="","",Backlog[[#This Row],[Fecha Requerida en Producción]])</f>
        <v>#VALUE!</v>
      </c>
      <c r="J457" s="207"/>
      <c r="K457" s="207"/>
      <c r="L457" s="207"/>
      <c r="M457" s="207"/>
      <c r="N457" s="248"/>
      <c r="O457" s="248"/>
      <c r="P457" s="248"/>
      <c r="Q457" s="248"/>
    </row>
    <row r="458" spans="1:17" ht="15.75" hidden="1" customHeight="1">
      <c r="A458" s="274"/>
      <c r="B458" s="212"/>
      <c r="C458" s="202" t="e">
        <f>#REF!</f>
        <v>#REF!</v>
      </c>
      <c r="D458" s="202"/>
      <c r="E458" s="214"/>
      <c r="F458" s="202"/>
      <c r="G458" s="234" t="e">
        <f>Backlog[[#This Row],[OP]]</f>
        <v>#VALUE!</v>
      </c>
      <c r="H458" s="202"/>
      <c r="I458" s="316" t="e">
        <f>IF(Backlog[[#This Row],[Fecha Requerida en Producción]]="","",Backlog[[#This Row],[Fecha Requerida en Producción]])</f>
        <v>#VALUE!</v>
      </c>
      <c r="J458" s="207"/>
      <c r="K458" s="207"/>
      <c r="L458" s="207"/>
      <c r="M458" s="207"/>
      <c r="N458" s="248"/>
      <c r="O458" s="248"/>
      <c r="P458" s="248"/>
      <c r="Q458" s="248"/>
    </row>
    <row r="459" spans="1:17" ht="15.75" hidden="1" customHeight="1">
      <c r="A459" s="274"/>
      <c r="B459" s="212"/>
      <c r="C459" s="202" t="e">
        <f>#REF!</f>
        <v>#REF!</v>
      </c>
      <c r="D459" s="202"/>
      <c r="E459" s="214"/>
      <c r="F459" s="202"/>
      <c r="G459" s="234" t="e">
        <f>Backlog[[#This Row],[OP]]</f>
        <v>#VALUE!</v>
      </c>
      <c r="H459" s="202"/>
      <c r="I459" s="316" t="e">
        <f>IF(Backlog[[#This Row],[Fecha Requerida en Producción]]="","",Backlog[[#This Row],[Fecha Requerida en Producción]])</f>
        <v>#VALUE!</v>
      </c>
      <c r="J459" s="207"/>
      <c r="K459" s="207"/>
      <c r="L459" s="207"/>
      <c r="M459" s="207"/>
      <c r="N459" s="248"/>
      <c r="O459" s="248"/>
      <c r="P459" s="248"/>
      <c r="Q459" s="248"/>
    </row>
    <row r="460" spans="1:17" ht="15.75" hidden="1" customHeight="1">
      <c r="A460" s="274"/>
      <c r="B460" s="212"/>
      <c r="C460" s="202" t="e">
        <f>#REF!</f>
        <v>#REF!</v>
      </c>
      <c r="D460" s="202"/>
      <c r="E460" s="214"/>
      <c r="F460" s="202"/>
      <c r="G460" s="234" t="e">
        <f>Backlog[[#This Row],[OP]]</f>
        <v>#VALUE!</v>
      </c>
      <c r="H460" s="202"/>
      <c r="I460" s="316" t="e">
        <f>IF(Backlog[[#This Row],[Fecha Requerida en Producción]]="","",Backlog[[#This Row],[Fecha Requerida en Producción]])</f>
        <v>#VALUE!</v>
      </c>
      <c r="J460" s="207"/>
      <c r="K460" s="207"/>
      <c r="L460" s="207"/>
      <c r="M460" s="207"/>
      <c r="N460" s="248"/>
      <c r="O460" s="248"/>
      <c r="P460" s="248"/>
      <c r="Q460" s="248"/>
    </row>
    <row r="461" spans="1:17" ht="15.75" hidden="1" customHeight="1">
      <c r="A461" s="274"/>
      <c r="B461" s="212"/>
      <c r="C461" s="202" t="e">
        <f>#REF!</f>
        <v>#REF!</v>
      </c>
      <c r="D461" s="202"/>
      <c r="E461" s="214"/>
      <c r="F461" s="202"/>
      <c r="G461" s="234" t="e">
        <f>Backlog[[#This Row],[OP]]</f>
        <v>#VALUE!</v>
      </c>
      <c r="H461" s="202"/>
      <c r="I461" s="316" t="e">
        <f>IF(Backlog[[#This Row],[Fecha Requerida en Producción]]="","",Backlog[[#This Row],[Fecha Requerida en Producción]])</f>
        <v>#VALUE!</v>
      </c>
      <c r="J461" s="207"/>
      <c r="K461" s="207"/>
      <c r="L461" s="207"/>
      <c r="M461" s="207"/>
      <c r="N461" s="248"/>
      <c r="O461" s="248"/>
      <c r="P461" s="248"/>
      <c r="Q461" s="248"/>
    </row>
    <row r="462" spans="1:17" ht="15.75" hidden="1" customHeight="1">
      <c r="A462" s="274"/>
      <c r="B462" s="212"/>
      <c r="C462" s="202" t="e">
        <f>#REF!</f>
        <v>#REF!</v>
      </c>
      <c r="D462" s="202"/>
      <c r="E462" s="214"/>
      <c r="F462" s="202"/>
      <c r="G462" s="234" t="e">
        <f>Backlog[[#This Row],[OP]]</f>
        <v>#VALUE!</v>
      </c>
      <c r="H462" s="202"/>
      <c r="I462" s="316" t="e">
        <f>IF(Backlog[[#This Row],[Fecha Requerida en Producción]]="","",Backlog[[#This Row],[Fecha Requerida en Producción]])</f>
        <v>#VALUE!</v>
      </c>
      <c r="J462" s="207"/>
      <c r="K462" s="207"/>
      <c r="L462" s="207"/>
      <c r="M462" s="207"/>
      <c r="N462" s="248"/>
      <c r="O462" s="248"/>
      <c r="P462" s="248"/>
      <c r="Q462" s="248"/>
    </row>
    <row r="463" spans="1:17" ht="15.75" hidden="1" customHeight="1">
      <c r="A463" s="274"/>
      <c r="B463" s="212"/>
      <c r="C463" s="202" t="e">
        <f>#REF!</f>
        <v>#REF!</v>
      </c>
      <c r="D463" s="202"/>
      <c r="E463" s="214"/>
      <c r="F463" s="202"/>
      <c r="G463" s="234" t="e">
        <f>Backlog[[#This Row],[OP]]</f>
        <v>#VALUE!</v>
      </c>
      <c r="H463" s="202"/>
      <c r="I463" s="316" t="e">
        <f>IF(Backlog[[#This Row],[Fecha Requerida en Producción]]="","",Backlog[[#This Row],[Fecha Requerida en Producción]])</f>
        <v>#VALUE!</v>
      </c>
      <c r="J463" s="207"/>
      <c r="K463" s="207"/>
      <c r="L463" s="207"/>
      <c r="M463" s="207"/>
      <c r="N463" s="248"/>
      <c r="O463" s="248"/>
      <c r="P463" s="248"/>
      <c r="Q463" s="248"/>
    </row>
    <row r="464" spans="1:17" ht="15.75" hidden="1" customHeight="1">
      <c r="A464" s="274"/>
      <c r="B464" s="212"/>
      <c r="C464" s="202" t="e">
        <f>#REF!</f>
        <v>#REF!</v>
      </c>
      <c r="D464" s="202"/>
      <c r="E464" s="214"/>
      <c r="F464" s="202"/>
      <c r="G464" s="234" t="e">
        <f>Backlog[[#This Row],[OP]]</f>
        <v>#VALUE!</v>
      </c>
      <c r="H464" s="202"/>
      <c r="I464" s="316" t="e">
        <f>IF(Backlog[[#This Row],[Fecha Requerida en Producción]]="","",Backlog[[#This Row],[Fecha Requerida en Producción]])</f>
        <v>#VALUE!</v>
      </c>
      <c r="J464" s="207"/>
      <c r="K464" s="207"/>
      <c r="L464" s="207"/>
      <c r="M464" s="207"/>
      <c r="N464" s="248"/>
      <c r="O464" s="248"/>
      <c r="P464" s="248"/>
      <c r="Q464" s="248"/>
    </row>
    <row r="465" spans="1:17" ht="15.75" hidden="1" customHeight="1">
      <c r="A465" s="274"/>
      <c r="B465" s="212"/>
      <c r="C465" s="202" t="e">
        <f>#REF!</f>
        <v>#REF!</v>
      </c>
      <c r="D465" s="202"/>
      <c r="E465" s="214"/>
      <c r="F465" s="202"/>
      <c r="G465" s="234" t="e">
        <f>Backlog[[#This Row],[OP]]</f>
        <v>#VALUE!</v>
      </c>
      <c r="H465" s="202"/>
      <c r="I465" s="316" t="e">
        <f>IF(Backlog[[#This Row],[Fecha Requerida en Producción]]="","",Backlog[[#This Row],[Fecha Requerida en Producción]])</f>
        <v>#VALUE!</v>
      </c>
      <c r="J465" s="207"/>
      <c r="K465" s="207"/>
      <c r="L465" s="207"/>
      <c r="M465" s="207"/>
      <c r="N465" s="248"/>
      <c r="O465" s="248"/>
      <c r="P465" s="248"/>
      <c r="Q465" s="248"/>
    </row>
    <row r="466" spans="1:17" ht="15.75" hidden="1" customHeight="1">
      <c r="A466" s="274"/>
      <c r="B466" s="212"/>
      <c r="C466" s="202" t="e">
        <f>#REF!</f>
        <v>#REF!</v>
      </c>
      <c r="D466" s="202"/>
      <c r="E466" s="214"/>
      <c r="F466" s="202"/>
      <c r="G466" s="234" t="e">
        <f>Backlog[[#This Row],[OP]]</f>
        <v>#VALUE!</v>
      </c>
      <c r="H466" s="202"/>
      <c r="I466" s="316" t="e">
        <f>IF(Backlog[[#This Row],[Fecha Requerida en Producción]]="","",Backlog[[#This Row],[Fecha Requerida en Producción]])</f>
        <v>#VALUE!</v>
      </c>
      <c r="J466" s="207"/>
      <c r="K466" s="207"/>
      <c r="L466" s="207"/>
      <c r="M466" s="207"/>
      <c r="N466" s="248"/>
      <c r="O466" s="248"/>
      <c r="P466" s="248"/>
      <c r="Q466" s="248"/>
    </row>
    <row r="467" spans="1:17" ht="15.75" hidden="1" customHeight="1">
      <c r="A467" s="274"/>
      <c r="B467" s="212"/>
      <c r="C467" s="202" t="e">
        <f>#REF!</f>
        <v>#REF!</v>
      </c>
      <c r="D467" s="202"/>
      <c r="E467" s="214"/>
      <c r="F467" s="202"/>
      <c r="G467" s="234" t="e">
        <f>Backlog[[#This Row],[OP]]</f>
        <v>#VALUE!</v>
      </c>
      <c r="H467" s="202"/>
      <c r="I467" s="316" t="e">
        <f>IF(Backlog[[#This Row],[Fecha Requerida en Producción]]="","",Backlog[[#This Row],[Fecha Requerida en Producción]])</f>
        <v>#VALUE!</v>
      </c>
      <c r="J467" s="207"/>
      <c r="K467" s="207"/>
      <c r="L467" s="207"/>
      <c r="M467" s="207"/>
      <c r="N467" s="248"/>
      <c r="O467" s="248"/>
      <c r="P467" s="248"/>
      <c r="Q467" s="248"/>
    </row>
    <row r="468" spans="1:17" ht="15.75" hidden="1" customHeight="1">
      <c r="A468" s="274"/>
      <c r="B468" s="212"/>
      <c r="C468" s="202" t="e">
        <f>#REF!</f>
        <v>#REF!</v>
      </c>
      <c r="D468" s="202"/>
      <c r="E468" s="214"/>
      <c r="F468" s="202"/>
      <c r="G468" s="234" t="e">
        <f>Backlog[[#This Row],[OP]]</f>
        <v>#VALUE!</v>
      </c>
      <c r="H468" s="202"/>
      <c r="I468" s="316" t="e">
        <f>IF(Backlog[[#This Row],[Fecha Requerida en Producción]]="","",Backlog[[#This Row],[Fecha Requerida en Producción]])</f>
        <v>#VALUE!</v>
      </c>
      <c r="J468" s="207"/>
      <c r="K468" s="207"/>
      <c r="L468" s="207"/>
      <c r="M468" s="207"/>
      <c r="N468" s="248"/>
      <c r="O468" s="248"/>
      <c r="P468" s="248"/>
      <c r="Q468" s="248"/>
    </row>
    <row r="469" spans="1:17" ht="15.75" hidden="1" customHeight="1">
      <c r="A469" s="274"/>
      <c r="B469" s="212"/>
      <c r="C469" s="202" t="e">
        <f>#REF!</f>
        <v>#REF!</v>
      </c>
      <c r="D469" s="202"/>
      <c r="E469" s="214"/>
      <c r="F469" s="202"/>
      <c r="G469" s="234" t="e">
        <f>Backlog[[#This Row],[OP]]</f>
        <v>#VALUE!</v>
      </c>
      <c r="H469" s="202"/>
      <c r="I469" s="316" t="e">
        <f>IF(Backlog[[#This Row],[Fecha Requerida en Producción]]="","",Backlog[[#This Row],[Fecha Requerida en Producción]])</f>
        <v>#VALUE!</v>
      </c>
      <c r="J469" s="207"/>
      <c r="K469" s="207"/>
      <c r="L469" s="207"/>
      <c r="M469" s="207"/>
      <c r="N469" s="248"/>
      <c r="O469" s="248"/>
      <c r="P469" s="248"/>
      <c r="Q469" s="248"/>
    </row>
    <row r="470" spans="1:17" ht="15.75" hidden="1" customHeight="1">
      <c r="A470" s="274"/>
      <c r="B470" s="212"/>
      <c r="C470" s="202" t="e">
        <f>#REF!</f>
        <v>#REF!</v>
      </c>
      <c r="D470" s="202"/>
      <c r="E470" s="214"/>
      <c r="F470" s="202"/>
      <c r="G470" s="234" t="e">
        <f>Backlog[[#This Row],[OP]]</f>
        <v>#VALUE!</v>
      </c>
      <c r="H470" s="202"/>
      <c r="I470" s="316" t="e">
        <f>IF(Backlog[[#This Row],[Fecha Requerida en Producción]]="","",Backlog[[#This Row],[Fecha Requerida en Producción]])</f>
        <v>#VALUE!</v>
      </c>
      <c r="J470" s="207"/>
      <c r="K470" s="207"/>
      <c r="L470" s="207"/>
      <c r="M470" s="207"/>
      <c r="N470" s="248"/>
      <c r="O470" s="248"/>
      <c r="P470" s="248"/>
      <c r="Q470" s="248"/>
    </row>
    <row r="471" spans="1:17" ht="15.75" hidden="1" customHeight="1">
      <c r="A471" s="274"/>
      <c r="B471" s="212"/>
      <c r="C471" s="202" t="e">
        <f>#REF!</f>
        <v>#REF!</v>
      </c>
      <c r="D471" s="202"/>
      <c r="E471" s="214"/>
      <c r="F471" s="202"/>
      <c r="G471" s="234" t="e">
        <f>Backlog[[#This Row],[OP]]</f>
        <v>#VALUE!</v>
      </c>
      <c r="H471" s="202"/>
      <c r="I471" s="316" t="e">
        <f>IF(Backlog[[#This Row],[Fecha Requerida en Producción]]="","",Backlog[[#This Row],[Fecha Requerida en Producción]])</f>
        <v>#VALUE!</v>
      </c>
      <c r="J471" s="207"/>
      <c r="K471" s="207"/>
      <c r="L471" s="207"/>
      <c r="M471" s="207"/>
      <c r="N471" s="248"/>
      <c r="O471" s="248"/>
      <c r="P471" s="248"/>
      <c r="Q471" s="248"/>
    </row>
    <row r="472" spans="1:17" ht="15.75" hidden="1" customHeight="1">
      <c r="A472" s="274"/>
      <c r="B472" s="212"/>
      <c r="C472" s="202" t="e">
        <f>#REF!</f>
        <v>#REF!</v>
      </c>
      <c r="D472" s="202"/>
      <c r="E472" s="214"/>
      <c r="F472" s="202"/>
      <c r="G472" s="234" t="e">
        <f>Backlog[[#This Row],[OP]]</f>
        <v>#VALUE!</v>
      </c>
      <c r="H472" s="202"/>
      <c r="I472" s="316" t="e">
        <f>IF(Backlog[[#This Row],[Fecha Requerida en Producción]]="","",Backlog[[#This Row],[Fecha Requerida en Producción]])</f>
        <v>#VALUE!</v>
      </c>
      <c r="J472" s="207"/>
      <c r="K472" s="207"/>
      <c r="L472" s="207"/>
      <c r="M472" s="207"/>
      <c r="N472" s="248"/>
      <c r="O472" s="248"/>
      <c r="P472" s="248"/>
      <c r="Q472" s="248"/>
    </row>
    <row r="473" spans="1:17" ht="15.75" hidden="1" customHeight="1">
      <c r="A473" s="274"/>
      <c r="B473" s="212"/>
      <c r="C473" s="202" t="e">
        <f>#REF!</f>
        <v>#REF!</v>
      </c>
      <c r="D473" s="202"/>
      <c r="E473" s="214"/>
      <c r="F473" s="202"/>
      <c r="G473" s="234" t="e">
        <f>Backlog[[#This Row],[OP]]</f>
        <v>#VALUE!</v>
      </c>
      <c r="H473" s="202"/>
      <c r="I473" s="316" t="e">
        <f>IF(Backlog[[#This Row],[Fecha Requerida en Producción]]="","",Backlog[[#This Row],[Fecha Requerida en Producción]])</f>
        <v>#VALUE!</v>
      </c>
      <c r="J473" s="207"/>
      <c r="K473" s="207"/>
      <c r="L473" s="207"/>
      <c r="M473" s="207"/>
      <c r="N473" s="248"/>
      <c r="O473" s="248"/>
      <c r="P473" s="248"/>
      <c r="Q473" s="248"/>
    </row>
    <row r="474" spans="1:17" ht="15.75" hidden="1" customHeight="1">
      <c r="A474" s="274"/>
      <c r="B474" s="212"/>
      <c r="C474" s="202" t="e">
        <f>#REF!</f>
        <v>#REF!</v>
      </c>
      <c r="D474" s="202"/>
      <c r="E474" s="214"/>
      <c r="F474" s="202"/>
      <c r="G474" s="234" t="e">
        <f>Backlog[[#This Row],[OP]]</f>
        <v>#VALUE!</v>
      </c>
      <c r="H474" s="202"/>
      <c r="I474" s="316" t="e">
        <f>IF(Backlog[[#This Row],[Fecha Requerida en Producción]]="","",Backlog[[#This Row],[Fecha Requerida en Producción]])</f>
        <v>#VALUE!</v>
      </c>
      <c r="J474" s="207"/>
      <c r="K474" s="207"/>
      <c r="L474" s="207"/>
      <c r="M474" s="207"/>
      <c r="N474" s="248"/>
      <c r="O474" s="248"/>
      <c r="P474" s="248"/>
      <c r="Q474" s="248"/>
    </row>
    <row r="475" spans="1:17" ht="15.75" hidden="1" customHeight="1">
      <c r="A475" s="274"/>
      <c r="B475" s="212"/>
      <c r="C475" s="202" t="e">
        <f>#REF!</f>
        <v>#REF!</v>
      </c>
      <c r="D475" s="202"/>
      <c r="E475" s="214"/>
      <c r="F475" s="202"/>
      <c r="G475" s="234" t="e">
        <f>Backlog[[#This Row],[OP]]</f>
        <v>#VALUE!</v>
      </c>
      <c r="H475" s="202"/>
      <c r="I475" s="316" t="e">
        <f>IF(Backlog[[#This Row],[Fecha Requerida en Producción]]="","",Backlog[[#This Row],[Fecha Requerida en Producción]])</f>
        <v>#VALUE!</v>
      </c>
      <c r="J475" s="207"/>
      <c r="K475" s="207"/>
      <c r="L475" s="207"/>
      <c r="M475" s="207"/>
      <c r="N475" s="248"/>
      <c r="O475" s="248"/>
      <c r="P475" s="248"/>
      <c r="Q475" s="248"/>
    </row>
    <row r="476" spans="1:17" ht="15.75" hidden="1" customHeight="1">
      <c r="A476" s="274"/>
      <c r="B476" s="212"/>
      <c r="C476" s="202" t="e">
        <f>#REF!</f>
        <v>#REF!</v>
      </c>
      <c r="D476" s="202"/>
      <c r="E476" s="214"/>
      <c r="F476" s="202"/>
      <c r="G476" s="234" t="e">
        <f>Backlog[[#This Row],[OP]]</f>
        <v>#VALUE!</v>
      </c>
      <c r="H476" s="202"/>
      <c r="I476" s="316" t="e">
        <f>IF(Backlog[[#This Row],[Fecha Requerida en Producción]]="","",Backlog[[#This Row],[Fecha Requerida en Producción]])</f>
        <v>#VALUE!</v>
      </c>
      <c r="J476" s="207"/>
      <c r="K476" s="207"/>
      <c r="L476" s="207"/>
      <c r="M476" s="207"/>
      <c r="N476" s="248"/>
      <c r="O476" s="248"/>
      <c r="P476" s="248"/>
      <c r="Q476" s="248"/>
    </row>
    <row r="477" spans="1:17" ht="15.75" hidden="1" customHeight="1">
      <c r="A477" s="274"/>
      <c r="B477" s="212"/>
      <c r="C477" s="202" t="e">
        <f>#REF!</f>
        <v>#REF!</v>
      </c>
      <c r="D477" s="202"/>
      <c r="E477" s="214"/>
      <c r="F477" s="202"/>
      <c r="G477" s="234" t="e">
        <f>Backlog[[#This Row],[OP]]</f>
        <v>#VALUE!</v>
      </c>
      <c r="H477" s="202"/>
      <c r="I477" s="316" t="e">
        <f>IF(Backlog[[#This Row],[Fecha Requerida en Producción]]="","",Backlog[[#This Row],[Fecha Requerida en Producción]])</f>
        <v>#VALUE!</v>
      </c>
      <c r="J477" s="207"/>
      <c r="K477" s="207"/>
      <c r="L477" s="207"/>
      <c r="M477" s="207"/>
      <c r="N477" s="248"/>
      <c r="O477" s="248"/>
      <c r="P477" s="248"/>
      <c r="Q477" s="248"/>
    </row>
    <row r="478" spans="1:17" ht="15.75" hidden="1" customHeight="1">
      <c r="A478" s="274"/>
      <c r="B478" s="212"/>
      <c r="C478" s="202" t="e">
        <f>#REF!</f>
        <v>#REF!</v>
      </c>
      <c r="D478" s="202"/>
      <c r="E478" s="214"/>
      <c r="F478" s="202"/>
      <c r="G478" s="234" t="e">
        <f>Backlog[[#This Row],[OP]]</f>
        <v>#VALUE!</v>
      </c>
      <c r="H478" s="202"/>
      <c r="I478" s="316" t="e">
        <f>IF(Backlog[[#This Row],[Fecha Requerida en Producción]]="","",Backlog[[#This Row],[Fecha Requerida en Producción]])</f>
        <v>#VALUE!</v>
      </c>
      <c r="J478" s="207"/>
      <c r="K478" s="207"/>
      <c r="L478" s="207"/>
      <c r="M478" s="207"/>
      <c r="N478" s="248"/>
      <c r="O478" s="248"/>
      <c r="P478" s="248"/>
      <c r="Q478" s="248"/>
    </row>
    <row r="479" spans="1:17" ht="15.75" hidden="1" customHeight="1">
      <c r="A479" s="274"/>
      <c r="B479" s="212"/>
      <c r="C479" s="202" t="e">
        <f>#REF!</f>
        <v>#REF!</v>
      </c>
      <c r="D479" s="202"/>
      <c r="E479" s="214"/>
      <c r="F479" s="202"/>
      <c r="G479" s="234" t="e">
        <f>Backlog[[#This Row],[OP]]</f>
        <v>#VALUE!</v>
      </c>
      <c r="H479" s="202"/>
      <c r="I479" s="316" t="e">
        <f>IF(Backlog[[#This Row],[Fecha Requerida en Producción]]="","",Backlog[[#This Row],[Fecha Requerida en Producción]])</f>
        <v>#VALUE!</v>
      </c>
      <c r="J479" s="207"/>
      <c r="K479" s="207"/>
      <c r="L479" s="207"/>
      <c r="M479" s="207"/>
      <c r="N479" s="248"/>
      <c r="O479" s="248"/>
      <c r="P479" s="248"/>
      <c r="Q479" s="248"/>
    </row>
    <row r="480" spans="1:17" ht="15.75" hidden="1" customHeight="1">
      <c r="A480" s="274"/>
      <c r="B480" s="212"/>
      <c r="C480" s="202" t="e">
        <f>#REF!</f>
        <v>#REF!</v>
      </c>
      <c r="D480" s="202"/>
      <c r="E480" s="214"/>
      <c r="F480" s="202"/>
      <c r="G480" s="234" t="e">
        <f>Backlog[[#This Row],[OP]]</f>
        <v>#VALUE!</v>
      </c>
      <c r="H480" s="202"/>
      <c r="I480" s="316" t="e">
        <f>IF(Backlog[[#This Row],[Fecha Requerida en Producción]]="","",Backlog[[#This Row],[Fecha Requerida en Producción]])</f>
        <v>#VALUE!</v>
      </c>
      <c r="J480" s="207"/>
      <c r="K480" s="207"/>
      <c r="L480" s="207"/>
      <c r="M480" s="207"/>
      <c r="N480" s="248"/>
      <c r="O480" s="248"/>
      <c r="P480" s="248"/>
      <c r="Q480" s="248"/>
    </row>
    <row r="481" spans="1:17" ht="15.75" hidden="1" customHeight="1">
      <c r="A481" s="274"/>
      <c r="B481" s="212"/>
      <c r="C481" s="202" t="e">
        <f>#REF!</f>
        <v>#REF!</v>
      </c>
      <c r="D481" s="202"/>
      <c r="E481" s="214"/>
      <c r="F481" s="202"/>
      <c r="G481" s="234" t="e">
        <f>Backlog[[#This Row],[OP]]</f>
        <v>#VALUE!</v>
      </c>
      <c r="H481" s="202"/>
      <c r="I481" s="316" t="e">
        <f>IF(Backlog[[#This Row],[Fecha Requerida en Producción]]="","",Backlog[[#This Row],[Fecha Requerida en Producción]])</f>
        <v>#VALUE!</v>
      </c>
      <c r="J481" s="207"/>
      <c r="K481" s="207"/>
      <c r="L481" s="207"/>
      <c r="M481" s="207"/>
      <c r="N481" s="248"/>
      <c r="O481" s="248"/>
      <c r="P481" s="248"/>
      <c r="Q481" s="248"/>
    </row>
    <row r="482" spans="1:17" ht="15.75" hidden="1" customHeight="1">
      <c r="A482" s="274"/>
      <c r="B482" s="212"/>
      <c r="C482" s="202" t="e">
        <f>#REF!</f>
        <v>#REF!</v>
      </c>
      <c r="D482" s="202"/>
      <c r="E482" s="214"/>
      <c r="F482" s="202"/>
      <c r="G482" s="234" t="e">
        <f>Backlog[[#This Row],[OP]]</f>
        <v>#VALUE!</v>
      </c>
      <c r="H482" s="202"/>
      <c r="I482" s="316" t="e">
        <f>IF(Backlog[[#This Row],[Fecha Requerida en Producción]]="","",Backlog[[#This Row],[Fecha Requerida en Producción]])</f>
        <v>#VALUE!</v>
      </c>
      <c r="J482" s="207"/>
      <c r="K482" s="207"/>
      <c r="L482" s="207"/>
      <c r="M482" s="207"/>
      <c r="N482" s="248"/>
      <c r="O482" s="248"/>
      <c r="P482" s="248"/>
      <c r="Q482" s="248"/>
    </row>
    <row r="483" spans="1:17" ht="15.75" hidden="1" customHeight="1">
      <c r="A483" s="274"/>
      <c r="B483" s="212"/>
      <c r="C483" s="202" t="e">
        <f>#REF!</f>
        <v>#REF!</v>
      </c>
      <c r="D483" s="202"/>
      <c r="E483" s="214"/>
      <c r="F483" s="202"/>
      <c r="G483" s="234" t="e">
        <f>Backlog[[#This Row],[OP]]</f>
        <v>#VALUE!</v>
      </c>
      <c r="H483" s="202"/>
      <c r="I483" s="316" t="e">
        <f>IF(Backlog[[#This Row],[Fecha Requerida en Producción]]="","",Backlog[[#This Row],[Fecha Requerida en Producción]])</f>
        <v>#VALUE!</v>
      </c>
      <c r="J483" s="207"/>
      <c r="K483" s="207"/>
      <c r="L483" s="207"/>
      <c r="M483" s="207"/>
      <c r="N483" s="248"/>
      <c r="O483" s="248"/>
      <c r="P483" s="248"/>
      <c r="Q483" s="248"/>
    </row>
    <row r="484" spans="1:17" ht="15.75" hidden="1" customHeight="1">
      <c r="A484" s="274"/>
      <c r="B484" s="212"/>
      <c r="C484" s="202" t="e">
        <f>#REF!</f>
        <v>#REF!</v>
      </c>
      <c r="D484" s="202"/>
      <c r="E484" s="214"/>
      <c r="F484" s="202"/>
      <c r="G484" s="234" t="e">
        <f>Backlog[[#This Row],[OP]]</f>
        <v>#VALUE!</v>
      </c>
      <c r="H484" s="202"/>
      <c r="I484" s="316" t="e">
        <f>IF(Backlog[[#This Row],[Fecha Requerida en Producción]]="","",Backlog[[#This Row],[Fecha Requerida en Producción]])</f>
        <v>#VALUE!</v>
      </c>
      <c r="J484" s="207"/>
      <c r="K484" s="207"/>
      <c r="L484" s="207"/>
      <c r="M484" s="207"/>
      <c r="N484" s="248"/>
      <c r="O484" s="248"/>
      <c r="P484" s="248"/>
      <c r="Q484" s="248"/>
    </row>
    <row r="485" spans="1:17" ht="15.75" hidden="1" customHeight="1">
      <c r="A485" s="274"/>
      <c r="B485" s="212"/>
      <c r="C485" s="202" t="e">
        <f>#REF!</f>
        <v>#REF!</v>
      </c>
      <c r="D485" s="202"/>
      <c r="E485" s="214"/>
      <c r="F485" s="202"/>
      <c r="G485" s="234" t="e">
        <f>Backlog[[#This Row],[OP]]</f>
        <v>#VALUE!</v>
      </c>
      <c r="H485" s="202"/>
      <c r="I485" s="316" t="e">
        <f>IF(Backlog[[#This Row],[Fecha Requerida en Producción]]="","",Backlog[[#This Row],[Fecha Requerida en Producción]])</f>
        <v>#VALUE!</v>
      </c>
      <c r="J485" s="207"/>
      <c r="K485" s="207"/>
      <c r="L485" s="207"/>
      <c r="M485" s="207"/>
      <c r="N485" s="248"/>
      <c r="O485" s="248"/>
      <c r="P485" s="248"/>
      <c r="Q485" s="248"/>
    </row>
    <row r="486" spans="1:17" ht="15.75" hidden="1" customHeight="1">
      <c r="A486" s="274"/>
      <c r="B486" s="212"/>
      <c r="C486" s="202" t="e">
        <f>#REF!</f>
        <v>#REF!</v>
      </c>
      <c r="D486" s="202"/>
      <c r="E486" s="214"/>
      <c r="F486" s="202"/>
      <c r="G486" s="234" t="e">
        <f>Backlog[[#This Row],[OP]]</f>
        <v>#VALUE!</v>
      </c>
      <c r="H486" s="202"/>
      <c r="I486" s="316" t="e">
        <f>IF(Backlog[[#This Row],[Fecha Requerida en Producción]]="","",Backlog[[#This Row],[Fecha Requerida en Producción]])</f>
        <v>#VALUE!</v>
      </c>
      <c r="J486" s="207"/>
      <c r="K486" s="207"/>
      <c r="L486" s="207"/>
      <c r="M486" s="207"/>
      <c r="N486" s="248"/>
      <c r="O486" s="248"/>
      <c r="P486" s="248"/>
      <c r="Q486" s="248"/>
    </row>
    <row r="487" spans="1:17" ht="15.75" hidden="1" customHeight="1">
      <c r="A487" s="274"/>
      <c r="B487" s="212"/>
      <c r="C487" s="202" t="e">
        <f>#REF!</f>
        <v>#REF!</v>
      </c>
      <c r="D487" s="202"/>
      <c r="E487" s="214"/>
      <c r="F487" s="202"/>
      <c r="G487" s="234" t="e">
        <f>Backlog[[#This Row],[OP]]</f>
        <v>#VALUE!</v>
      </c>
      <c r="H487" s="202"/>
      <c r="I487" s="316" t="e">
        <f>IF(Backlog[[#This Row],[Fecha Requerida en Producción]]="","",Backlog[[#This Row],[Fecha Requerida en Producción]])</f>
        <v>#VALUE!</v>
      </c>
      <c r="J487" s="207"/>
      <c r="K487" s="207"/>
      <c r="L487" s="207"/>
      <c r="M487" s="207"/>
      <c r="N487" s="248"/>
      <c r="O487" s="248"/>
      <c r="P487" s="248"/>
      <c r="Q487" s="248"/>
    </row>
    <row r="488" spans="1:17" ht="15.75" hidden="1" customHeight="1">
      <c r="A488" s="274"/>
      <c r="B488" s="212"/>
      <c r="C488" s="202" t="e">
        <f>#REF!</f>
        <v>#REF!</v>
      </c>
      <c r="D488" s="202"/>
      <c r="E488" s="214"/>
      <c r="F488" s="202"/>
      <c r="G488" s="234" t="e">
        <f>Backlog[[#This Row],[OP]]</f>
        <v>#VALUE!</v>
      </c>
      <c r="H488" s="202"/>
      <c r="I488" s="316" t="e">
        <f>IF(Backlog[[#This Row],[Fecha Requerida en Producción]]="","",Backlog[[#This Row],[Fecha Requerida en Producción]])</f>
        <v>#VALUE!</v>
      </c>
      <c r="J488" s="207"/>
      <c r="K488" s="207"/>
      <c r="L488" s="207"/>
      <c r="M488" s="207"/>
      <c r="N488" s="248"/>
      <c r="O488" s="248"/>
      <c r="P488" s="248"/>
      <c r="Q488" s="248"/>
    </row>
    <row r="489" spans="1:17" ht="15.75" hidden="1" customHeight="1">
      <c r="A489" s="274"/>
      <c r="B489" s="212"/>
      <c r="C489" s="202" t="e">
        <f>#REF!</f>
        <v>#REF!</v>
      </c>
      <c r="D489" s="202"/>
      <c r="E489" s="214"/>
      <c r="F489" s="202"/>
      <c r="G489" s="234" t="e">
        <f>Backlog[[#This Row],[OP]]</f>
        <v>#VALUE!</v>
      </c>
      <c r="H489" s="202"/>
      <c r="I489" s="316" t="e">
        <f>IF(Backlog[[#This Row],[Fecha Requerida en Producción]]="","",Backlog[[#This Row],[Fecha Requerida en Producción]])</f>
        <v>#VALUE!</v>
      </c>
      <c r="J489" s="207"/>
      <c r="K489" s="207"/>
      <c r="L489" s="207"/>
      <c r="M489" s="207"/>
      <c r="N489" s="248"/>
      <c r="O489" s="248"/>
      <c r="P489" s="248"/>
      <c r="Q489" s="248"/>
    </row>
    <row r="490" spans="1:17" ht="15.75" hidden="1" customHeight="1">
      <c r="A490" s="274"/>
      <c r="B490" s="212"/>
      <c r="C490" s="202" t="e">
        <f>#REF!</f>
        <v>#REF!</v>
      </c>
      <c r="D490" s="202"/>
      <c r="E490" s="214"/>
      <c r="F490" s="202"/>
      <c r="G490" s="234" t="e">
        <f>Backlog[[#This Row],[OP]]</f>
        <v>#VALUE!</v>
      </c>
      <c r="H490" s="202"/>
      <c r="I490" s="316" t="e">
        <f>IF(Backlog[[#This Row],[Fecha Requerida en Producción]]="","",Backlog[[#This Row],[Fecha Requerida en Producción]])</f>
        <v>#VALUE!</v>
      </c>
      <c r="J490" s="207"/>
      <c r="K490" s="207"/>
      <c r="L490" s="207"/>
      <c r="M490" s="207"/>
      <c r="N490" s="248"/>
      <c r="O490" s="248"/>
      <c r="P490" s="248"/>
      <c r="Q490" s="248"/>
    </row>
    <row r="491" spans="1:17" ht="15.75" hidden="1" customHeight="1">
      <c r="A491" s="274"/>
      <c r="B491" s="212"/>
      <c r="C491" s="202" t="e">
        <f>#REF!</f>
        <v>#REF!</v>
      </c>
      <c r="D491" s="202"/>
      <c r="E491" s="214"/>
      <c r="F491" s="202"/>
      <c r="G491" s="234" t="e">
        <f>Backlog[[#This Row],[OP]]</f>
        <v>#VALUE!</v>
      </c>
      <c r="H491" s="202"/>
      <c r="I491" s="316" t="e">
        <f>IF(Backlog[[#This Row],[Fecha Requerida en Producción]]="","",Backlog[[#This Row],[Fecha Requerida en Producción]])</f>
        <v>#VALUE!</v>
      </c>
      <c r="J491" s="207"/>
      <c r="K491" s="207"/>
      <c r="L491" s="207"/>
      <c r="M491" s="207"/>
      <c r="N491" s="252"/>
      <c r="O491" s="252"/>
      <c r="P491" s="252"/>
      <c r="Q491" s="252"/>
    </row>
    <row r="492" spans="1:17" ht="15.75" hidden="1" customHeight="1">
      <c r="A492" s="274"/>
      <c r="B492" s="212"/>
      <c r="C492" s="202" t="e">
        <f>#REF!</f>
        <v>#REF!</v>
      </c>
      <c r="D492" s="202"/>
      <c r="E492" s="214"/>
      <c r="F492" s="202"/>
      <c r="G492" s="234" t="e">
        <f>Backlog[[#This Row],[OP]]</f>
        <v>#VALUE!</v>
      </c>
      <c r="H492" s="202"/>
      <c r="I492" s="316" t="e">
        <f>IF(Backlog[[#This Row],[Fecha Requerida en Producción]]="","",Backlog[[#This Row],[Fecha Requerida en Producción]])</f>
        <v>#VALUE!</v>
      </c>
      <c r="J492" s="207"/>
      <c r="K492" s="207"/>
      <c r="L492" s="207"/>
      <c r="M492" s="207"/>
      <c r="N492" s="248"/>
      <c r="O492" s="248"/>
      <c r="P492" s="248"/>
      <c r="Q492" s="248"/>
    </row>
    <row r="493" spans="1:17" ht="15.75" hidden="1" customHeight="1">
      <c r="A493" s="274"/>
      <c r="B493" s="212"/>
      <c r="C493" s="202" t="e">
        <f>#REF!</f>
        <v>#REF!</v>
      </c>
      <c r="D493" s="202"/>
      <c r="E493" s="214"/>
      <c r="F493" s="202"/>
      <c r="G493" s="234" t="e">
        <f>Backlog[[#This Row],[OP]]</f>
        <v>#VALUE!</v>
      </c>
      <c r="H493" s="202"/>
      <c r="I493" s="316" t="e">
        <f>IF(Backlog[[#This Row],[Fecha Requerida en Producción]]="","",Backlog[[#This Row],[Fecha Requerida en Producción]])</f>
        <v>#VALUE!</v>
      </c>
      <c r="J493" s="207"/>
      <c r="K493" s="207"/>
      <c r="L493" s="207"/>
      <c r="M493" s="207"/>
      <c r="N493" s="248"/>
      <c r="O493" s="248"/>
      <c r="P493" s="248"/>
      <c r="Q493" s="248"/>
    </row>
    <row r="494" spans="1:17" ht="15.75" hidden="1" customHeight="1">
      <c r="A494" s="274"/>
      <c r="B494" s="212"/>
      <c r="C494" s="202" t="e">
        <f>#REF!</f>
        <v>#REF!</v>
      </c>
      <c r="D494" s="202"/>
      <c r="E494" s="214"/>
      <c r="F494" s="202"/>
      <c r="G494" s="234" t="e">
        <f>Backlog[[#This Row],[OP]]</f>
        <v>#VALUE!</v>
      </c>
      <c r="H494" s="202"/>
      <c r="I494" s="316" t="e">
        <f>IF(Backlog[[#This Row],[Fecha Requerida en Producción]]="","",Backlog[[#This Row],[Fecha Requerida en Producción]])</f>
        <v>#VALUE!</v>
      </c>
      <c r="J494" s="207"/>
      <c r="K494" s="207"/>
      <c r="L494" s="207"/>
      <c r="M494" s="207"/>
      <c r="N494" s="248"/>
      <c r="O494" s="248"/>
      <c r="P494" s="248"/>
      <c r="Q494" s="248"/>
    </row>
    <row r="495" spans="1:17" ht="15.75" hidden="1" customHeight="1">
      <c r="A495" s="274"/>
      <c r="B495" s="212"/>
      <c r="C495" s="202" t="e">
        <f>#REF!</f>
        <v>#REF!</v>
      </c>
      <c r="D495" s="202"/>
      <c r="E495" s="214"/>
      <c r="F495" s="202"/>
      <c r="G495" s="234" t="e">
        <f>Backlog[[#This Row],[OP]]</f>
        <v>#VALUE!</v>
      </c>
      <c r="H495" s="202"/>
      <c r="I495" s="316" t="e">
        <f>IF(Backlog[[#This Row],[Fecha Requerida en Producción]]="","",Backlog[[#This Row],[Fecha Requerida en Producción]])</f>
        <v>#VALUE!</v>
      </c>
      <c r="J495" s="207"/>
      <c r="K495" s="207"/>
      <c r="L495" s="207"/>
      <c r="M495" s="207"/>
      <c r="N495" s="248"/>
      <c r="O495" s="248"/>
      <c r="P495" s="248"/>
      <c r="Q495" s="248"/>
    </row>
    <row r="496" spans="1:17" ht="15.75" hidden="1" customHeight="1">
      <c r="A496" s="274"/>
      <c r="B496" s="212"/>
      <c r="C496" s="202" t="e">
        <f>#REF!</f>
        <v>#REF!</v>
      </c>
      <c r="D496" s="202"/>
      <c r="E496" s="214"/>
      <c r="F496" s="202"/>
      <c r="G496" s="234" t="e">
        <f>Backlog[[#This Row],[OP]]</f>
        <v>#VALUE!</v>
      </c>
      <c r="H496" s="202"/>
      <c r="I496" s="316" t="e">
        <f>IF(Backlog[[#This Row],[Fecha Requerida en Producción]]="","",Backlog[[#This Row],[Fecha Requerida en Producción]])</f>
        <v>#VALUE!</v>
      </c>
      <c r="J496" s="207"/>
      <c r="K496" s="207"/>
      <c r="L496" s="207"/>
      <c r="M496" s="207"/>
      <c r="N496" s="248"/>
      <c r="O496" s="248"/>
      <c r="P496" s="248"/>
      <c r="Q496" s="248"/>
    </row>
    <row r="497" spans="1:17" ht="15.75" hidden="1" customHeight="1">
      <c r="A497" s="274"/>
      <c r="B497" s="212"/>
      <c r="C497" s="202" t="e">
        <f>#REF!</f>
        <v>#REF!</v>
      </c>
      <c r="D497" s="202"/>
      <c r="E497" s="214"/>
      <c r="F497" s="202"/>
      <c r="G497" s="234" t="e">
        <f>Backlog[[#This Row],[OP]]</f>
        <v>#VALUE!</v>
      </c>
      <c r="H497" s="202"/>
      <c r="I497" s="316" t="e">
        <f>IF(Backlog[[#This Row],[Fecha Requerida en Producción]]="","",Backlog[[#This Row],[Fecha Requerida en Producción]])</f>
        <v>#VALUE!</v>
      </c>
      <c r="J497" s="207"/>
      <c r="K497" s="207"/>
      <c r="L497" s="207"/>
      <c r="M497" s="207"/>
      <c r="N497" s="248"/>
      <c r="O497" s="248"/>
      <c r="P497" s="248"/>
      <c r="Q497" s="248"/>
    </row>
    <row r="498" spans="1:17" ht="15.75" hidden="1" customHeight="1">
      <c r="A498" s="274"/>
      <c r="B498" s="212"/>
      <c r="C498" s="202" t="e">
        <f>#REF!</f>
        <v>#REF!</v>
      </c>
      <c r="D498" s="202"/>
      <c r="E498" s="214"/>
      <c r="F498" s="202"/>
      <c r="G498" s="234" t="e">
        <f>Backlog[[#This Row],[OP]]</f>
        <v>#VALUE!</v>
      </c>
      <c r="H498" s="202"/>
      <c r="I498" s="316" t="e">
        <f>IF(Backlog[[#This Row],[Fecha Requerida en Producción]]="","",Backlog[[#This Row],[Fecha Requerida en Producción]])</f>
        <v>#VALUE!</v>
      </c>
      <c r="J498" s="207"/>
      <c r="K498" s="207"/>
      <c r="L498" s="207"/>
      <c r="M498" s="207"/>
      <c r="N498" s="248"/>
      <c r="O498" s="248"/>
      <c r="P498" s="248"/>
      <c r="Q498" s="248"/>
    </row>
    <row r="499" spans="1:17" ht="15.75" hidden="1" customHeight="1">
      <c r="A499" s="274"/>
      <c r="B499" s="212"/>
      <c r="C499" s="202" t="e">
        <f>#REF!</f>
        <v>#REF!</v>
      </c>
      <c r="D499" s="202"/>
      <c r="E499" s="214"/>
      <c r="F499" s="202"/>
      <c r="G499" s="234" t="e">
        <f>Backlog[[#This Row],[OP]]</f>
        <v>#VALUE!</v>
      </c>
      <c r="H499" s="202"/>
      <c r="I499" s="316" t="e">
        <f>IF(Backlog[[#This Row],[Fecha Requerida en Producción]]="","",Backlog[[#This Row],[Fecha Requerida en Producción]])</f>
        <v>#VALUE!</v>
      </c>
      <c r="J499" s="207"/>
      <c r="K499" s="207"/>
      <c r="L499" s="207"/>
      <c r="M499" s="207"/>
      <c r="N499" s="248"/>
      <c r="O499" s="248"/>
      <c r="P499" s="248"/>
      <c r="Q499" s="248"/>
    </row>
    <row r="500" spans="1:17" ht="15.75" hidden="1" customHeight="1">
      <c r="A500" s="274"/>
      <c r="B500" s="212"/>
      <c r="C500" s="202" t="e">
        <f>#REF!</f>
        <v>#REF!</v>
      </c>
      <c r="D500" s="202"/>
      <c r="E500" s="214"/>
      <c r="F500" s="202"/>
      <c r="G500" s="234" t="e">
        <f>Backlog[[#This Row],[OP]]</f>
        <v>#VALUE!</v>
      </c>
      <c r="H500" s="202"/>
      <c r="I500" s="316" t="e">
        <f>IF(Backlog[[#This Row],[Fecha Requerida en Producción]]="","",Backlog[[#This Row],[Fecha Requerida en Producción]])</f>
        <v>#VALUE!</v>
      </c>
      <c r="J500" s="207"/>
      <c r="K500" s="207"/>
      <c r="L500" s="207"/>
      <c r="M500" s="207"/>
      <c r="N500" s="248"/>
      <c r="O500" s="248"/>
      <c r="P500" s="248"/>
      <c r="Q500" s="248"/>
    </row>
    <row r="501" spans="1:17" ht="15.75" hidden="1" customHeight="1">
      <c r="A501" s="274"/>
      <c r="B501" s="212"/>
      <c r="C501" s="202" t="e">
        <f>#REF!</f>
        <v>#REF!</v>
      </c>
      <c r="D501" s="202"/>
      <c r="E501" s="214"/>
      <c r="F501" s="202"/>
      <c r="G501" s="234" t="e">
        <f>Backlog[[#This Row],[OP]]</f>
        <v>#VALUE!</v>
      </c>
      <c r="H501" s="202"/>
      <c r="I501" s="316" t="e">
        <f>IF(Backlog[[#This Row],[Fecha Requerida en Producción]]="","",Backlog[[#This Row],[Fecha Requerida en Producción]])</f>
        <v>#VALUE!</v>
      </c>
      <c r="J501" s="207"/>
      <c r="K501" s="207"/>
      <c r="L501" s="207"/>
      <c r="M501" s="207"/>
      <c r="N501" s="248"/>
      <c r="O501" s="248"/>
      <c r="P501" s="248"/>
      <c r="Q501" s="248"/>
    </row>
    <row r="502" spans="1:17" ht="15.75" hidden="1" customHeight="1">
      <c r="A502" s="274"/>
      <c r="B502" s="212"/>
      <c r="C502" s="202" t="e">
        <f>#REF!</f>
        <v>#REF!</v>
      </c>
      <c r="D502" s="202"/>
      <c r="E502" s="214"/>
      <c r="F502" s="202"/>
      <c r="G502" s="234" t="e">
        <f>Backlog[[#This Row],[OP]]</f>
        <v>#VALUE!</v>
      </c>
      <c r="H502" s="202"/>
      <c r="I502" s="316" t="e">
        <f>IF(Backlog[[#This Row],[Fecha Requerida en Producción]]="","",Backlog[[#This Row],[Fecha Requerida en Producción]])</f>
        <v>#VALUE!</v>
      </c>
      <c r="J502" s="207"/>
      <c r="K502" s="207"/>
      <c r="L502" s="207"/>
      <c r="M502" s="207"/>
      <c r="N502" s="248"/>
      <c r="O502" s="248"/>
      <c r="P502" s="248"/>
      <c r="Q502" s="248"/>
    </row>
    <row r="503" spans="1:17" ht="15.75" hidden="1" customHeight="1">
      <c r="A503" s="274"/>
      <c r="B503" s="212"/>
      <c r="C503" s="202" t="e">
        <f>#REF!</f>
        <v>#REF!</v>
      </c>
      <c r="D503" s="202"/>
      <c r="E503" s="214"/>
      <c r="F503" s="202"/>
      <c r="G503" s="234" t="e">
        <f>Backlog[[#This Row],[OP]]</f>
        <v>#VALUE!</v>
      </c>
      <c r="H503" s="202"/>
      <c r="I503" s="316" t="e">
        <f>IF(Backlog[[#This Row],[Fecha Requerida en Producción]]="","",Backlog[[#This Row],[Fecha Requerida en Producción]])</f>
        <v>#VALUE!</v>
      </c>
      <c r="J503" s="207"/>
      <c r="K503" s="207"/>
      <c r="L503" s="207"/>
      <c r="M503" s="207"/>
      <c r="N503" s="248"/>
      <c r="O503" s="248"/>
      <c r="P503" s="248"/>
      <c r="Q503" s="248"/>
    </row>
    <row r="504" spans="1:17" ht="15.75" hidden="1" customHeight="1">
      <c r="A504" s="274"/>
      <c r="B504" s="212"/>
      <c r="C504" s="202" t="e">
        <f>#REF!</f>
        <v>#REF!</v>
      </c>
      <c r="D504" s="202"/>
      <c r="E504" s="214"/>
      <c r="F504" s="202"/>
      <c r="G504" s="234" t="e">
        <f>Backlog[[#This Row],[OP]]</f>
        <v>#VALUE!</v>
      </c>
      <c r="H504" s="202"/>
      <c r="I504" s="316" t="e">
        <f>IF(Backlog[[#This Row],[Fecha Requerida en Producción]]="","",Backlog[[#This Row],[Fecha Requerida en Producción]])</f>
        <v>#VALUE!</v>
      </c>
      <c r="J504" s="207"/>
      <c r="K504" s="207"/>
      <c r="L504" s="207"/>
      <c r="M504" s="207"/>
      <c r="N504" s="248"/>
      <c r="O504" s="248"/>
      <c r="P504" s="248"/>
      <c r="Q504" s="248"/>
    </row>
    <row r="505" spans="1:17" ht="15.75" hidden="1" customHeight="1">
      <c r="A505" s="274"/>
      <c r="B505" s="212"/>
      <c r="C505" s="202" t="e">
        <f>#REF!</f>
        <v>#REF!</v>
      </c>
      <c r="D505" s="202"/>
      <c r="E505" s="214"/>
      <c r="F505" s="202"/>
      <c r="G505" s="234" t="e">
        <f>Backlog[[#This Row],[OP]]</f>
        <v>#VALUE!</v>
      </c>
      <c r="H505" s="202"/>
      <c r="I505" s="316" t="e">
        <f>IF(Backlog[[#This Row],[Fecha Requerida en Producción]]="","",Backlog[[#This Row],[Fecha Requerida en Producción]])</f>
        <v>#VALUE!</v>
      </c>
      <c r="J505" s="207"/>
      <c r="K505" s="207"/>
      <c r="L505" s="207"/>
      <c r="M505" s="207"/>
      <c r="N505" s="248"/>
      <c r="O505" s="248"/>
      <c r="P505" s="248"/>
      <c r="Q505" s="248"/>
    </row>
    <row r="506" spans="1:17" ht="15.75" hidden="1" customHeight="1">
      <c r="A506" s="274"/>
      <c r="B506" s="212"/>
      <c r="C506" s="202" t="e">
        <f>#REF!</f>
        <v>#REF!</v>
      </c>
      <c r="D506" s="202"/>
      <c r="E506" s="214"/>
      <c r="F506" s="202"/>
      <c r="G506" s="234" t="e">
        <f>Backlog[[#This Row],[OP]]</f>
        <v>#VALUE!</v>
      </c>
      <c r="H506" s="202"/>
      <c r="I506" s="316" t="e">
        <f>IF(Backlog[[#This Row],[Fecha Requerida en Producción]]="","",Backlog[[#This Row],[Fecha Requerida en Producción]])</f>
        <v>#VALUE!</v>
      </c>
      <c r="J506" s="207"/>
      <c r="K506" s="207"/>
      <c r="L506" s="207"/>
      <c r="M506" s="207"/>
      <c r="N506" s="248"/>
      <c r="O506" s="248"/>
      <c r="P506" s="248"/>
      <c r="Q506" s="248"/>
    </row>
    <row r="507" spans="1:17" ht="15.75" hidden="1" customHeight="1">
      <c r="A507" s="274"/>
      <c r="B507" s="212"/>
      <c r="C507" s="202" t="e">
        <f>#REF!</f>
        <v>#REF!</v>
      </c>
      <c r="D507" s="202"/>
      <c r="E507" s="214"/>
      <c r="F507" s="202"/>
      <c r="G507" s="234" t="e">
        <f>Backlog[[#This Row],[OP]]</f>
        <v>#VALUE!</v>
      </c>
      <c r="H507" s="202"/>
      <c r="I507" s="316" t="e">
        <f>IF(Backlog[[#This Row],[Fecha Requerida en Producción]]="","",Backlog[[#This Row],[Fecha Requerida en Producción]])</f>
        <v>#VALUE!</v>
      </c>
      <c r="J507" s="207"/>
      <c r="K507" s="207"/>
      <c r="L507" s="207"/>
      <c r="M507" s="207"/>
      <c r="N507" s="248"/>
      <c r="O507" s="248"/>
      <c r="P507" s="248"/>
      <c r="Q507" s="248"/>
    </row>
    <row r="508" spans="1:17" ht="15.75" hidden="1" customHeight="1">
      <c r="A508" s="274"/>
      <c r="B508" s="212"/>
      <c r="C508" s="202" t="e">
        <f>#REF!</f>
        <v>#REF!</v>
      </c>
      <c r="D508" s="202"/>
      <c r="E508" s="214"/>
      <c r="F508" s="202"/>
      <c r="G508" s="234" t="e">
        <f>Backlog[[#This Row],[OP]]</f>
        <v>#VALUE!</v>
      </c>
      <c r="H508" s="202"/>
      <c r="I508" s="316" t="e">
        <f>IF(Backlog[[#This Row],[Fecha Requerida en Producción]]="","",Backlog[[#This Row],[Fecha Requerida en Producción]])</f>
        <v>#VALUE!</v>
      </c>
      <c r="J508" s="207"/>
      <c r="K508" s="207"/>
      <c r="L508" s="207"/>
      <c r="M508" s="207"/>
      <c r="N508" s="248"/>
      <c r="O508" s="248"/>
      <c r="P508" s="248"/>
      <c r="Q508" s="248"/>
    </row>
    <row r="509" spans="1:17" ht="15.75" hidden="1" customHeight="1">
      <c r="A509" s="274"/>
      <c r="B509" s="212"/>
      <c r="C509" s="202" t="e">
        <f>#REF!</f>
        <v>#REF!</v>
      </c>
      <c r="D509" s="202"/>
      <c r="E509" s="214"/>
      <c r="F509" s="202"/>
      <c r="G509" s="234" t="e">
        <f>Backlog[[#This Row],[OP]]</f>
        <v>#VALUE!</v>
      </c>
      <c r="H509" s="202"/>
      <c r="I509" s="316" t="e">
        <f>IF(Backlog[[#This Row],[Fecha Requerida en Producción]]="","",Backlog[[#This Row],[Fecha Requerida en Producción]])</f>
        <v>#VALUE!</v>
      </c>
      <c r="J509" s="207"/>
      <c r="K509" s="207"/>
      <c r="L509" s="207"/>
      <c r="M509" s="207"/>
      <c r="N509" s="248"/>
      <c r="O509" s="248"/>
      <c r="P509" s="248"/>
      <c r="Q509" s="248"/>
    </row>
    <row r="510" spans="1:17" ht="15.75" hidden="1" customHeight="1">
      <c r="A510" s="274"/>
      <c r="B510" s="212"/>
      <c r="C510" s="202" t="e">
        <f>#REF!</f>
        <v>#REF!</v>
      </c>
      <c r="D510" s="202"/>
      <c r="E510" s="214"/>
      <c r="F510" s="202"/>
      <c r="G510" s="234" t="e">
        <f>Backlog[[#This Row],[OP]]</f>
        <v>#VALUE!</v>
      </c>
      <c r="H510" s="202"/>
      <c r="I510" s="316" t="e">
        <f>IF(Backlog[[#This Row],[Fecha Requerida en Producción]]="","",Backlog[[#This Row],[Fecha Requerida en Producción]])</f>
        <v>#VALUE!</v>
      </c>
      <c r="J510" s="207"/>
      <c r="K510" s="207"/>
      <c r="L510" s="207"/>
      <c r="M510" s="207"/>
      <c r="N510" s="248"/>
      <c r="O510" s="248"/>
      <c r="P510" s="248"/>
      <c r="Q510" s="248"/>
    </row>
    <row r="511" spans="1:17" ht="15.75" hidden="1" customHeight="1">
      <c r="A511" s="274"/>
      <c r="B511" s="212"/>
      <c r="C511" s="202" t="e">
        <f>#REF!</f>
        <v>#REF!</v>
      </c>
      <c r="D511" s="202"/>
      <c r="E511" s="214"/>
      <c r="F511" s="202"/>
      <c r="G511" s="234" t="e">
        <f>Backlog[[#This Row],[OP]]</f>
        <v>#VALUE!</v>
      </c>
      <c r="H511" s="202"/>
      <c r="I511" s="316" t="e">
        <f>IF(Backlog[[#This Row],[Fecha Requerida en Producción]]="","",Backlog[[#This Row],[Fecha Requerida en Producción]])</f>
        <v>#VALUE!</v>
      </c>
      <c r="J511" s="207"/>
      <c r="K511" s="207"/>
      <c r="L511" s="207"/>
      <c r="M511" s="207"/>
      <c r="N511" s="248"/>
      <c r="O511" s="248"/>
      <c r="P511" s="248"/>
      <c r="Q511" s="248"/>
    </row>
    <row r="512" spans="1:17" ht="15.75" hidden="1" customHeight="1">
      <c r="A512" s="274"/>
      <c r="B512" s="212"/>
      <c r="C512" s="202" t="e">
        <f>#REF!</f>
        <v>#REF!</v>
      </c>
      <c r="D512" s="202"/>
      <c r="E512" s="214"/>
      <c r="F512" s="202"/>
      <c r="G512" s="234" t="e">
        <f>Backlog[[#This Row],[OP]]</f>
        <v>#VALUE!</v>
      </c>
      <c r="H512" s="202"/>
      <c r="I512" s="316" t="e">
        <f>IF(Backlog[[#This Row],[Fecha Requerida en Producción]]="","",Backlog[[#This Row],[Fecha Requerida en Producción]])</f>
        <v>#VALUE!</v>
      </c>
      <c r="J512" s="207"/>
      <c r="K512" s="207"/>
      <c r="L512" s="207"/>
      <c r="M512" s="207"/>
      <c r="N512" s="248"/>
      <c r="O512" s="248"/>
      <c r="P512" s="248"/>
      <c r="Q512" s="248"/>
    </row>
    <row r="513" spans="1:17" ht="15.75" hidden="1" customHeight="1">
      <c r="A513" s="274"/>
      <c r="B513" s="212"/>
      <c r="C513" s="202" t="e">
        <f>#REF!</f>
        <v>#REF!</v>
      </c>
      <c r="D513" s="202"/>
      <c r="E513" s="214"/>
      <c r="F513" s="202"/>
      <c r="G513" s="234" t="e">
        <f>Backlog[[#This Row],[OP]]</f>
        <v>#VALUE!</v>
      </c>
      <c r="H513" s="202"/>
      <c r="I513" s="316" t="e">
        <f>IF(Backlog[[#This Row],[Fecha Requerida en Producción]]="","",Backlog[[#This Row],[Fecha Requerida en Producción]])</f>
        <v>#VALUE!</v>
      </c>
      <c r="J513" s="207"/>
      <c r="K513" s="207"/>
      <c r="L513" s="207"/>
      <c r="M513" s="207"/>
      <c r="N513" s="248"/>
      <c r="O513" s="248"/>
      <c r="P513" s="248"/>
      <c r="Q513" s="248"/>
    </row>
    <row r="514" spans="1:17" ht="15.75" hidden="1" customHeight="1">
      <c r="A514" s="274"/>
      <c r="B514" s="212"/>
      <c r="C514" s="202" t="e">
        <f>#REF!</f>
        <v>#REF!</v>
      </c>
      <c r="D514" s="202"/>
      <c r="E514" s="214"/>
      <c r="F514" s="202"/>
      <c r="G514" s="234" t="e">
        <f>Backlog[[#This Row],[OP]]</f>
        <v>#VALUE!</v>
      </c>
      <c r="H514" s="202"/>
      <c r="I514" s="316" t="e">
        <f>IF(Backlog[[#This Row],[Fecha Requerida en Producción]]="","",Backlog[[#This Row],[Fecha Requerida en Producción]])</f>
        <v>#VALUE!</v>
      </c>
      <c r="J514" s="207"/>
      <c r="K514" s="207"/>
      <c r="L514" s="207"/>
      <c r="M514" s="207"/>
      <c r="N514" s="248"/>
      <c r="O514" s="248"/>
      <c r="P514" s="248"/>
      <c r="Q514" s="248"/>
    </row>
    <row r="515" spans="1:17" ht="15.75" hidden="1" customHeight="1">
      <c r="A515" s="274"/>
      <c r="B515" s="212"/>
      <c r="C515" s="202" t="e">
        <f>#REF!</f>
        <v>#REF!</v>
      </c>
      <c r="D515" s="202"/>
      <c r="E515" s="214"/>
      <c r="F515" s="202"/>
      <c r="G515" s="234" t="e">
        <f>Backlog[[#This Row],[OP]]</f>
        <v>#VALUE!</v>
      </c>
      <c r="H515" s="202"/>
      <c r="I515" s="316" t="e">
        <f>IF(Backlog[[#This Row],[Fecha Requerida en Producción]]="","",Backlog[[#This Row],[Fecha Requerida en Producción]])</f>
        <v>#VALUE!</v>
      </c>
      <c r="J515" s="207"/>
      <c r="K515" s="207"/>
      <c r="L515" s="207"/>
      <c r="M515" s="207"/>
      <c r="N515" s="248"/>
      <c r="O515" s="248"/>
      <c r="P515" s="248"/>
      <c r="Q515" s="248"/>
    </row>
    <row r="516" spans="1:17" ht="15.75" hidden="1" customHeight="1">
      <c r="A516" s="274"/>
      <c r="B516" s="212"/>
      <c r="C516" s="202" t="e">
        <f>#REF!</f>
        <v>#REF!</v>
      </c>
      <c r="D516" s="202"/>
      <c r="E516" s="214"/>
      <c r="F516" s="202"/>
      <c r="G516" s="234" t="e">
        <f>Backlog[[#This Row],[OP]]</f>
        <v>#VALUE!</v>
      </c>
      <c r="H516" s="202"/>
      <c r="I516" s="316" t="e">
        <f>IF(Backlog[[#This Row],[Fecha Requerida en Producción]]="","",Backlog[[#This Row],[Fecha Requerida en Producción]])</f>
        <v>#VALUE!</v>
      </c>
      <c r="J516" s="207"/>
      <c r="K516" s="207"/>
      <c r="L516" s="207"/>
      <c r="M516" s="207"/>
      <c r="N516" s="248"/>
      <c r="O516" s="248"/>
      <c r="P516" s="248"/>
      <c r="Q516" s="248"/>
    </row>
    <row r="517" spans="1:17" ht="15.75" hidden="1" customHeight="1">
      <c r="A517" s="274"/>
      <c r="B517" s="212"/>
      <c r="C517" s="202" t="e">
        <f>#REF!</f>
        <v>#REF!</v>
      </c>
      <c r="D517" s="202"/>
      <c r="E517" s="214"/>
      <c r="F517" s="202"/>
      <c r="G517" s="234" t="e">
        <f>Backlog[[#This Row],[OP]]</f>
        <v>#VALUE!</v>
      </c>
      <c r="H517" s="202"/>
      <c r="I517" s="316" t="e">
        <f>IF(Backlog[[#This Row],[Fecha Requerida en Producción]]="","",Backlog[[#This Row],[Fecha Requerida en Producción]])</f>
        <v>#VALUE!</v>
      </c>
      <c r="J517" s="207"/>
      <c r="K517" s="207"/>
      <c r="L517" s="207"/>
      <c r="M517" s="207"/>
      <c r="N517" s="248"/>
      <c r="O517" s="248"/>
      <c r="P517" s="248"/>
      <c r="Q517" s="248"/>
    </row>
    <row r="518" spans="1:17" ht="15.75" hidden="1" customHeight="1">
      <c r="A518" s="274"/>
      <c r="B518" s="212"/>
      <c r="C518" s="202" t="e">
        <f>#REF!</f>
        <v>#REF!</v>
      </c>
      <c r="D518" s="202"/>
      <c r="E518" s="214"/>
      <c r="F518" s="202"/>
      <c r="G518" s="234" t="e">
        <f>Backlog[[#This Row],[OP]]</f>
        <v>#VALUE!</v>
      </c>
      <c r="H518" s="202"/>
      <c r="I518" s="316" t="e">
        <f>IF(Backlog[[#This Row],[Fecha Requerida en Producción]]="","",Backlog[[#This Row],[Fecha Requerida en Producción]])</f>
        <v>#VALUE!</v>
      </c>
      <c r="J518" s="207"/>
      <c r="K518" s="207"/>
      <c r="L518" s="207"/>
      <c r="M518" s="207"/>
      <c r="N518" s="248"/>
      <c r="O518" s="248"/>
      <c r="P518" s="248"/>
      <c r="Q518" s="248"/>
    </row>
    <row r="519" spans="1:17" ht="15.75" hidden="1" customHeight="1">
      <c r="A519" s="274"/>
      <c r="B519" s="212"/>
      <c r="C519" s="202" t="e">
        <f>#REF!</f>
        <v>#REF!</v>
      </c>
      <c r="D519" s="202"/>
      <c r="E519" s="214"/>
      <c r="F519" s="202"/>
      <c r="G519" s="234" t="e">
        <f>Backlog[[#This Row],[OP]]</f>
        <v>#VALUE!</v>
      </c>
      <c r="H519" s="202"/>
      <c r="I519" s="316" t="e">
        <f>IF(Backlog[[#This Row],[Fecha Requerida en Producción]]="","",Backlog[[#This Row],[Fecha Requerida en Producción]])</f>
        <v>#VALUE!</v>
      </c>
      <c r="J519" s="207"/>
      <c r="K519" s="207"/>
      <c r="L519" s="207"/>
      <c r="M519" s="207"/>
      <c r="N519" s="248"/>
      <c r="O519" s="248"/>
      <c r="P519" s="248"/>
      <c r="Q519" s="248"/>
    </row>
    <row r="520" spans="1:17" ht="15.75" hidden="1" customHeight="1">
      <c r="A520" s="274"/>
      <c r="B520" s="212"/>
      <c r="C520" s="202" t="e">
        <f>#REF!</f>
        <v>#REF!</v>
      </c>
      <c r="D520" s="202"/>
      <c r="E520" s="214"/>
      <c r="F520" s="202"/>
      <c r="G520" s="234" t="e">
        <f>Backlog[[#This Row],[OP]]</f>
        <v>#VALUE!</v>
      </c>
      <c r="H520" s="202"/>
      <c r="I520" s="316" t="e">
        <f>IF(Backlog[[#This Row],[Fecha Requerida en Producción]]="","",Backlog[[#This Row],[Fecha Requerida en Producción]])</f>
        <v>#VALUE!</v>
      </c>
      <c r="J520" s="207"/>
      <c r="K520" s="207"/>
      <c r="L520" s="207"/>
      <c r="M520" s="207"/>
      <c r="N520" s="248"/>
      <c r="O520" s="248"/>
      <c r="P520" s="248"/>
      <c r="Q520" s="248"/>
    </row>
    <row r="521" spans="1:17" ht="15.75" hidden="1" customHeight="1">
      <c r="A521" s="274"/>
      <c r="B521" s="212"/>
      <c r="C521" s="202" t="e">
        <f>#REF!</f>
        <v>#REF!</v>
      </c>
      <c r="D521" s="202"/>
      <c r="E521" s="214"/>
      <c r="F521" s="202"/>
      <c r="G521" s="234" t="e">
        <f>Backlog[[#This Row],[OP]]</f>
        <v>#VALUE!</v>
      </c>
      <c r="H521" s="202"/>
      <c r="I521" s="316" t="e">
        <f>IF(Backlog[[#This Row],[Fecha Requerida en Producción]]="","",Backlog[[#This Row],[Fecha Requerida en Producción]])</f>
        <v>#VALUE!</v>
      </c>
      <c r="J521" s="207"/>
      <c r="K521" s="207"/>
      <c r="L521" s="207"/>
      <c r="M521" s="207"/>
      <c r="N521" s="248"/>
      <c r="O521" s="248"/>
      <c r="P521" s="248"/>
      <c r="Q521" s="248"/>
    </row>
    <row r="522" spans="1:17" ht="15.75" hidden="1" customHeight="1">
      <c r="A522" s="274"/>
      <c r="B522" s="212"/>
      <c r="C522" s="202" t="e">
        <f>#REF!</f>
        <v>#REF!</v>
      </c>
      <c r="D522" s="202"/>
      <c r="E522" s="214"/>
      <c r="F522" s="202"/>
      <c r="G522" s="234" t="e">
        <f>Backlog[[#This Row],[OP]]</f>
        <v>#VALUE!</v>
      </c>
      <c r="H522" s="202"/>
      <c r="I522" s="316" t="e">
        <f>IF(Backlog[[#This Row],[Fecha Requerida en Producción]]="","",Backlog[[#This Row],[Fecha Requerida en Producción]])</f>
        <v>#VALUE!</v>
      </c>
      <c r="J522" s="207"/>
      <c r="K522" s="207"/>
      <c r="L522" s="207"/>
      <c r="M522" s="207"/>
      <c r="N522" s="248"/>
      <c r="O522" s="248"/>
      <c r="P522" s="248"/>
      <c r="Q522" s="248"/>
    </row>
    <row r="523" spans="1:17" ht="15.75" hidden="1" customHeight="1">
      <c r="A523" s="274"/>
      <c r="B523" s="212"/>
      <c r="C523" s="202" t="e">
        <f>#REF!</f>
        <v>#REF!</v>
      </c>
      <c r="D523" s="202"/>
      <c r="E523" s="214"/>
      <c r="F523" s="202"/>
      <c r="G523" s="234" t="e">
        <f>Backlog[[#This Row],[OP]]</f>
        <v>#VALUE!</v>
      </c>
      <c r="H523" s="202"/>
      <c r="I523" s="316" t="e">
        <f>IF(Backlog[[#This Row],[Fecha Requerida en Producción]]="","",Backlog[[#This Row],[Fecha Requerida en Producción]])</f>
        <v>#VALUE!</v>
      </c>
      <c r="J523" s="207"/>
      <c r="K523" s="207"/>
      <c r="L523" s="207"/>
      <c r="M523" s="207"/>
      <c r="N523" s="248"/>
      <c r="O523" s="248"/>
      <c r="P523" s="248"/>
      <c r="Q523" s="248"/>
    </row>
    <row r="524" spans="1:17" ht="15.75" hidden="1" customHeight="1">
      <c r="A524" s="274"/>
      <c r="B524" s="212"/>
      <c r="C524" s="202" t="e">
        <f>#REF!</f>
        <v>#REF!</v>
      </c>
      <c r="D524" s="202"/>
      <c r="E524" s="214"/>
      <c r="F524" s="202"/>
      <c r="G524" s="234" t="e">
        <f>Backlog[[#This Row],[OP]]</f>
        <v>#VALUE!</v>
      </c>
      <c r="H524" s="202"/>
      <c r="I524" s="316" t="e">
        <f>IF(Backlog[[#This Row],[Fecha Requerida en Producción]]="","",Backlog[[#This Row],[Fecha Requerida en Producción]])</f>
        <v>#VALUE!</v>
      </c>
      <c r="J524" s="207"/>
      <c r="K524" s="207"/>
      <c r="L524" s="207"/>
      <c r="M524" s="207"/>
      <c r="N524" s="248"/>
      <c r="O524" s="248"/>
      <c r="P524" s="248"/>
      <c r="Q524" s="248"/>
    </row>
    <row r="525" spans="1:17" ht="15.75" hidden="1" customHeight="1">
      <c r="A525" s="274"/>
      <c r="B525" s="212"/>
      <c r="C525" s="202" t="e">
        <f>#REF!</f>
        <v>#REF!</v>
      </c>
      <c r="D525" s="202"/>
      <c r="E525" s="214"/>
      <c r="F525" s="202"/>
      <c r="G525" s="234" t="e">
        <f>Backlog[[#This Row],[OP]]</f>
        <v>#VALUE!</v>
      </c>
      <c r="H525" s="202"/>
      <c r="I525" s="316" t="e">
        <f>IF(Backlog[[#This Row],[Fecha Requerida en Producción]]="","",Backlog[[#This Row],[Fecha Requerida en Producción]])</f>
        <v>#VALUE!</v>
      </c>
      <c r="J525" s="207"/>
      <c r="K525" s="207"/>
      <c r="L525" s="207"/>
      <c r="M525" s="207"/>
      <c r="N525" s="248"/>
      <c r="O525" s="248"/>
      <c r="P525" s="248"/>
      <c r="Q525" s="248"/>
    </row>
    <row r="526" spans="1:17" ht="15.75" hidden="1" customHeight="1">
      <c r="A526" s="274"/>
      <c r="B526" s="212"/>
      <c r="C526" s="202" t="e">
        <f>#REF!</f>
        <v>#REF!</v>
      </c>
      <c r="D526" s="202"/>
      <c r="E526" s="214"/>
      <c r="F526" s="202"/>
      <c r="G526" s="234" t="e">
        <f>Backlog[[#This Row],[OP]]</f>
        <v>#VALUE!</v>
      </c>
      <c r="H526" s="202"/>
      <c r="I526" s="316" t="e">
        <f>IF(Backlog[[#This Row],[Fecha Requerida en Producción]]="","",Backlog[[#This Row],[Fecha Requerida en Producción]])</f>
        <v>#VALUE!</v>
      </c>
      <c r="J526" s="207"/>
      <c r="K526" s="207"/>
      <c r="L526" s="207"/>
      <c r="M526" s="207"/>
      <c r="N526" s="248"/>
      <c r="O526" s="248"/>
      <c r="P526" s="248"/>
      <c r="Q526" s="248"/>
    </row>
    <row r="527" spans="1:17" ht="15.75" hidden="1" customHeight="1">
      <c r="A527" s="274"/>
      <c r="B527" s="212"/>
      <c r="C527" s="202" t="e">
        <f>#REF!</f>
        <v>#REF!</v>
      </c>
      <c r="D527" s="202"/>
      <c r="E527" s="214"/>
      <c r="F527" s="202"/>
      <c r="G527" s="234" t="e">
        <f>Backlog[[#This Row],[OP]]</f>
        <v>#VALUE!</v>
      </c>
      <c r="H527" s="202"/>
      <c r="I527" s="316" t="e">
        <f>IF(Backlog[[#This Row],[Fecha Requerida en Producción]]="","",Backlog[[#This Row],[Fecha Requerida en Producción]])</f>
        <v>#VALUE!</v>
      </c>
      <c r="J527" s="207"/>
      <c r="K527" s="207"/>
      <c r="L527" s="207"/>
      <c r="M527" s="207"/>
      <c r="N527" s="248"/>
      <c r="O527" s="248"/>
      <c r="P527" s="248"/>
      <c r="Q527" s="248"/>
    </row>
    <row r="528" spans="1:17" ht="15.75" hidden="1" customHeight="1">
      <c r="A528" s="274"/>
      <c r="B528" s="212"/>
      <c r="C528" s="202" t="e">
        <f>#REF!</f>
        <v>#REF!</v>
      </c>
      <c r="D528" s="202"/>
      <c r="E528" s="214"/>
      <c r="F528" s="202"/>
      <c r="G528" s="234" t="e">
        <f>Backlog[[#This Row],[OP]]</f>
        <v>#VALUE!</v>
      </c>
      <c r="H528" s="202"/>
      <c r="I528" s="316" t="e">
        <f>IF(Backlog[[#This Row],[Fecha Requerida en Producción]]="","",Backlog[[#This Row],[Fecha Requerida en Producción]])</f>
        <v>#VALUE!</v>
      </c>
      <c r="J528" s="207"/>
      <c r="K528" s="207"/>
      <c r="L528" s="207"/>
      <c r="M528" s="207"/>
      <c r="N528" s="248"/>
      <c r="O528" s="248"/>
      <c r="P528" s="248"/>
      <c r="Q528" s="248"/>
    </row>
    <row r="529" spans="1:17" ht="15.75" hidden="1" customHeight="1">
      <c r="A529" s="274"/>
      <c r="B529" s="212"/>
      <c r="C529" s="202" t="e">
        <f>#REF!</f>
        <v>#REF!</v>
      </c>
      <c r="D529" s="202"/>
      <c r="E529" s="214"/>
      <c r="F529" s="202"/>
      <c r="G529" s="234" t="e">
        <f>Backlog[[#This Row],[OP]]</f>
        <v>#VALUE!</v>
      </c>
      <c r="H529" s="202"/>
      <c r="I529" s="316" t="e">
        <f>IF(Backlog[[#This Row],[Fecha Requerida en Producción]]="","",Backlog[[#This Row],[Fecha Requerida en Producción]])</f>
        <v>#VALUE!</v>
      </c>
      <c r="J529" s="207"/>
      <c r="K529" s="207"/>
      <c r="L529" s="207"/>
      <c r="M529" s="207"/>
      <c r="N529" s="248"/>
      <c r="O529" s="248"/>
      <c r="P529" s="248"/>
      <c r="Q529" s="248"/>
    </row>
    <row r="530" spans="1:17" ht="15.75" hidden="1" customHeight="1">
      <c r="A530" s="274"/>
      <c r="B530" s="212"/>
      <c r="C530" s="202" t="e">
        <f>#REF!</f>
        <v>#REF!</v>
      </c>
      <c r="D530" s="202"/>
      <c r="E530" s="214"/>
      <c r="F530" s="202"/>
      <c r="G530" s="234" t="e">
        <f>Backlog[[#This Row],[OP]]</f>
        <v>#VALUE!</v>
      </c>
      <c r="H530" s="202"/>
      <c r="I530" s="316" t="e">
        <f>IF(Backlog[[#This Row],[Fecha Requerida en Producción]]="","",Backlog[[#This Row],[Fecha Requerida en Producción]])</f>
        <v>#VALUE!</v>
      </c>
      <c r="J530" s="207"/>
      <c r="K530" s="207"/>
      <c r="L530" s="207"/>
      <c r="M530" s="207"/>
      <c r="N530" s="248"/>
      <c r="O530" s="248"/>
      <c r="P530" s="248"/>
      <c r="Q530" s="248"/>
    </row>
    <row r="531" spans="1:17" ht="15.75" hidden="1" customHeight="1">
      <c r="A531" s="274"/>
      <c r="B531" s="212"/>
      <c r="C531" s="202" t="e">
        <f>#REF!</f>
        <v>#REF!</v>
      </c>
      <c r="D531" s="202"/>
      <c r="E531" s="214"/>
      <c r="F531" s="202"/>
      <c r="G531" s="234" t="e">
        <f>Backlog[[#This Row],[OP]]</f>
        <v>#VALUE!</v>
      </c>
      <c r="H531" s="202"/>
      <c r="I531" s="316" t="e">
        <f>IF(Backlog[[#This Row],[Fecha Requerida en Producción]]="","",Backlog[[#This Row],[Fecha Requerida en Producción]])</f>
        <v>#VALUE!</v>
      </c>
      <c r="J531" s="207"/>
      <c r="K531" s="207"/>
      <c r="L531" s="207"/>
      <c r="M531" s="207"/>
      <c r="N531" s="248"/>
      <c r="O531" s="248"/>
      <c r="P531" s="248"/>
      <c r="Q531" s="248"/>
    </row>
    <row r="532" spans="1:17" ht="15.75" hidden="1" customHeight="1">
      <c r="A532" s="274"/>
      <c r="B532" s="212"/>
      <c r="C532" s="202" t="e">
        <f>#REF!</f>
        <v>#REF!</v>
      </c>
      <c r="D532" s="202"/>
      <c r="E532" s="214"/>
      <c r="F532" s="202"/>
      <c r="G532" s="234" t="e">
        <f>Backlog[[#This Row],[OP]]</f>
        <v>#VALUE!</v>
      </c>
      <c r="H532" s="202"/>
      <c r="I532" s="316" t="e">
        <f>IF(Backlog[[#This Row],[Fecha Requerida en Producción]]="","",Backlog[[#This Row],[Fecha Requerida en Producción]])</f>
        <v>#VALUE!</v>
      </c>
      <c r="J532" s="207"/>
      <c r="K532" s="207"/>
      <c r="L532" s="207"/>
      <c r="M532" s="207"/>
      <c r="N532" s="248"/>
      <c r="O532" s="248"/>
      <c r="P532" s="248"/>
      <c r="Q532" s="248"/>
    </row>
    <row r="533" spans="1:17" ht="15.75" hidden="1" customHeight="1">
      <c r="A533" s="274"/>
      <c r="B533" s="212"/>
      <c r="C533" s="202" t="e">
        <f>#REF!</f>
        <v>#REF!</v>
      </c>
      <c r="D533" s="202"/>
      <c r="E533" s="214"/>
      <c r="F533" s="202"/>
      <c r="G533" s="234" t="e">
        <f>Backlog[[#This Row],[OP]]</f>
        <v>#VALUE!</v>
      </c>
      <c r="H533" s="202"/>
      <c r="I533" s="316" t="e">
        <f>IF(Backlog[[#This Row],[Fecha Requerida en Producción]]="","",Backlog[[#This Row],[Fecha Requerida en Producción]])</f>
        <v>#VALUE!</v>
      </c>
      <c r="J533" s="207"/>
      <c r="K533" s="207"/>
      <c r="L533" s="207"/>
      <c r="M533" s="207"/>
      <c r="N533" s="248"/>
      <c r="O533" s="248"/>
      <c r="P533" s="248"/>
      <c r="Q533" s="248"/>
    </row>
    <row r="534" spans="1:17" ht="15.75" hidden="1" customHeight="1">
      <c r="A534" s="274"/>
      <c r="B534" s="212"/>
      <c r="C534" s="202" t="e">
        <f>#REF!</f>
        <v>#REF!</v>
      </c>
      <c r="D534" s="202"/>
      <c r="E534" s="214"/>
      <c r="F534" s="202"/>
      <c r="G534" s="234" t="e">
        <f>Backlog[[#This Row],[OP]]</f>
        <v>#VALUE!</v>
      </c>
      <c r="H534" s="202"/>
      <c r="I534" s="316" t="e">
        <f>IF(Backlog[[#This Row],[Fecha Requerida en Producción]]="","",Backlog[[#This Row],[Fecha Requerida en Producción]])</f>
        <v>#VALUE!</v>
      </c>
      <c r="J534" s="207"/>
      <c r="K534" s="207"/>
      <c r="L534" s="207"/>
      <c r="M534" s="207"/>
      <c r="N534" s="248"/>
      <c r="O534" s="248"/>
      <c r="P534" s="248"/>
      <c r="Q534" s="248"/>
    </row>
    <row r="535" spans="1:17" ht="15.75" hidden="1" customHeight="1">
      <c r="A535" s="274"/>
      <c r="B535" s="212"/>
      <c r="C535" s="202" t="e">
        <f>#REF!</f>
        <v>#REF!</v>
      </c>
      <c r="D535" s="202"/>
      <c r="E535" s="214"/>
      <c r="F535" s="202"/>
      <c r="G535" s="234" t="e">
        <f>Backlog[[#This Row],[OP]]</f>
        <v>#VALUE!</v>
      </c>
      <c r="H535" s="202"/>
      <c r="I535" s="316" t="e">
        <f>IF(Backlog[[#This Row],[Fecha Requerida en Producción]]="","",Backlog[[#This Row],[Fecha Requerida en Producción]])</f>
        <v>#VALUE!</v>
      </c>
      <c r="J535" s="207"/>
      <c r="K535" s="207"/>
      <c r="L535" s="207"/>
      <c r="M535" s="207"/>
      <c r="N535" s="250"/>
      <c r="O535" s="250"/>
      <c r="P535" s="250"/>
      <c r="Q535" s="250"/>
    </row>
    <row r="536" spans="1:17" ht="15.75" hidden="1" customHeight="1">
      <c r="A536" s="274"/>
      <c r="B536" s="212"/>
      <c r="C536" s="202" t="e">
        <f>#REF!</f>
        <v>#REF!</v>
      </c>
      <c r="D536" s="202"/>
      <c r="E536" s="214"/>
      <c r="F536" s="202"/>
      <c r="G536" s="234" t="e">
        <f>Backlog[[#This Row],[OP]]</f>
        <v>#VALUE!</v>
      </c>
      <c r="H536" s="202"/>
      <c r="I536" s="316" t="e">
        <f>IF(Backlog[[#This Row],[Fecha Requerida en Producción]]="","",Backlog[[#This Row],[Fecha Requerida en Producción]])</f>
        <v>#VALUE!</v>
      </c>
      <c r="J536" s="207"/>
      <c r="K536" s="207"/>
      <c r="L536" s="207"/>
      <c r="M536" s="207"/>
      <c r="N536" s="248"/>
      <c r="O536" s="248"/>
      <c r="P536" s="248"/>
      <c r="Q536" s="248"/>
    </row>
    <row r="537" spans="1:17" ht="15.75" hidden="1" customHeight="1">
      <c r="A537" s="274"/>
      <c r="B537" s="212"/>
      <c r="C537" s="202" t="e">
        <f>#REF!</f>
        <v>#REF!</v>
      </c>
      <c r="D537" s="202"/>
      <c r="E537" s="214"/>
      <c r="F537" s="202"/>
      <c r="G537" s="234" t="e">
        <f>Backlog[[#This Row],[OP]]</f>
        <v>#VALUE!</v>
      </c>
      <c r="H537" s="202"/>
      <c r="I537" s="316" t="e">
        <f>IF(Backlog[[#This Row],[Fecha Requerida en Producción]]="","",Backlog[[#This Row],[Fecha Requerida en Producción]])</f>
        <v>#VALUE!</v>
      </c>
      <c r="J537" s="207"/>
      <c r="K537" s="207"/>
      <c r="L537" s="207"/>
      <c r="M537" s="207"/>
      <c r="N537" s="248"/>
      <c r="O537" s="248"/>
      <c r="P537" s="248"/>
      <c r="Q537" s="248"/>
    </row>
    <row r="538" spans="1:17" ht="15.75" hidden="1" customHeight="1">
      <c r="A538" s="274"/>
      <c r="B538" s="212"/>
      <c r="C538" s="202" t="e">
        <f>#REF!</f>
        <v>#REF!</v>
      </c>
      <c r="D538" s="202"/>
      <c r="E538" s="214"/>
      <c r="F538" s="202"/>
      <c r="G538" s="234" t="e">
        <f>Backlog[[#This Row],[OP]]</f>
        <v>#VALUE!</v>
      </c>
      <c r="H538" s="202"/>
      <c r="I538" s="316" t="e">
        <f>IF(Backlog[[#This Row],[Fecha Requerida en Producción]]="","",Backlog[[#This Row],[Fecha Requerida en Producción]])</f>
        <v>#VALUE!</v>
      </c>
      <c r="J538" s="207"/>
      <c r="K538" s="207"/>
      <c r="L538" s="207"/>
      <c r="M538" s="207"/>
      <c r="N538" s="248"/>
      <c r="O538" s="248"/>
      <c r="P538" s="248"/>
      <c r="Q538" s="248"/>
    </row>
    <row r="539" spans="1:17" ht="15.75" hidden="1" customHeight="1">
      <c r="A539" s="274"/>
      <c r="B539" s="212"/>
      <c r="C539" s="202" t="e">
        <f>#REF!</f>
        <v>#REF!</v>
      </c>
      <c r="D539" s="202"/>
      <c r="E539" s="214"/>
      <c r="F539" s="202"/>
      <c r="G539" s="234" t="e">
        <f>Backlog[[#This Row],[OP]]</f>
        <v>#VALUE!</v>
      </c>
      <c r="H539" s="202"/>
      <c r="I539" s="316" t="e">
        <f>IF(Backlog[[#This Row],[Fecha Requerida en Producción]]="","",Backlog[[#This Row],[Fecha Requerida en Producción]])</f>
        <v>#VALUE!</v>
      </c>
      <c r="J539" s="207"/>
      <c r="K539" s="207"/>
      <c r="L539" s="207"/>
      <c r="M539" s="207"/>
      <c r="N539" s="248"/>
      <c r="O539" s="248"/>
      <c r="P539" s="248"/>
      <c r="Q539" s="248"/>
    </row>
    <row r="540" spans="1:17" ht="15.75" hidden="1" customHeight="1">
      <c r="A540" s="274"/>
      <c r="B540" s="212"/>
      <c r="C540" s="202" t="e">
        <f>#REF!</f>
        <v>#REF!</v>
      </c>
      <c r="D540" s="202"/>
      <c r="E540" s="214"/>
      <c r="F540" s="202"/>
      <c r="G540" s="234" t="e">
        <f>Backlog[[#This Row],[OP]]</f>
        <v>#VALUE!</v>
      </c>
      <c r="H540" s="202"/>
      <c r="I540" s="316" t="e">
        <f>IF(Backlog[[#This Row],[Fecha Requerida en Producción]]="","",Backlog[[#This Row],[Fecha Requerida en Producción]])</f>
        <v>#VALUE!</v>
      </c>
      <c r="J540" s="207"/>
      <c r="K540" s="207"/>
      <c r="L540" s="207"/>
      <c r="M540" s="207"/>
      <c r="N540" s="248"/>
      <c r="O540" s="248"/>
      <c r="P540" s="248"/>
      <c r="Q540" s="248"/>
    </row>
    <row r="541" spans="1:17" ht="15.75" hidden="1" customHeight="1">
      <c r="A541" s="274"/>
      <c r="B541" s="212"/>
      <c r="C541" s="202" t="e">
        <f>#REF!</f>
        <v>#REF!</v>
      </c>
      <c r="D541" s="202"/>
      <c r="E541" s="214"/>
      <c r="F541" s="202"/>
      <c r="G541" s="234" t="e">
        <f>Backlog[[#This Row],[OP]]</f>
        <v>#VALUE!</v>
      </c>
      <c r="H541" s="202"/>
      <c r="I541" s="316" t="e">
        <f>IF(Backlog[[#This Row],[Fecha Requerida en Producción]]="","",Backlog[[#This Row],[Fecha Requerida en Producción]])</f>
        <v>#VALUE!</v>
      </c>
      <c r="J541" s="207"/>
      <c r="K541" s="207"/>
      <c r="L541" s="207"/>
      <c r="M541" s="207"/>
      <c r="N541" s="248"/>
      <c r="O541" s="248"/>
      <c r="P541" s="248"/>
      <c r="Q541" s="248"/>
    </row>
    <row r="542" spans="1:17" ht="15.75" hidden="1" customHeight="1">
      <c r="A542" s="274"/>
      <c r="B542" s="212"/>
      <c r="C542" s="202" t="e">
        <f>#REF!</f>
        <v>#REF!</v>
      </c>
      <c r="D542" s="202"/>
      <c r="E542" s="214"/>
      <c r="F542" s="202"/>
      <c r="G542" s="234" t="e">
        <f>Backlog[[#This Row],[OP]]</f>
        <v>#VALUE!</v>
      </c>
      <c r="H542" s="202"/>
      <c r="I542" s="316" t="e">
        <f>IF(Backlog[[#This Row],[Fecha Requerida en Producción]]="","",Backlog[[#This Row],[Fecha Requerida en Producción]])</f>
        <v>#VALUE!</v>
      </c>
      <c r="J542" s="207"/>
      <c r="K542" s="207"/>
      <c r="L542" s="207"/>
      <c r="M542" s="207"/>
      <c r="N542" s="248"/>
      <c r="O542" s="248"/>
      <c r="P542" s="248"/>
      <c r="Q542" s="248"/>
    </row>
    <row r="543" spans="1:17" ht="15.75" hidden="1" customHeight="1">
      <c r="A543" s="274"/>
      <c r="B543" s="212"/>
      <c r="C543" s="202" t="e">
        <f>#REF!</f>
        <v>#REF!</v>
      </c>
      <c r="D543" s="202"/>
      <c r="E543" s="214"/>
      <c r="F543" s="202"/>
      <c r="G543" s="234" t="e">
        <f>Backlog[[#This Row],[OP]]</f>
        <v>#VALUE!</v>
      </c>
      <c r="H543" s="202"/>
      <c r="I543" s="316" t="e">
        <f>IF(Backlog[[#This Row],[Fecha Requerida en Producción]]="","",Backlog[[#This Row],[Fecha Requerida en Producción]])</f>
        <v>#VALUE!</v>
      </c>
      <c r="J543" s="207"/>
      <c r="K543" s="207"/>
      <c r="L543" s="207"/>
      <c r="M543" s="207"/>
      <c r="N543" s="248"/>
      <c r="O543" s="248"/>
      <c r="P543" s="248"/>
      <c r="Q543" s="248"/>
    </row>
    <row r="544" spans="1:17" ht="15.75" hidden="1" customHeight="1">
      <c r="A544" s="274"/>
      <c r="B544" s="212"/>
      <c r="C544" s="202" t="e">
        <f>#REF!</f>
        <v>#REF!</v>
      </c>
      <c r="D544" s="202"/>
      <c r="E544" s="214"/>
      <c r="F544" s="202"/>
      <c r="G544" s="234" t="e">
        <f>Backlog[[#This Row],[OP]]</f>
        <v>#VALUE!</v>
      </c>
      <c r="H544" s="202"/>
      <c r="I544" s="316" t="e">
        <f>IF(Backlog[[#This Row],[Fecha Requerida en Producción]]="","",Backlog[[#This Row],[Fecha Requerida en Producción]])</f>
        <v>#VALUE!</v>
      </c>
      <c r="J544" s="207"/>
      <c r="K544" s="207"/>
      <c r="L544" s="207"/>
      <c r="M544" s="207"/>
      <c r="N544" s="248"/>
      <c r="O544" s="248"/>
      <c r="P544" s="248"/>
      <c r="Q544" s="248"/>
    </row>
    <row r="545" spans="1:17" ht="15.75" hidden="1" customHeight="1">
      <c r="A545" s="274"/>
      <c r="B545" s="212"/>
      <c r="C545" s="202" t="e">
        <f>#REF!</f>
        <v>#REF!</v>
      </c>
      <c r="D545" s="202"/>
      <c r="E545" s="214"/>
      <c r="F545" s="202"/>
      <c r="G545" s="234" t="e">
        <f>Backlog[[#This Row],[OP]]</f>
        <v>#VALUE!</v>
      </c>
      <c r="H545" s="202"/>
      <c r="I545" s="316" t="e">
        <f>IF(Backlog[[#This Row],[Fecha Requerida en Producción]]="","",Backlog[[#This Row],[Fecha Requerida en Producción]])</f>
        <v>#VALUE!</v>
      </c>
      <c r="J545" s="207"/>
      <c r="K545" s="207"/>
      <c r="L545" s="207"/>
      <c r="M545" s="207"/>
      <c r="N545" s="248"/>
      <c r="O545" s="248"/>
      <c r="P545" s="248"/>
      <c r="Q545" s="248"/>
    </row>
    <row r="546" spans="1:17" ht="15.75" hidden="1" customHeight="1">
      <c r="A546" s="274"/>
      <c r="B546" s="212"/>
      <c r="C546" s="202" t="e">
        <f>#REF!</f>
        <v>#REF!</v>
      </c>
      <c r="D546" s="202"/>
      <c r="E546" s="214"/>
      <c r="F546" s="202"/>
      <c r="G546" s="234" t="e">
        <f>Backlog[[#This Row],[OP]]</f>
        <v>#VALUE!</v>
      </c>
      <c r="H546" s="202"/>
      <c r="I546" s="316" t="e">
        <f>IF(Backlog[[#This Row],[Fecha Requerida en Producción]]="","",Backlog[[#This Row],[Fecha Requerida en Producción]])</f>
        <v>#VALUE!</v>
      </c>
      <c r="J546" s="207"/>
      <c r="K546" s="207"/>
      <c r="L546" s="207"/>
      <c r="M546" s="207"/>
      <c r="N546" s="248"/>
      <c r="O546" s="248"/>
      <c r="P546" s="248"/>
      <c r="Q546" s="248"/>
    </row>
    <row r="547" spans="1:17" ht="15.75" hidden="1" customHeight="1">
      <c r="A547" s="274"/>
      <c r="B547" s="212"/>
      <c r="C547" s="202" t="e">
        <f>#REF!</f>
        <v>#REF!</v>
      </c>
      <c r="D547" s="202"/>
      <c r="E547" s="214"/>
      <c r="F547" s="202"/>
      <c r="G547" s="234" t="e">
        <f>Backlog[[#This Row],[OP]]</f>
        <v>#VALUE!</v>
      </c>
      <c r="H547" s="202"/>
      <c r="I547" s="316" t="e">
        <f>IF(Backlog[[#This Row],[Fecha Requerida en Producción]]="","",Backlog[[#This Row],[Fecha Requerida en Producción]])</f>
        <v>#VALUE!</v>
      </c>
      <c r="J547" s="207"/>
      <c r="K547" s="207"/>
      <c r="L547" s="207"/>
      <c r="M547" s="207"/>
      <c r="N547" s="248"/>
      <c r="O547" s="248"/>
      <c r="P547" s="248"/>
      <c r="Q547" s="248"/>
    </row>
    <row r="548" spans="1:17" ht="15.75" hidden="1" customHeight="1">
      <c r="A548" s="274"/>
      <c r="B548" s="212"/>
      <c r="C548" s="202" t="e">
        <f>#REF!</f>
        <v>#REF!</v>
      </c>
      <c r="D548" s="202"/>
      <c r="E548" s="214"/>
      <c r="F548" s="202"/>
      <c r="G548" s="234" t="e">
        <f>Backlog[[#This Row],[OP]]</f>
        <v>#VALUE!</v>
      </c>
      <c r="H548" s="202"/>
      <c r="I548" s="316" t="e">
        <f>IF(Backlog[[#This Row],[Fecha Requerida en Producción]]="","",Backlog[[#This Row],[Fecha Requerida en Producción]])</f>
        <v>#VALUE!</v>
      </c>
      <c r="J548" s="207"/>
      <c r="K548" s="207"/>
      <c r="L548" s="207"/>
      <c r="M548" s="207"/>
      <c r="N548" s="248"/>
      <c r="O548" s="248"/>
      <c r="P548" s="248"/>
      <c r="Q548" s="248"/>
    </row>
    <row r="549" spans="1:17" ht="15.75" hidden="1" customHeight="1">
      <c r="A549" s="274"/>
      <c r="B549" s="212"/>
      <c r="C549" s="202" t="e">
        <f>#REF!</f>
        <v>#REF!</v>
      </c>
      <c r="D549" s="202"/>
      <c r="E549" s="214"/>
      <c r="F549" s="202"/>
      <c r="G549" s="234" t="e">
        <f>Backlog[[#This Row],[OP]]</f>
        <v>#VALUE!</v>
      </c>
      <c r="H549" s="202"/>
      <c r="I549" s="316" t="e">
        <f>IF(Backlog[[#This Row],[Fecha Requerida en Producción]]="","",Backlog[[#This Row],[Fecha Requerida en Producción]])</f>
        <v>#VALUE!</v>
      </c>
      <c r="J549" s="207"/>
      <c r="K549" s="207"/>
      <c r="L549" s="207"/>
      <c r="M549" s="207"/>
      <c r="N549" s="248"/>
      <c r="O549" s="248"/>
      <c r="P549" s="248"/>
      <c r="Q549" s="248"/>
    </row>
    <row r="550" spans="1:17" ht="15.75" hidden="1" customHeight="1">
      <c r="A550" s="274"/>
      <c r="B550" s="212"/>
      <c r="C550" s="202" t="e">
        <f>#REF!</f>
        <v>#REF!</v>
      </c>
      <c r="D550" s="202"/>
      <c r="E550" s="214"/>
      <c r="F550" s="202"/>
      <c r="G550" s="234" t="e">
        <f>Backlog[[#This Row],[OP]]</f>
        <v>#VALUE!</v>
      </c>
      <c r="H550" s="202"/>
      <c r="I550" s="316" t="e">
        <f>IF(Backlog[[#This Row],[Fecha Requerida en Producción]]="","",Backlog[[#This Row],[Fecha Requerida en Producción]])</f>
        <v>#VALUE!</v>
      </c>
      <c r="J550" s="207"/>
      <c r="K550" s="207"/>
      <c r="L550" s="207"/>
      <c r="M550" s="207"/>
      <c r="N550" s="248"/>
      <c r="O550" s="248"/>
      <c r="P550" s="248"/>
      <c r="Q550" s="248"/>
    </row>
    <row r="551" spans="1:17" ht="15.75" hidden="1" customHeight="1">
      <c r="A551" s="274"/>
      <c r="B551" s="212"/>
      <c r="C551" s="202" t="e">
        <f>#REF!</f>
        <v>#REF!</v>
      </c>
      <c r="D551" s="202"/>
      <c r="E551" s="214"/>
      <c r="F551" s="202"/>
      <c r="G551" s="234" t="e">
        <f>Backlog[[#This Row],[OP]]</f>
        <v>#VALUE!</v>
      </c>
      <c r="H551" s="202"/>
      <c r="I551" s="316" t="e">
        <f>IF(Backlog[[#This Row],[Fecha Requerida en Producción]]="","",Backlog[[#This Row],[Fecha Requerida en Producción]])</f>
        <v>#VALUE!</v>
      </c>
      <c r="J551" s="207"/>
      <c r="K551" s="207"/>
      <c r="L551" s="207"/>
      <c r="M551" s="207"/>
      <c r="N551" s="248"/>
      <c r="O551" s="248"/>
      <c r="P551" s="248"/>
      <c r="Q551" s="248"/>
    </row>
    <row r="552" spans="1:17" ht="15.75" hidden="1" customHeight="1">
      <c r="A552" s="274"/>
      <c r="B552" s="212"/>
      <c r="C552" s="202" t="e">
        <f>#REF!</f>
        <v>#REF!</v>
      </c>
      <c r="D552" s="202"/>
      <c r="E552" s="214"/>
      <c r="F552" s="202"/>
      <c r="G552" s="234" t="e">
        <f>Backlog[[#This Row],[OP]]</f>
        <v>#VALUE!</v>
      </c>
      <c r="H552" s="202"/>
      <c r="I552" s="316" t="e">
        <f>IF(Backlog[[#This Row],[Fecha Requerida en Producción]]="","",Backlog[[#This Row],[Fecha Requerida en Producción]])</f>
        <v>#VALUE!</v>
      </c>
      <c r="J552" s="207"/>
      <c r="K552" s="207"/>
      <c r="L552" s="207"/>
      <c r="M552" s="207"/>
      <c r="N552" s="248"/>
      <c r="O552" s="248"/>
      <c r="P552" s="248"/>
      <c r="Q552" s="248"/>
    </row>
    <row r="553" spans="1:17" ht="15.75" hidden="1" customHeight="1">
      <c r="A553" s="274"/>
      <c r="B553" s="212"/>
      <c r="C553" s="202" t="e">
        <f>#REF!</f>
        <v>#REF!</v>
      </c>
      <c r="D553" s="202"/>
      <c r="E553" s="214"/>
      <c r="F553" s="202"/>
      <c r="G553" s="234" t="e">
        <f>Backlog[[#This Row],[OP]]</f>
        <v>#VALUE!</v>
      </c>
      <c r="H553" s="202"/>
      <c r="I553" s="316" t="e">
        <f>IF(Backlog[[#This Row],[Fecha Requerida en Producción]]="","",Backlog[[#This Row],[Fecha Requerida en Producción]])</f>
        <v>#VALUE!</v>
      </c>
      <c r="J553" s="207"/>
      <c r="K553" s="207"/>
      <c r="L553" s="207"/>
      <c r="M553" s="207"/>
      <c r="N553" s="248"/>
      <c r="O553" s="248"/>
      <c r="P553" s="248"/>
      <c r="Q553" s="248"/>
    </row>
    <row r="554" spans="1:17" ht="15.75" hidden="1" customHeight="1">
      <c r="A554" s="274"/>
      <c r="B554" s="212"/>
      <c r="C554" s="202" t="e">
        <f>#REF!</f>
        <v>#REF!</v>
      </c>
      <c r="D554" s="202"/>
      <c r="E554" s="214"/>
      <c r="F554" s="202"/>
      <c r="G554" s="234" t="e">
        <f>Backlog[[#This Row],[OP]]</f>
        <v>#VALUE!</v>
      </c>
      <c r="H554" s="202"/>
      <c r="I554" s="316" t="e">
        <f>IF(Backlog[[#This Row],[Fecha Requerida en Producción]]="","",Backlog[[#This Row],[Fecha Requerida en Producción]])</f>
        <v>#VALUE!</v>
      </c>
      <c r="J554" s="207"/>
      <c r="K554" s="207"/>
      <c r="L554" s="207"/>
      <c r="M554" s="207"/>
      <c r="N554" s="248"/>
      <c r="O554" s="248"/>
      <c r="P554" s="248"/>
      <c r="Q554" s="248"/>
    </row>
    <row r="555" spans="1:17" ht="15.75" hidden="1" customHeight="1">
      <c r="A555" s="274"/>
      <c r="B555" s="212"/>
      <c r="C555" s="202" t="e">
        <f>#REF!</f>
        <v>#REF!</v>
      </c>
      <c r="D555" s="202"/>
      <c r="E555" s="214"/>
      <c r="F555" s="202"/>
      <c r="G555" s="234" t="e">
        <f>Backlog[[#This Row],[OP]]</f>
        <v>#VALUE!</v>
      </c>
      <c r="H555" s="202"/>
      <c r="I555" s="316" t="e">
        <f>IF(Backlog[[#This Row],[Fecha Requerida en Producción]]="","",Backlog[[#This Row],[Fecha Requerida en Producción]])</f>
        <v>#VALUE!</v>
      </c>
      <c r="J555" s="207"/>
      <c r="K555" s="207"/>
      <c r="L555" s="207"/>
      <c r="M555" s="207"/>
      <c r="N555" s="248"/>
      <c r="O555" s="248"/>
      <c r="P555" s="248"/>
      <c r="Q555" s="248"/>
    </row>
    <row r="556" spans="1:17" ht="15.75" hidden="1" customHeight="1">
      <c r="A556" s="274"/>
      <c r="B556" s="212"/>
      <c r="C556" s="202" t="e">
        <f>#REF!</f>
        <v>#REF!</v>
      </c>
      <c r="D556" s="202"/>
      <c r="E556" s="214"/>
      <c r="F556" s="202"/>
      <c r="G556" s="234" t="e">
        <f>Backlog[[#This Row],[OP]]</f>
        <v>#VALUE!</v>
      </c>
      <c r="H556" s="202"/>
      <c r="I556" s="316" t="e">
        <f>IF(Backlog[[#This Row],[Fecha Requerida en Producción]]="","",Backlog[[#This Row],[Fecha Requerida en Producción]])</f>
        <v>#VALUE!</v>
      </c>
      <c r="J556" s="207"/>
      <c r="K556" s="207"/>
      <c r="L556" s="207"/>
      <c r="M556" s="207"/>
      <c r="N556" s="248"/>
      <c r="O556" s="248"/>
      <c r="P556" s="248"/>
      <c r="Q556" s="248"/>
    </row>
    <row r="557" spans="1:17" ht="15.75" hidden="1" customHeight="1">
      <c r="A557" s="274"/>
      <c r="B557" s="212"/>
      <c r="C557" s="202" t="e">
        <f>#REF!</f>
        <v>#REF!</v>
      </c>
      <c r="D557" s="202"/>
      <c r="E557" s="214"/>
      <c r="F557" s="202"/>
      <c r="G557" s="234" t="e">
        <f>Backlog[[#This Row],[OP]]</f>
        <v>#VALUE!</v>
      </c>
      <c r="H557" s="202"/>
      <c r="I557" s="316" t="e">
        <f>IF(Backlog[[#This Row],[Fecha Requerida en Producción]]="","",Backlog[[#This Row],[Fecha Requerida en Producción]])</f>
        <v>#VALUE!</v>
      </c>
      <c r="J557" s="207"/>
      <c r="K557" s="207"/>
      <c r="L557" s="207"/>
      <c r="M557" s="207"/>
      <c r="N557" s="248"/>
      <c r="O557" s="248"/>
      <c r="P557" s="248"/>
      <c r="Q557" s="248"/>
    </row>
    <row r="558" spans="1:17" ht="15.75" hidden="1" customHeight="1">
      <c r="A558" s="274"/>
      <c r="B558" s="212"/>
      <c r="C558" s="202" t="e">
        <f>#REF!</f>
        <v>#REF!</v>
      </c>
      <c r="D558" s="202"/>
      <c r="E558" s="214"/>
      <c r="F558" s="202"/>
      <c r="G558" s="234" t="e">
        <f>Backlog[[#This Row],[OP]]</f>
        <v>#VALUE!</v>
      </c>
      <c r="H558" s="202"/>
      <c r="I558" s="316" t="e">
        <f>IF(Backlog[[#This Row],[Fecha Requerida en Producción]]="","",Backlog[[#This Row],[Fecha Requerida en Producción]])</f>
        <v>#VALUE!</v>
      </c>
      <c r="J558" s="207"/>
      <c r="K558" s="207"/>
      <c r="L558" s="207"/>
      <c r="M558" s="207"/>
      <c r="N558" s="248"/>
      <c r="O558" s="248"/>
      <c r="P558" s="248"/>
      <c r="Q558" s="248"/>
    </row>
    <row r="559" spans="1:17" ht="15.75" hidden="1" customHeight="1">
      <c r="A559" s="274"/>
      <c r="B559" s="212"/>
      <c r="C559" s="202" t="e">
        <f>#REF!</f>
        <v>#REF!</v>
      </c>
      <c r="D559" s="202"/>
      <c r="E559" s="214"/>
      <c r="F559" s="202"/>
      <c r="G559" s="234" t="e">
        <f>Backlog[[#This Row],[OP]]</f>
        <v>#VALUE!</v>
      </c>
      <c r="H559" s="202"/>
      <c r="I559" s="316" t="e">
        <f>IF(Backlog[[#This Row],[Fecha Requerida en Producción]]="","",Backlog[[#This Row],[Fecha Requerida en Producción]])</f>
        <v>#VALUE!</v>
      </c>
      <c r="J559" s="207"/>
      <c r="K559" s="207"/>
      <c r="L559" s="207"/>
      <c r="M559" s="207"/>
      <c r="N559" s="248"/>
      <c r="O559" s="248"/>
      <c r="P559" s="248"/>
      <c r="Q559" s="248"/>
    </row>
    <row r="560" spans="1:17" ht="15.75" hidden="1" customHeight="1">
      <c r="A560" s="274"/>
      <c r="B560" s="212"/>
      <c r="C560" s="202" t="e">
        <f>#REF!</f>
        <v>#REF!</v>
      </c>
      <c r="D560" s="202"/>
      <c r="E560" s="214"/>
      <c r="F560" s="202"/>
      <c r="G560" s="234" t="e">
        <f>Backlog[[#This Row],[OP]]</f>
        <v>#VALUE!</v>
      </c>
      <c r="H560" s="202"/>
      <c r="I560" s="316" t="e">
        <f>IF(Backlog[[#This Row],[Fecha Requerida en Producción]]="","",Backlog[[#This Row],[Fecha Requerida en Producción]])</f>
        <v>#VALUE!</v>
      </c>
      <c r="J560" s="207"/>
      <c r="K560" s="207"/>
      <c r="L560" s="207"/>
      <c r="M560" s="207"/>
      <c r="N560" s="248"/>
      <c r="O560" s="248"/>
      <c r="P560" s="248"/>
      <c r="Q560" s="248"/>
    </row>
    <row r="561" spans="1:17" ht="15.75" hidden="1" customHeight="1">
      <c r="A561" s="274"/>
      <c r="B561" s="212"/>
      <c r="C561" s="202" t="e">
        <f>#REF!</f>
        <v>#REF!</v>
      </c>
      <c r="D561" s="202"/>
      <c r="E561" s="214"/>
      <c r="F561" s="202"/>
      <c r="G561" s="234" t="e">
        <f>Backlog[[#This Row],[OP]]</f>
        <v>#VALUE!</v>
      </c>
      <c r="H561" s="202"/>
      <c r="I561" s="316" t="e">
        <f>IF(Backlog[[#This Row],[Fecha Requerida en Producción]]="","",Backlog[[#This Row],[Fecha Requerida en Producción]])</f>
        <v>#VALUE!</v>
      </c>
      <c r="J561" s="207"/>
      <c r="K561" s="207"/>
      <c r="L561" s="207"/>
      <c r="M561" s="207"/>
      <c r="N561" s="248"/>
      <c r="O561" s="248"/>
      <c r="P561" s="248"/>
      <c r="Q561" s="248"/>
    </row>
    <row r="562" spans="1:17" ht="15.75" hidden="1" customHeight="1">
      <c r="A562" s="274"/>
      <c r="B562" s="212"/>
      <c r="C562" s="202" t="e">
        <f>#REF!</f>
        <v>#REF!</v>
      </c>
      <c r="D562" s="202"/>
      <c r="E562" s="214"/>
      <c r="F562" s="202"/>
      <c r="G562" s="234" t="e">
        <f>Backlog[[#This Row],[OP]]</f>
        <v>#VALUE!</v>
      </c>
      <c r="H562" s="202"/>
      <c r="I562" s="316" t="e">
        <f>IF(Backlog[[#This Row],[Fecha Requerida en Producción]]="","",Backlog[[#This Row],[Fecha Requerida en Producción]])</f>
        <v>#VALUE!</v>
      </c>
      <c r="J562" s="207"/>
      <c r="K562" s="207"/>
      <c r="L562" s="207"/>
      <c r="M562" s="207"/>
      <c r="N562" s="248"/>
      <c r="O562" s="248"/>
      <c r="P562" s="248"/>
      <c r="Q562" s="248"/>
    </row>
    <row r="563" spans="1:17" ht="15.75" hidden="1" customHeight="1">
      <c r="A563" s="274"/>
      <c r="B563" s="212"/>
      <c r="C563" s="202" t="e">
        <f>#REF!</f>
        <v>#REF!</v>
      </c>
      <c r="D563" s="202"/>
      <c r="E563" s="214"/>
      <c r="F563" s="202"/>
      <c r="G563" s="234" t="e">
        <f>Backlog[[#This Row],[OP]]</f>
        <v>#VALUE!</v>
      </c>
      <c r="H563" s="202"/>
      <c r="I563" s="316" t="e">
        <f>IF(Backlog[[#This Row],[Fecha Requerida en Producción]]="","",Backlog[[#This Row],[Fecha Requerida en Producción]])</f>
        <v>#VALUE!</v>
      </c>
      <c r="J563" s="207"/>
      <c r="K563" s="207"/>
      <c r="L563" s="207"/>
      <c r="M563" s="207"/>
      <c r="N563" s="248"/>
      <c r="O563" s="248"/>
      <c r="P563" s="248"/>
      <c r="Q563" s="248"/>
    </row>
    <row r="564" spans="1:17" ht="15.75" hidden="1" customHeight="1">
      <c r="A564" s="274"/>
      <c r="B564" s="212"/>
      <c r="C564" s="202" t="e">
        <f>#REF!</f>
        <v>#REF!</v>
      </c>
      <c r="D564" s="202"/>
      <c r="E564" s="214"/>
      <c r="F564" s="202"/>
      <c r="G564" s="234" t="e">
        <f>Backlog[[#This Row],[OP]]</f>
        <v>#VALUE!</v>
      </c>
      <c r="H564" s="202"/>
      <c r="I564" s="316" t="e">
        <f>IF(Backlog[[#This Row],[Fecha Requerida en Producción]]="","",Backlog[[#This Row],[Fecha Requerida en Producción]])</f>
        <v>#VALUE!</v>
      </c>
      <c r="J564" s="207"/>
      <c r="K564" s="207"/>
      <c r="L564" s="207"/>
      <c r="M564" s="207"/>
      <c r="N564" s="248"/>
      <c r="O564" s="248"/>
      <c r="P564" s="248"/>
      <c r="Q564" s="248"/>
    </row>
    <row r="565" spans="1:17" ht="15.75" hidden="1" customHeight="1">
      <c r="A565" s="274"/>
      <c r="B565" s="212"/>
      <c r="C565" s="202" t="e">
        <f>#REF!</f>
        <v>#REF!</v>
      </c>
      <c r="D565" s="202"/>
      <c r="E565" s="214"/>
      <c r="F565" s="202"/>
      <c r="G565" s="234" t="e">
        <f>Backlog[[#This Row],[OP]]</f>
        <v>#VALUE!</v>
      </c>
      <c r="H565" s="202"/>
      <c r="I565" s="316" t="e">
        <f>IF(Backlog[[#This Row],[Fecha Requerida en Producción]]="","",Backlog[[#This Row],[Fecha Requerida en Producción]])</f>
        <v>#VALUE!</v>
      </c>
      <c r="J565" s="207"/>
      <c r="K565" s="207"/>
      <c r="L565" s="207"/>
      <c r="M565" s="207"/>
      <c r="N565" s="248"/>
      <c r="O565" s="248"/>
      <c r="P565" s="248"/>
      <c r="Q565" s="248"/>
    </row>
    <row r="566" spans="1:17" ht="15.75" hidden="1" customHeight="1">
      <c r="A566" s="274"/>
      <c r="B566" s="212"/>
      <c r="C566" s="202" t="e">
        <f>#REF!</f>
        <v>#REF!</v>
      </c>
      <c r="D566" s="202"/>
      <c r="E566" s="214"/>
      <c r="F566" s="202"/>
      <c r="G566" s="234" t="e">
        <f>Backlog[[#This Row],[OP]]</f>
        <v>#VALUE!</v>
      </c>
      <c r="H566" s="202"/>
      <c r="I566" s="316" t="e">
        <f>IF(Backlog[[#This Row],[Fecha Requerida en Producción]]="","",Backlog[[#This Row],[Fecha Requerida en Producción]])</f>
        <v>#VALUE!</v>
      </c>
      <c r="J566" s="207"/>
      <c r="K566" s="207"/>
      <c r="L566" s="207"/>
      <c r="M566" s="207"/>
      <c r="N566" s="248"/>
      <c r="O566" s="248"/>
      <c r="P566" s="248"/>
      <c r="Q566" s="248"/>
    </row>
    <row r="567" spans="1:17" ht="15.75" hidden="1" customHeight="1">
      <c r="A567" s="274"/>
      <c r="B567" s="212"/>
      <c r="C567" s="202" t="e">
        <f>#REF!</f>
        <v>#REF!</v>
      </c>
      <c r="D567" s="202"/>
      <c r="E567" s="214"/>
      <c r="F567" s="202"/>
      <c r="G567" s="234" t="e">
        <f>Backlog[[#This Row],[OP]]</f>
        <v>#VALUE!</v>
      </c>
      <c r="H567" s="202"/>
      <c r="I567" s="316" t="e">
        <f>IF(Backlog[[#This Row],[Fecha Requerida en Producción]]="","",Backlog[[#This Row],[Fecha Requerida en Producción]])</f>
        <v>#VALUE!</v>
      </c>
      <c r="J567" s="207"/>
      <c r="K567" s="207"/>
      <c r="L567" s="207"/>
      <c r="M567" s="207"/>
      <c r="N567" s="248"/>
      <c r="O567" s="248"/>
      <c r="P567" s="248"/>
      <c r="Q567" s="248"/>
    </row>
    <row r="568" spans="1:17" ht="15.75" hidden="1" customHeight="1">
      <c r="A568" s="274"/>
      <c r="B568" s="212"/>
      <c r="C568" s="202" t="e">
        <f>#REF!</f>
        <v>#REF!</v>
      </c>
      <c r="D568" s="202"/>
      <c r="E568" s="214"/>
      <c r="F568" s="202"/>
      <c r="G568" s="234" t="e">
        <f>Backlog[[#This Row],[OP]]</f>
        <v>#VALUE!</v>
      </c>
      <c r="H568" s="202"/>
      <c r="I568" s="316" t="e">
        <f>IF(Backlog[[#This Row],[Fecha Requerida en Producción]]="","",Backlog[[#This Row],[Fecha Requerida en Producción]])</f>
        <v>#VALUE!</v>
      </c>
      <c r="J568" s="207"/>
      <c r="K568" s="207"/>
      <c r="L568" s="207"/>
      <c r="M568" s="207"/>
      <c r="N568" s="248"/>
      <c r="O568" s="248"/>
      <c r="P568" s="248"/>
      <c r="Q568" s="248"/>
    </row>
    <row r="569" spans="1:17" ht="15.75" hidden="1" customHeight="1">
      <c r="A569" s="274"/>
      <c r="B569" s="212"/>
      <c r="C569" s="202" t="e">
        <f>#REF!</f>
        <v>#REF!</v>
      </c>
      <c r="D569" s="202"/>
      <c r="E569" s="214"/>
      <c r="F569" s="202"/>
      <c r="G569" s="234" t="e">
        <f>Backlog[[#This Row],[OP]]</f>
        <v>#VALUE!</v>
      </c>
      <c r="H569" s="202"/>
      <c r="I569" s="316" t="e">
        <f>IF(Backlog[[#This Row],[Fecha Requerida en Producción]]="","",Backlog[[#This Row],[Fecha Requerida en Producción]])</f>
        <v>#VALUE!</v>
      </c>
      <c r="J569" s="207"/>
      <c r="K569" s="207"/>
      <c r="L569" s="207"/>
      <c r="M569" s="207"/>
      <c r="N569" s="248"/>
      <c r="O569" s="248"/>
      <c r="P569" s="248"/>
      <c r="Q569" s="248"/>
    </row>
    <row r="570" spans="1:17" ht="15.75" hidden="1" customHeight="1">
      <c r="A570" s="274"/>
      <c r="B570" s="212"/>
      <c r="C570" s="202" t="e">
        <f>#REF!</f>
        <v>#REF!</v>
      </c>
      <c r="D570" s="202"/>
      <c r="E570" s="214"/>
      <c r="F570" s="202"/>
      <c r="G570" s="234" t="e">
        <f>Backlog[[#This Row],[OP]]</f>
        <v>#VALUE!</v>
      </c>
      <c r="H570" s="202"/>
      <c r="I570" s="316" t="e">
        <f>IF(Backlog[[#This Row],[Fecha Requerida en Producción]]="","",Backlog[[#This Row],[Fecha Requerida en Producción]])</f>
        <v>#VALUE!</v>
      </c>
      <c r="J570" s="207"/>
      <c r="K570" s="207"/>
      <c r="L570" s="207"/>
      <c r="M570" s="207"/>
      <c r="N570" s="248"/>
      <c r="O570" s="248"/>
      <c r="P570" s="248"/>
      <c r="Q570" s="248"/>
    </row>
    <row r="571" spans="1:17" ht="15.75" hidden="1" customHeight="1">
      <c r="A571" s="274"/>
      <c r="B571" s="212"/>
      <c r="C571" s="202" t="e">
        <f>#REF!</f>
        <v>#REF!</v>
      </c>
      <c r="D571" s="202"/>
      <c r="E571" s="214"/>
      <c r="F571" s="202"/>
      <c r="G571" s="234" t="e">
        <f>Backlog[[#This Row],[OP]]</f>
        <v>#VALUE!</v>
      </c>
      <c r="H571" s="202"/>
      <c r="I571" s="316" t="e">
        <f>IF(Backlog[[#This Row],[Fecha Requerida en Producción]]="","",Backlog[[#This Row],[Fecha Requerida en Producción]])</f>
        <v>#VALUE!</v>
      </c>
      <c r="J571" s="207"/>
      <c r="K571" s="207"/>
      <c r="L571" s="207"/>
      <c r="M571" s="207"/>
      <c r="N571" s="248"/>
      <c r="O571" s="248"/>
      <c r="P571" s="248"/>
      <c r="Q571" s="248"/>
    </row>
    <row r="572" spans="1:17" ht="15.75" hidden="1" customHeight="1">
      <c r="A572" s="274"/>
      <c r="B572" s="212"/>
      <c r="C572" s="202" t="e">
        <f>#REF!</f>
        <v>#REF!</v>
      </c>
      <c r="D572" s="202"/>
      <c r="E572" s="214"/>
      <c r="F572" s="202"/>
      <c r="G572" s="234" t="e">
        <f>Backlog[[#This Row],[OP]]</f>
        <v>#VALUE!</v>
      </c>
      <c r="H572" s="202"/>
      <c r="I572" s="316" t="e">
        <f>IF(Backlog[[#This Row],[Fecha Requerida en Producción]]="","",Backlog[[#This Row],[Fecha Requerida en Producción]])</f>
        <v>#VALUE!</v>
      </c>
      <c r="J572" s="207"/>
      <c r="K572" s="207"/>
      <c r="L572" s="207"/>
      <c r="M572" s="207"/>
      <c r="N572" s="248"/>
      <c r="O572" s="248"/>
      <c r="P572" s="248"/>
      <c r="Q572" s="248"/>
    </row>
    <row r="573" spans="1:17" ht="15.75" hidden="1" customHeight="1">
      <c r="A573" s="274"/>
      <c r="B573" s="212"/>
      <c r="C573" s="202" t="e">
        <f>#REF!</f>
        <v>#REF!</v>
      </c>
      <c r="D573" s="202"/>
      <c r="E573" s="214"/>
      <c r="F573" s="202"/>
      <c r="G573" s="234" t="e">
        <f>Backlog[[#This Row],[OP]]</f>
        <v>#VALUE!</v>
      </c>
      <c r="H573" s="202"/>
      <c r="I573" s="316" t="e">
        <f>IF(Backlog[[#This Row],[Fecha Requerida en Producción]]="","",Backlog[[#This Row],[Fecha Requerida en Producción]])</f>
        <v>#VALUE!</v>
      </c>
      <c r="J573" s="207"/>
      <c r="K573" s="207"/>
      <c r="L573" s="207"/>
      <c r="M573" s="207"/>
      <c r="N573" s="248"/>
      <c r="O573" s="248"/>
      <c r="P573" s="248"/>
      <c r="Q573" s="248"/>
    </row>
    <row r="574" spans="1:17" ht="15.75" hidden="1" customHeight="1">
      <c r="A574" s="274"/>
      <c r="B574" s="212"/>
      <c r="C574" s="202" t="e">
        <f>#REF!</f>
        <v>#REF!</v>
      </c>
      <c r="D574" s="202"/>
      <c r="E574" s="214"/>
      <c r="F574" s="202"/>
      <c r="G574" s="234" t="e">
        <f>Backlog[[#This Row],[OP]]</f>
        <v>#VALUE!</v>
      </c>
      <c r="H574" s="202"/>
      <c r="I574" s="316" t="e">
        <f>IF(Backlog[[#This Row],[Fecha Requerida en Producción]]="","",Backlog[[#This Row],[Fecha Requerida en Producción]])</f>
        <v>#VALUE!</v>
      </c>
      <c r="J574" s="207"/>
      <c r="K574" s="207"/>
      <c r="L574" s="207"/>
      <c r="M574" s="207"/>
      <c r="N574" s="248"/>
      <c r="O574" s="248"/>
      <c r="P574" s="248"/>
      <c r="Q574" s="248"/>
    </row>
    <row r="575" spans="1:17" ht="15.75" hidden="1" customHeight="1">
      <c r="A575" s="274"/>
      <c r="B575" s="212"/>
      <c r="C575" s="202" t="e">
        <f>#REF!</f>
        <v>#REF!</v>
      </c>
      <c r="D575" s="202"/>
      <c r="E575" s="214"/>
      <c r="F575" s="202"/>
      <c r="G575" s="234" t="e">
        <f>Backlog[[#This Row],[OP]]</f>
        <v>#VALUE!</v>
      </c>
      <c r="H575" s="202"/>
      <c r="I575" s="316" t="e">
        <f>IF(Backlog[[#This Row],[Fecha Requerida en Producción]]="","",Backlog[[#This Row],[Fecha Requerida en Producción]])</f>
        <v>#VALUE!</v>
      </c>
      <c r="J575" s="207"/>
      <c r="K575" s="207"/>
      <c r="L575" s="207"/>
      <c r="M575" s="207"/>
      <c r="N575" s="248"/>
      <c r="O575" s="248"/>
      <c r="P575" s="248"/>
      <c r="Q575" s="248"/>
    </row>
    <row r="576" spans="1:17" ht="15.75" hidden="1" customHeight="1">
      <c r="A576" s="274"/>
      <c r="B576" s="212"/>
      <c r="C576" s="202" t="e">
        <f>#REF!</f>
        <v>#REF!</v>
      </c>
      <c r="D576" s="202"/>
      <c r="E576" s="214"/>
      <c r="F576" s="202"/>
      <c r="G576" s="234" t="e">
        <f>Backlog[[#This Row],[OP]]</f>
        <v>#VALUE!</v>
      </c>
      <c r="H576" s="202"/>
      <c r="I576" s="316" t="e">
        <f>IF(Backlog[[#This Row],[Fecha Requerida en Producción]]="","",Backlog[[#This Row],[Fecha Requerida en Producción]])</f>
        <v>#VALUE!</v>
      </c>
      <c r="J576" s="207"/>
      <c r="K576" s="207"/>
      <c r="L576" s="207"/>
      <c r="M576" s="207"/>
      <c r="N576" s="248"/>
      <c r="O576" s="248"/>
      <c r="P576" s="248"/>
      <c r="Q576" s="248"/>
    </row>
    <row r="577" spans="1:17" ht="15.75" hidden="1" customHeight="1">
      <c r="A577" s="274"/>
      <c r="B577" s="212"/>
      <c r="C577" s="202" t="e">
        <f>#REF!</f>
        <v>#REF!</v>
      </c>
      <c r="D577" s="202"/>
      <c r="E577" s="214"/>
      <c r="F577" s="202"/>
      <c r="G577" s="234" t="e">
        <f>Backlog[[#This Row],[OP]]</f>
        <v>#VALUE!</v>
      </c>
      <c r="H577" s="202"/>
      <c r="I577" s="316" t="e">
        <f>IF(Backlog[[#This Row],[Fecha Requerida en Producción]]="","",Backlog[[#This Row],[Fecha Requerida en Producción]])</f>
        <v>#VALUE!</v>
      </c>
      <c r="J577" s="207"/>
      <c r="K577" s="207"/>
      <c r="L577" s="207"/>
      <c r="M577" s="207"/>
      <c r="N577" s="248"/>
      <c r="O577" s="248"/>
      <c r="P577" s="248"/>
      <c r="Q577" s="248"/>
    </row>
    <row r="578" spans="1:17" ht="15.75" hidden="1" customHeight="1">
      <c r="A578" s="274"/>
      <c r="B578" s="212"/>
      <c r="C578" s="202" t="e">
        <f>#REF!</f>
        <v>#REF!</v>
      </c>
      <c r="D578" s="202"/>
      <c r="E578" s="214"/>
      <c r="F578" s="202"/>
      <c r="G578" s="234" t="e">
        <f>Backlog[[#This Row],[OP]]</f>
        <v>#VALUE!</v>
      </c>
      <c r="H578" s="202"/>
      <c r="I578" s="316" t="e">
        <f>IF(Backlog[[#This Row],[Fecha Requerida en Producción]]="","",Backlog[[#This Row],[Fecha Requerida en Producción]])</f>
        <v>#VALUE!</v>
      </c>
      <c r="J578" s="207"/>
      <c r="K578" s="207"/>
      <c r="L578" s="207"/>
      <c r="M578" s="207"/>
      <c r="N578" s="248"/>
      <c r="O578" s="248"/>
      <c r="P578" s="248"/>
      <c r="Q578" s="248"/>
    </row>
    <row r="579" spans="1:17" ht="15.75" hidden="1" customHeight="1">
      <c r="A579" s="274"/>
      <c r="B579" s="212"/>
      <c r="C579" s="202" t="e">
        <f>#REF!</f>
        <v>#REF!</v>
      </c>
      <c r="D579" s="202"/>
      <c r="E579" s="214"/>
      <c r="F579" s="202"/>
      <c r="G579" s="234" t="e">
        <f>Backlog[[#This Row],[OP]]</f>
        <v>#VALUE!</v>
      </c>
      <c r="H579" s="202"/>
      <c r="I579" s="316" t="e">
        <f>IF(Backlog[[#This Row],[Fecha Requerida en Producción]]="","",Backlog[[#This Row],[Fecha Requerida en Producción]])</f>
        <v>#VALUE!</v>
      </c>
      <c r="J579" s="207"/>
      <c r="K579" s="207"/>
      <c r="L579" s="207"/>
      <c r="M579" s="207"/>
      <c r="N579" s="248"/>
      <c r="O579" s="248"/>
      <c r="P579" s="248"/>
      <c r="Q579" s="248"/>
    </row>
    <row r="580" spans="1:17" ht="15.75" hidden="1" customHeight="1">
      <c r="A580" s="274"/>
      <c r="B580" s="212"/>
      <c r="C580" s="202" t="e">
        <f>#REF!</f>
        <v>#REF!</v>
      </c>
      <c r="D580" s="202"/>
      <c r="E580" s="214"/>
      <c r="F580" s="202"/>
      <c r="G580" s="234" t="e">
        <f>Backlog[[#This Row],[OP]]</f>
        <v>#VALUE!</v>
      </c>
      <c r="H580" s="202"/>
      <c r="I580" s="316" t="e">
        <f>IF(Backlog[[#This Row],[Fecha Requerida en Producción]]="","",Backlog[[#This Row],[Fecha Requerida en Producción]])</f>
        <v>#VALUE!</v>
      </c>
      <c r="J580" s="207"/>
      <c r="K580" s="207"/>
      <c r="L580" s="207"/>
      <c r="M580" s="207"/>
      <c r="N580" s="248"/>
      <c r="O580" s="248"/>
      <c r="P580" s="248"/>
      <c r="Q580" s="248"/>
    </row>
    <row r="581" spans="1:17" ht="15.75" hidden="1" customHeight="1">
      <c r="A581" s="274"/>
      <c r="B581" s="212"/>
      <c r="C581" s="202" t="e">
        <f>#REF!</f>
        <v>#REF!</v>
      </c>
      <c r="D581" s="202"/>
      <c r="E581" s="214"/>
      <c r="F581" s="202"/>
      <c r="G581" s="234" t="e">
        <f>Backlog[[#This Row],[OP]]</f>
        <v>#VALUE!</v>
      </c>
      <c r="H581" s="202"/>
      <c r="I581" s="316" t="e">
        <f>IF(Backlog[[#This Row],[Fecha Requerida en Producción]]="","",Backlog[[#This Row],[Fecha Requerida en Producción]])</f>
        <v>#VALUE!</v>
      </c>
      <c r="J581" s="207"/>
      <c r="K581" s="207"/>
      <c r="L581" s="207"/>
      <c r="M581" s="207"/>
      <c r="N581" s="248"/>
      <c r="O581" s="248"/>
      <c r="P581" s="248"/>
      <c r="Q581" s="248"/>
    </row>
    <row r="582" spans="1:17" ht="15.75" hidden="1" customHeight="1">
      <c r="A582" s="274"/>
      <c r="B582" s="212"/>
      <c r="C582" s="202" t="e">
        <f>#REF!</f>
        <v>#REF!</v>
      </c>
      <c r="D582" s="202"/>
      <c r="E582" s="214"/>
      <c r="F582" s="202"/>
      <c r="G582" s="234" t="e">
        <f>Backlog[[#This Row],[OP]]</f>
        <v>#VALUE!</v>
      </c>
      <c r="H582" s="202"/>
      <c r="I582" s="316" t="e">
        <f>IF(Backlog[[#This Row],[Fecha Requerida en Producción]]="","",Backlog[[#This Row],[Fecha Requerida en Producción]])</f>
        <v>#VALUE!</v>
      </c>
      <c r="J582" s="207"/>
      <c r="K582" s="207"/>
      <c r="L582" s="207"/>
      <c r="M582" s="207"/>
      <c r="N582" s="248"/>
      <c r="O582" s="248"/>
      <c r="P582" s="248"/>
      <c r="Q582" s="248"/>
    </row>
    <row r="583" spans="1:17" ht="15.75" hidden="1" customHeight="1">
      <c r="A583" s="274"/>
      <c r="B583" s="212"/>
      <c r="C583" s="202" t="e">
        <f>#REF!</f>
        <v>#REF!</v>
      </c>
      <c r="D583" s="202"/>
      <c r="E583" s="214"/>
      <c r="F583" s="202"/>
      <c r="G583" s="234" t="e">
        <f>Backlog[[#This Row],[OP]]</f>
        <v>#VALUE!</v>
      </c>
      <c r="H583" s="202"/>
      <c r="I583" s="316" t="e">
        <f>IF(Backlog[[#This Row],[Fecha Requerida en Producción]]="","",Backlog[[#This Row],[Fecha Requerida en Producción]])</f>
        <v>#VALUE!</v>
      </c>
      <c r="J583" s="207"/>
      <c r="K583" s="207"/>
      <c r="L583" s="207"/>
      <c r="M583" s="207"/>
      <c r="N583" s="248"/>
      <c r="O583" s="248"/>
      <c r="P583" s="248"/>
      <c r="Q583" s="248"/>
    </row>
    <row r="584" spans="1:17" ht="15.75" hidden="1" customHeight="1">
      <c r="A584" s="274"/>
      <c r="B584" s="212"/>
      <c r="C584" s="202" t="e">
        <f>#REF!</f>
        <v>#REF!</v>
      </c>
      <c r="D584" s="202"/>
      <c r="E584" s="214"/>
      <c r="F584" s="202"/>
      <c r="G584" s="234" t="e">
        <f>Backlog[[#This Row],[OP]]</f>
        <v>#VALUE!</v>
      </c>
      <c r="H584" s="202"/>
      <c r="I584" s="316" t="e">
        <f>IF(Backlog[[#This Row],[Fecha Requerida en Producción]]="","",Backlog[[#This Row],[Fecha Requerida en Producción]])</f>
        <v>#VALUE!</v>
      </c>
      <c r="J584" s="207"/>
      <c r="K584" s="207"/>
      <c r="L584" s="207"/>
      <c r="M584" s="207"/>
      <c r="N584" s="248"/>
      <c r="O584" s="248"/>
      <c r="P584" s="248"/>
      <c r="Q584" s="248"/>
    </row>
    <row r="585" spans="1:17" ht="15.75" hidden="1" customHeight="1">
      <c r="A585" s="274"/>
      <c r="B585" s="212"/>
      <c r="C585" s="202" t="e">
        <f>#REF!</f>
        <v>#REF!</v>
      </c>
      <c r="D585" s="202"/>
      <c r="E585" s="214"/>
      <c r="F585" s="202"/>
      <c r="G585" s="234" t="e">
        <f>Backlog[[#This Row],[OP]]</f>
        <v>#VALUE!</v>
      </c>
      <c r="H585" s="202"/>
      <c r="I585" s="316" t="e">
        <f>IF(Backlog[[#This Row],[Fecha Requerida en Producción]]="","",Backlog[[#This Row],[Fecha Requerida en Producción]])</f>
        <v>#VALUE!</v>
      </c>
      <c r="J585" s="207"/>
      <c r="K585" s="207"/>
      <c r="L585" s="207"/>
      <c r="M585" s="207"/>
      <c r="N585" s="248"/>
      <c r="O585" s="248"/>
      <c r="P585" s="248"/>
      <c r="Q585" s="248"/>
    </row>
    <row r="586" spans="1:17" ht="15.75" hidden="1" customHeight="1">
      <c r="A586" s="274"/>
      <c r="B586" s="212"/>
      <c r="C586" s="202" t="e">
        <f>#REF!</f>
        <v>#REF!</v>
      </c>
      <c r="D586" s="202"/>
      <c r="E586" s="214"/>
      <c r="F586" s="202"/>
      <c r="G586" s="234" t="e">
        <f>Backlog[[#This Row],[OP]]</f>
        <v>#VALUE!</v>
      </c>
      <c r="H586" s="202"/>
      <c r="I586" s="316" t="e">
        <f>IF(Backlog[[#This Row],[Fecha Requerida en Producción]]="","",Backlog[[#This Row],[Fecha Requerida en Producción]])</f>
        <v>#VALUE!</v>
      </c>
      <c r="J586" s="207"/>
      <c r="K586" s="207"/>
      <c r="L586" s="207"/>
      <c r="M586" s="207"/>
      <c r="N586" s="248"/>
      <c r="O586" s="248"/>
      <c r="P586" s="248"/>
      <c r="Q586" s="248"/>
    </row>
    <row r="587" spans="1:17" ht="15.75" hidden="1" customHeight="1">
      <c r="A587" s="274"/>
      <c r="B587" s="212"/>
      <c r="C587" s="202" t="e">
        <f>#REF!</f>
        <v>#REF!</v>
      </c>
      <c r="D587" s="202"/>
      <c r="E587" s="214"/>
      <c r="F587" s="202"/>
      <c r="G587" s="234" t="e">
        <f>Backlog[[#This Row],[OP]]</f>
        <v>#VALUE!</v>
      </c>
      <c r="H587" s="202"/>
      <c r="I587" s="316" t="e">
        <f>IF(Backlog[[#This Row],[Fecha Requerida en Producción]]="","",Backlog[[#This Row],[Fecha Requerida en Producción]])</f>
        <v>#VALUE!</v>
      </c>
      <c r="J587" s="207"/>
      <c r="K587" s="207"/>
      <c r="L587" s="207"/>
      <c r="M587" s="207"/>
      <c r="N587" s="248"/>
      <c r="O587" s="248"/>
      <c r="P587" s="248"/>
      <c r="Q587" s="248"/>
    </row>
    <row r="588" spans="1:17" ht="15.75" hidden="1" customHeight="1">
      <c r="A588" s="274"/>
      <c r="B588" s="212"/>
      <c r="C588" s="202" t="e">
        <f>#REF!</f>
        <v>#REF!</v>
      </c>
      <c r="D588" s="202"/>
      <c r="E588" s="214"/>
      <c r="F588" s="202"/>
      <c r="G588" s="234" t="e">
        <f>Backlog[[#This Row],[OP]]</f>
        <v>#VALUE!</v>
      </c>
      <c r="H588" s="202"/>
      <c r="I588" s="316" t="e">
        <f>IF(Backlog[[#This Row],[Fecha Requerida en Producción]]="","",Backlog[[#This Row],[Fecha Requerida en Producción]])</f>
        <v>#VALUE!</v>
      </c>
      <c r="J588" s="207"/>
      <c r="K588" s="207"/>
      <c r="L588" s="207"/>
      <c r="M588" s="207"/>
      <c r="N588" s="248"/>
      <c r="O588" s="248"/>
      <c r="P588" s="248"/>
      <c r="Q588" s="248"/>
    </row>
    <row r="589" spans="1:17" ht="15.75" hidden="1" customHeight="1">
      <c r="A589" s="274"/>
      <c r="B589" s="212"/>
      <c r="C589" s="202" t="e">
        <f>#REF!</f>
        <v>#REF!</v>
      </c>
      <c r="D589" s="202"/>
      <c r="E589" s="214"/>
      <c r="F589" s="202"/>
      <c r="G589" s="234" t="e">
        <f>Backlog[[#This Row],[OP]]</f>
        <v>#VALUE!</v>
      </c>
      <c r="H589" s="202"/>
      <c r="I589" s="316" t="e">
        <f>IF(Backlog[[#This Row],[Fecha Requerida en Producción]]="","",Backlog[[#This Row],[Fecha Requerida en Producción]])</f>
        <v>#VALUE!</v>
      </c>
      <c r="J589" s="207"/>
      <c r="K589" s="207"/>
      <c r="L589" s="207"/>
      <c r="M589" s="207"/>
      <c r="N589" s="248"/>
      <c r="O589" s="248"/>
      <c r="P589" s="248"/>
      <c r="Q589" s="248"/>
    </row>
    <row r="590" spans="1:17" ht="15.75" hidden="1" customHeight="1">
      <c r="A590" s="274"/>
      <c r="B590" s="212"/>
      <c r="C590" s="202" t="e">
        <f>#REF!</f>
        <v>#REF!</v>
      </c>
      <c r="D590" s="202"/>
      <c r="E590" s="214"/>
      <c r="F590" s="202"/>
      <c r="G590" s="234" t="e">
        <f>Backlog[[#This Row],[OP]]</f>
        <v>#VALUE!</v>
      </c>
      <c r="H590" s="202"/>
      <c r="I590" s="316" t="e">
        <f>IF(Backlog[[#This Row],[Fecha Requerida en Producción]]="","",Backlog[[#This Row],[Fecha Requerida en Producción]])</f>
        <v>#VALUE!</v>
      </c>
      <c r="J590" s="207"/>
      <c r="K590" s="207"/>
      <c r="L590" s="207"/>
      <c r="M590" s="207"/>
      <c r="N590" s="248"/>
      <c r="O590" s="248"/>
      <c r="P590" s="248"/>
      <c r="Q590" s="248"/>
    </row>
    <row r="591" spans="1:17" ht="15.75" hidden="1" customHeight="1">
      <c r="A591" s="274"/>
      <c r="B591" s="212"/>
      <c r="C591" s="202" t="e">
        <f>#REF!</f>
        <v>#REF!</v>
      </c>
      <c r="D591" s="202"/>
      <c r="E591" s="214"/>
      <c r="F591" s="202"/>
      <c r="G591" s="234" t="e">
        <f>Backlog[[#This Row],[OP]]</f>
        <v>#VALUE!</v>
      </c>
      <c r="H591" s="202"/>
      <c r="I591" s="316" t="e">
        <f>IF(Backlog[[#This Row],[Fecha Requerida en Producción]]="","",Backlog[[#This Row],[Fecha Requerida en Producción]])</f>
        <v>#VALUE!</v>
      </c>
      <c r="J591" s="207"/>
      <c r="K591" s="207"/>
      <c r="L591" s="207"/>
      <c r="M591" s="207"/>
      <c r="N591" s="248"/>
      <c r="O591" s="248"/>
      <c r="P591" s="248"/>
      <c r="Q591" s="248"/>
    </row>
    <row r="592" spans="1:17" ht="15.75" hidden="1" customHeight="1">
      <c r="A592" s="274"/>
      <c r="B592" s="212"/>
      <c r="C592" s="202" t="e">
        <f>#REF!</f>
        <v>#REF!</v>
      </c>
      <c r="D592" s="202"/>
      <c r="E592" s="214"/>
      <c r="F592" s="202"/>
      <c r="G592" s="234" t="e">
        <f>Backlog[[#This Row],[OP]]</f>
        <v>#VALUE!</v>
      </c>
      <c r="H592" s="202"/>
      <c r="I592" s="316" t="e">
        <f>IF(Backlog[[#This Row],[Fecha Requerida en Producción]]="","",Backlog[[#This Row],[Fecha Requerida en Producción]])</f>
        <v>#VALUE!</v>
      </c>
      <c r="J592" s="207"/>
      <c r="K592" s="207"/>
      <c r="L592" s="207"/>
      <c r="M592" s="207"/>
      <c r="N592" s="248"/>
      <c r="O592" s="248"/>
      <c r="P592" s="248"/>
      <c r="Q592" s="248"/>
    </row>
    <row r="593" spans="1:17" ht="15.75" hidden="1" customHeight="1">
      <c r="A593" s="274"/>
      <c r="B593" s="212"/>
      <c r="C593" s="202" t="e">
        <f>#REF!</f>
        <v>#REF!</v>
      </c>
      <c r="D593" s="202"/>
      <c r="E593" s="214"/>
      <c r="F593" s="202"/>
      <c r="G593" s="234" t="e">
        <f>Backlog[[#This Row],[OP]]</f>
        <v>#VALUE!</v>
      </c>
      <c r="H593" s="202"/>
      <c r="I593" s="316" t="e">
        <f>IF(Backlog[[#This Row],[Fecha Requerida en Producción]]="","",Backlog[[#This Row],[Fecha Requerida en Producción]])</f>
        <v>#VALUE!</v>
      </c>
      <c r="J593" s="207"/>
      <c r="K593" s="207"/>
      <c r="L593" s="207"/>
      <c r="M593" s="207"/>
      <c r="N593" s="248"/>
      <c r="O593" s="248"/>
      <c r="P593" s="248"/>
      <c r="Q593" s="248"/>
    </row>
    <row r="594" spans="1:17" ht="15.75" hidden="1" customHeight="1">
      <c r="A594" s="274"/>
      <c r="B594" s="212"/>
      <c r="C594" s="202" t="e">
        <f>#REF!</f>
        <v>#REF!</v>
      </c>
      <c r="D594" s="202"/>
      <c r="E594" s="214"/>
      <c r="F594" s="202"/>
      <c r="G594" s="234" t="e">
        <f>Backlog[[#This Row],[OP]]</f>
        <v>#VALUE!</v>
      </c>
      <c r="H594" s="202"/>
      <c r="I594" s="316" t="e">
        <f>IF(Backlog[[#This Row],[Fecha Requerida en Producción]]="","",Backlog[[#This Row],[Fecha Requerida en Producción]])</f>
        <v>#VALUE!</v>
      </c>
      <c r="J594" s="207"/>
      <c r="K594" s="207"/>
      <c r="L594" s="207"/>
      <c r="M594" s="207"/>
      <c r="N594" s="248"/>
      <c r="O594" s="248"/>
      <c r="P594" s="248"/>
      <c r="Q594" s="248"/>
    </row>
    <row r="595" spans="1:17" ht="15.75" hidden="1" customHeight="1">
      <c r="A595" s="274"/>
      <c r="B595" s="212"/>
      <c r="C595" s="202" t="e">
        <f>#REF!</f>
        <v>#REF!</v>
      </c>
      <c r="D595" s="202"/>
      <c r="E595" s="214"/>
      <c r="F595" s="202"/>
      <c r="G595" s="234" t="e">
        <f>Backlog[[#This Row],[OP]]</f>
        <v>#VALUE!</v>
      </c>
      <c r="H595" s="202"/>
      <c r="I595" s="316" t="e">
        <f>IF(Backlog[[#This Row],[Fecha Requerida en Producción]]="","",Backlog[[#This Row],[Fecha Requerida en Producción]])</f>
        <v>#VALUE!</v>
      </c>
      <c r="J595" s="207"/>
      <c r="K595" s="207"/>
      <c r="L595" s="207"/>
      <c r="M595" s="207"/>
      <c r="N595" s="248"/>
      <c r="O595" s="248"/>
      <c r="P595" s="248"/>
      <c r="Q595" s="248"/>
    </row>
    <row r="596" spans="1:17" ht="15.75" hidden="1" customHeight="1">
      <c r="A596" s="274"/>
      <c r="B596" s="212"/>
      <c r="C596" s="202" t="e">
        <f>#REF!</f>
        <v>#REF!</v>
      </c>
      <c r="D596" s="202"/>
      <c r="E596" s="214"/>
      <c r="F596" s="202"/>
      <c r="G596" s="234" t="e">
        <f>Backlog[[#This Row],[OP]]</f>
        <v>#VALUE!</v>
      </c>
      <c r="H596" s="202"/>
      <c r="I596" s="316" t="e">
        <f>IF(Backlog[[#This Row],[Fecha Requerida en Producción]]="","",Backlog[[#This Row],[Fecha Requerida en Producción]])</f>
        <v>#VALUE!</v>
      </c>
      <c r="J596" s="207"/>
      <c r="K596" s="207"/>
      <c r="L596" s="207"/>
      <c r="M596" s="207"/>
      <c r="N596" s="248"/>
      <c r="O596" s="248"/>
      <c r="P596" s="248"/>
      <c r="Q596" s="248"/>
    </row>
    <row r="597" spans="1:17" ht="15.75" hidden="1" customHeight="1">
      <c r="A597" s="274"/>
      <c r="B597" s="212"/>
      <c r="C597" s="202" t="e">
        <f>#REF!</f>
        <v>#REF!</v>
      </c>
      <c r="D597" s="202"/>
      <c r="E597" s="214"/>
      <c r="F597" s="202"/>
      <c r="G597" s="234" t="e">
        <f>Backlog[[#This Row],[OP]]</f>
        <v>#VALUE!</v>
      </c>
      <c r="H597" s="202"/>
      <c r="I597" s="316" t="e">
        <f>IF(Backlog[[#This Row],[Fecha Requerida en Producción]]="","",Backlog[[#This Row],[Fecha Requerida en Producción]])</f>
        <v>#VALUE!</v>
      </c>
      <c r="J597" s="207"/>
      <c r="K597" s="207"/>
      <c r="L597" s="207"/>
      <c r="M597" s="207"/>
      <c r="N597" s="248"/>
      <c r="O597" s="248"/>
      <c r="P597" s="248"/>
      <c r="Q597" s="248"/>
    </row>
    <row r="598" spans="1:17" ht="15.75" hidden="1" customHeight="1">
      <c r="A598" s="274"/>
      <c r="B598" s="212"/>
      <c r="C598" s="202" t="e">
        <f>#REF!</f>
        <v>#REF!</v>
      </c>
      <c r="D598" s="202"/>
      <c r="E598" s="214"/>
      <c r="F598" s="202"/>
      <c r="G598" s="234" t="e">
        <f>Backlog[[#This Row],[OP]]</f>
        <v>#VALUE!</v>
      </c>
      <c r="H598" s="202"/>
      <c r="I598" s="316" t="e">
        <f>IF(Backlog[[#This Row],[Fecha Requerida en Producción]]="","",Backlog[[#This Row],[Fecha Requerida en Producción]])</f>
        <v>#VALUE!</v>
      </c>
      <c r="J598" s="207"/>
      <c r="K598" s="207"/>
      <c r="L598" s="207"/>
      <c r="M598" s="207"/>
      <c r="N598" s="248"/>
      <c r="O598" s="248"/>
      <c r="P598" s="248"/>
      <c r="Q598" s="248"/>
    </row>
    <row r="599" spans="1:17" ht="15.75" hidden="1" customHeight="1">
      <c r="A599" s="274"/>
      <c r="B599" s="212"/>
      <c r="C599" s="202" t="e">
        <f>#REF!</f>
        <v>#REF!</v>
      </c>
      <c r="D599" s="202"/>
      <c r="E599" s="214"/>
      <c r="F599" s="202"/>
      <c r="G599" s="234" t="e">
        <f>Backlog[[#This Row],[OP]]</f>
        <v>#VALUE!</v>
      </c>
      <c r="H599" s="202"/>
      <c r="I599" s="316" t="e">
        <f>IF(Backlog[[#This Row],[Fecha Requerida en Producción]]="","",Backlog[[#This Row],[Fecha Requerida en Producción]])</f>
        <v>#VALUE!</v>
      </c>
      <c r="J599" s="207"/>
      <c r="K599" s="207"/>
      <c r="L599" s="207"/>
      <c r="M599" s="207"/>
      <c r="N599" s="248"/>
      <c r="O599" s="248"/>
      <c r="P599" s="248"/>
      <c r="Q599" s="248"/>
    </row>
    <row r="600" spans="1:17" ht="15.75" hidden="1" customHeight="1">
      <c r="A600" s="274"/>
      <c r="B600" s="212"/>
      <c r="C600" s="202" t="e">
        <f>#REF!</f>
        <v>#REF!</v>
      </c>
      <c r="D600" s="202"/>
      <c r="E600" s="214"/>
      <c r="F600" s="202"/>
      <c r="G600" s="234" t="e">
        <f>Backlog[[#This Row],[OP]]</f>
        <v>#VALUE!</v>
      </c>
      <c r="H600" s="202"/>
      <c r="I600" s="316" t="e">
        <f>IF(Backlog[[#This Row],[Fecha Requerida en Producción]]="","",Backlog[[#This Row],[Fecha Requerida en Producción]])</f>
        <v>#VALUE!</v>
      </c>
      <c r="J600" s="207"/>
      <c r="K600" s="207"/>
      <c r="L600" s="207"/>
      <c r="M600" s="207"/>
      <c r="N600" s="248"/>
      <c r="O600" s="248"/>
      <c r="P600" s="248"/>
      <c r="Q600" s="248"/>
    </row>
    <row r="601" spans="1:17" ht="15.75" hidden="1" customHeight="1">
      <c r="A601" s="274"/>
      <c r="B601" s="212"/>
      <c r="C601" s="202" t="e">
        <f>#REF!</f>
        <v>#REF!</v>
      </c>
      <c r="D601" s="202"/>
      <c r="E601" s="214"/>
      <c r="F601" s="202"/>
      <c r="G601" s="234" t="e">
        <f>Backlog[[#This Row],[OP]]</f>
        <v>#VALUE!</v>
      </c>
      <c r="H601" s="202"/>
      <c r="I601" s="316" t="e">
        <f>IF(Backlog[[#This Row],[Fecha Requerida en Producción]]="","",Backlog[[#This Row],[Fecha Requerida en Producción]])</f>
        <v>#VALUE!</v>
      </c>
      <c r="J601" s="207"/>
      <c r="K601" s="207"/>
      <c r="L601" s="207"/>
      <c r="M601" s="207"/>
      <c r="N601" s="248"/>
      <c r="O601" s="248"/>
      <c r="P601" s="248"/>
      <c r="Q601" s="248"/>
    </row>
    <row r="602" spans="1:17" ht="15.75" hidden="1" customHeight="1">
      <c r="A602" s="274"/>
      <c r="B602" s="212"/>
      <c r="C602" s="202" t="e">
        <f>#REF!</f>
        <v>#REF!</v>
      </c>
      <c r="D602" s="202"/>
      <c r="E602" s="214"/>
      <c r="F602" s="202"/>
      <c r="G602" s="234" t="e">
        <f>Backlog[[#This Row],[OP]]</f>
        <v>#VALUE!</v>
      </c>
      <c r="H602" s="202"/>
      <c r="I602" s="316" t="e">
        <f>IF(Backlog[[#This Row],[Fecha Requerida en Producción]]="","",Backlog[[#This Row],[Fecha Requerida en Producción]])</f>
        <v>#VALUE!</v>
      </c>
      <c r="J602" s="207"/>
      <c r="K602" s="207"/>
      <c r="L602" s="207"/>
      <c r="M602" s="207"/>
      <c r="N602" s="248"/>
      <c r="O602" s="248"/>
      <c r="P602" s="248"/>
      <c r="Q602" s="248"/>
    </row>
    <row r="603" spans="1:17" ht="15.75" hidden="1" customHeight="1">
      <c r="A603" s="274"/>
      <c r="B603" s="212"/>
      <c r="C603" s="202" t="e">
        <f>#REF!</f>
        <v>#REF!</v>
      </c>
      <c r="D603" s="202"/>
      <c r="E603" s="214"/>
      <c r="F603" s="202"/>
      <c r="G603" s="234" t="e">
        <f>Backlog[[#This Row],[OP]]</f>
        <v>#VALUE!</v>
      </c>
      <c r="H603" s="202"/>
      <c r="I603" s="316" t="e">
        <f>IF(Backlog[[#This Row],[Fecha Requerida en Producción]]="","",Backlog[[#This Row],[Fecha Requerida en Producción]])</f>
        <v>#VALUE!</v>
      </c>
      <c r="J603" s="207"/>
      <c r="K603" s="207"/>
      <c r="L603" s="207"/>
      <c r="M603" s="207"/>
      <c r="N603" s="248"/>
      <c r="O603" s="248"/>
      <c r="P603" s="248"/>
      <c r="Q603" s="248"/>
    </row>
    <row r="604" spans="1:17" ht="15.75" hidden="1" customHeight="1">
      <c r="A604" s="274"/>
      <c r="B604" s="212"/>
      <c r="C604" s="202" t="e">
        <f>#REF!</f>
        <v>#REF!</v>
      </c>
      <c r="D604" s="202"/>
      <c r="E604" s="214"/>
      <c r="F604" s="202"/>
      <c r="G604" s="234" t="e">
        <f>Backlog[[#This Row],[OP]]</f>
        <v>#VALUE!</v>
      </c>
      <c r="H604" s="202"/>
      <c r="I604" s="316" t="e">
        <f>IF(Backlog[[#This Row],[Fecha Requerida en Producción]]="","",Backlog[[#This Row],[Fecha Requerida en Producción]])</f>
        <v>#VALUE!</v>
      </c>
      <c r="J604" s="207"/>
      <c r="K604" s="207"/>
      <c r="L604" s="207"/>
      <c r="M604" s="207"/>
      <c r="N604" s="248"/>
      <c r="O604" s="248"/>
      <c r="P604" s="248"/>
      <c r="Q604" s="248"/>
    </row>
    <row r="605" spans="1:17" ht="15.75" hidden="1" customHeight="1">
      <c r="A605" s="274"/>
      <c r="B605" s="212"/>
      <c r="C605" s="202" t="e">
        <f>#REF!</f>
        <v>#REF!</v>
      </c>
      <c r="D605" s="202"/>
      <c r="E605" s="214"/>
      <c r="F605" s="202"/>
      <c r="G605" s="234" t="e">
        <f>Backlog[[#This Row],[OP]]</f>
        <v>#VALUE!</v>
      </c>
      <c r="H605" s="202"/>
      <c r="I605" s="316" t="e">
        <f>IF(Backlog[[#This Row],[Fecha Requerida en Producción]]="","",Backlog[[#This Row],[Fecha Requerida en Producción]])</f>
        <v>#VALUE!</v>
      </c>
      <c r="J605" s="207"/>
      <c r="K605" s="207"/>
      <c r="L605" s="207"/>
      <c r="M605" s="207"/>
      <c r="N605" s="248"/>
      <c r="O605" s="248"/>
      <c r="P605" s="248"/>
      <c r="Q605" s="248"/>
    </row>
    <row r="606" spans="1:17" ht="15.75" hidden="1" customHeight="1">
      <c r="A606" s="274"/>
      <c r="B606" s="212"/>
      <c r="C606" s="202" t="e">
        <f>#REF!</f>
        <v>#REF!</v>
      </c>
      <c r="D606" s="202"/>
      <c r="E606" s="214"/>
      <c r="F606" s="202"/>
      <c r="G606" s="234" t="e">
        <f>Backlog[[#This Row],[OP]]</f>
        <v>#VALUE!</v>
      </c>
      <c r="H606" s="202"/>
      <c r="I606" s="316" t="e">
        <f>IF(Backlog[[#This Row],[Fecha Requerida en Producción]]="","",Backlog[[#This Row],[Fecha Requerida en Producción]])</f>
        <v>#VALUE!</v>
      </c>
      <c r="J606" s="207"/>
      <c r="K606" s="207"/>
      <c r="L606" s="207"/>
      <c r="M606" s="207"/>
      <c r="N606" s="248"/>
      <c r="O606" s="248"/>
      <c r="P606" s="248"/>
      <c r="Q606" s="248"/>
    </row>
    <row r="607" spans="1:17" ht="15.75" hidden="1" customHeight="1">
      <c r="A607" s="274"/>
      <c r="B607" s="212"/>
      <c r="C607" s="202" t="e">
        <f>#REF!</f>
        <v>#REF!</v>
      </c>
      <c r="D607" s="202"/>
      <c r="E607" s="214"/>
      <c r="F607" s="202"/>
      <c r="G607" s="234" t="e">
        <f>Backlog[[#This Row],[OP]]</f>
        <v>#VALUE!</v>
      </c>
      <c r="H607" s="202"/>
      <c r="I607" s="316" t="e">
        <f>IF(Backlog[[#This Row],[Fecha Requerida en Producción]]="","",Backlog[[#This Row],[Fecha Requerida en Producción]])</f>
        <v>#VALUE!</v>
      </c>
      <c r="J607" s="207"/>
      <c r="K607" s="207"/>
      <c r="L607" s="207"/>
      <c r="M607" s="207"/>
      <c r="N607" s="248"/>
      <c r="O607" s="248"/>
      <c r="P607" s="248"/>
      <c r="Q607" s="248"/>
    </row>
    <row r="608" spans="1:17" ht="15.75" hidden="1" customHeight="1">
      <c r="A608" s="274"/>
      <c r="B608" s="212"/>
      <c r="C608" s="202" t="e">
        <f>#REF!</f>
        <v>#REF!</v>
      </c>
      <c r="D608" s="202"/>
      <c r="E608" s="214"/>
      <c r="F608" s="202"/>
      <c r="G608" s="234" t="e">
        <f>Backlog[[#This Row],[OP]]</f>
        <v>#VALUE!</v>
      </c>
      <c r="H608" s="202"/>
      <c r="I608" s="316" t="e">
        <f>IF(Backlog[[#This Row],[Fecha Requerida en Producción]]="","",Backlog[[#This Row],[Fecha Requerida en Producción]])</f>
        <v>#VALUE!</v>
      </c>
      <c r="J608" s="207"/>
      <c r="K608" s="207"/>
      <c r="L608" s="207"/>
      <c r="M608" s="207"/>
      <c r="N608" s="248"/>
      <c r="O608" s="248"/>
      <c r="P608" s="248"/>
      <c r="Q608" s="248"/>
    </row>
    <row r="609" spans="1:17" ht="15.75" hidden="1" customHeight="1">
      <c r="A609" s="274"/>
      <c r="B609" s="212"/>
      <c r="C609" s="202" t="e">
        <f>#REF!</f>
        <v>#REF!</v>
      </c>
      <c r="D609" s="202"/>
      <c r="E609" s="214"/>
      <c r="F609" s="202"/>
      <c r="G609" s="234" t="e">
        <f>Backlog[[#This Row],[OP]]</f>
        <v>#VALUE!</v>
      </c>
      <c r="H609" s="202"/>
      <c r="I609" s="316" t="e">
        <f>IF(Backlog[[#This Row],[Fecha Requerida en Producción]]="","",Backlog[[#This Row],[Fecha Requerida en Producción]])</f>
        <v>#VALUE!</v>
      </c>
      <c r="J609" s="207"/>
      <c r="K609" s="207"/>
      <c r="L609" s="207"/>
      <c r="M609" s="207"/>
      <c r="N609" s="248"/>
      <c r="O609" s="248"/>
      <c r="P609" s="248"/>
      <c r="Q609" s="248"/>
    </row>
    <row r="610" spans="1:17" ht="15.75" hidden="1" customHeight="1">
      <c r="A610" s="274"/>
      <c r="B610" s="212"/>
      <c r="C610" s="202" t="e">
        <f>#REF!</f>
        <v>#REF!</v>
      </c>
      <c r="D610" s="202"/>
      <c r="E610" s="214"/>
      <c r="F610" s="202"/>
      <c r="G610" s="234" t="e">
        <f>Backlog[[#This Row],[OP]]</f>
        <v>#VALUE!</v>
      </c>
      <c r="H610" s="202"/>
      <c r="I610" s="316" t="e">
        <f>IF(Backlog[[#This Row],[Fecha Requerida en Producción]]="","",Backlog[[#This Row],[Fecha Requerida en Producción]])</f>
        <v>#VALUE!</v>
      </c>
      <c r="J610" s="207"/>
      <c r="K610" s="207"/>
      <c r="L610" s="207"/>
      <c r="M610" s="207"/>
      <c r="N610" s="248"/>
      <c r="O610" s="248"/>
      <c r="P610" s="248"/>
      <c r="Q610" s="248"/>
    </row>
    <row r="611" spans="1:17" ht="15.75" hidden="1" customHeight="1">
      <c r="A611" s="274"/>
      <c r="B611" s="212"/>
      <c r="C611" s="202" t="e">
        <f>#REF!</f>
        <v>#REF!</v>
      </c>
      <c r="D611" s="202"/>
      <c r="E611" s="214"/>
      <c r="F611" s="202"/>
      <c r="G611" s="234" t="e">
        <f>Backlog[[#This Row],[OP]]</f>
        <v>#VALUE!</v>
      </c>
      <c r="H611" s="202"/>
      <c r="I611" s="316" t="e">
        <f>IF(Backlog[[#This Row],[Fecha Requerida en Producción]]="","",Backlog[[#This Row],[Fecha Requerida en Producción]])</f>
        <v>#VALUE!</v>
      </c>
      <c r="J611" s="207"/>
      <c r="K611" s="207"/>
      <c r="L611" s="207"/>
      <c r="M611" s="207"/>
      <c r="N611" s="248"/>
      <c r="O611" s="248"/>
      <c r="P611" s="248"/>
      <c r="Q611" s="248"/>
    </row>
    <row r="612" spans="1:17" ht="15.75" hidden="1" customHeight="1">
      <c r="A612" s="274"/>
      <c r="B612" s="212"/>
      <c r="C612" s="202" t="e">
        <f>#REF!</f>
        <v>#REF!</v>
      </c>
      <c r="D612" s="202"/>
      <c r="E612" s="214"/>
      <c r="F612" s="202"/>
      <c r="G612" s="234" t="e">
        <f>Backlog[[#This Row],[OP]]</f>
        <v>#VALUE!</v>
      </c>
      <c r="H612" s="202"/>
      <c r="I612" s="316" t="e">
        <f>IF(Backlog[[#This Row],[Fecha Requerida en Producción]]="","",Backlog[[#This Row],[Fecha Requerida en Producción]])</f>
        <v>#VALUE!</v>
      </c>
      <c r="J612" s="207"/>
      <c r="K612" s="207"/>
      <c r="L612" s="207"/>
      <c r="M612" s="207"/>
      <c r="N612" s="248"/>
      <c r="O612" s="248"/>
      <c r="P612" s="248"/>
      <c r="Q612" s="248"/>
    </row>
    <row r="613" spans="1:17" ht="15.75" hidden="1" customHeight="1">
      <c r="A613" s="274"/>
      <c r="B613" s="212"/>
      <c r="C613" s="202" t="e">
        <f>#REF!</f>
        <v>#REF!</v>
      </c>
      <c r="D613" s="202"/>
      <c r="E613" s="214"/>
      <c r="F613" s="202"/>
      <c r="G613" s="234" t="e">
        <f>Backlog[[#This Row],[OP]]</f>
        <v>#VALUE!</v>
      </c>
      <c r="H613" s="202"/>
      <c r="I613" s="316" t="e">
        <f>IF(Backlog[[#This Row],[Fecha Requerida en Producción]]="","",Backlog[[#This Row],[Fecha Requerida en Producción]])</f>
        <v>#VALUE!</v>
      </c>
      <c r="J613" s="207"/>
      <c r="K613" s="207"/>
      <c r="L613" s="207"/>
      <c r="M613" s="207"/>
      <c r="N613" s="248"/>
      <c r="O613" s="248"/>
      <c r="P613" s="248"/>
      <c r="Q613" s="248"/>
    </row>
    <row r="614" spans="1:17" ht="15.75" hidden="1" customHeight="1">
      <c r="A614" s="274"/>
      <c r="B614" s="212"/>
      <c r="C614" s="202" t="e">
        <f>#REF!</f>
        <v>#REF!</v>
      </c>
      <c r="D614" s="202"/>
      <c r="E614" s="214"/>
      <c r="F614" s="202"/>
      <c r="G614" s="234" t="e">
        <f>Backlog[[#This Row],[OP]]</f>
        <v>#VALUE!</v>
      </c>
      <c r="H614" s="202"/>
      <c r="I614" s="316" t="e">
        <f>IF(Backlog[[#This Row],[Fecha Requerida en Producción]]="","",Backlog[[#This Row],[Fecha Requerida en Producción]])</f>
        <v>#VALUE!</v>
      </c>
      <c r="J614" s="207"/>
      <c r="K614" s="207"/>
      <c r="L614" s="207"/>
      <c r="M614" s="207"/>
      <c r="N614" s="248"/>
      <c r="O614" s="248"/>
      <c r="P614" s="248"/>
      <c r="Q614" s="248"/>
    </row>
    <row r="615" spans="1:17" ht="15.75" hidden="1" customHeight="1">
      <c r="A615" s="274"/>
      <c r="B615" s="212"/>
      <c r="C615" s="202" t="e">
        <f>#REF!</f>
        <v>#REF!</v>
      </c>
      <c r="D615" s="202"/>
      <c r="E615" s="214"/>
      <c r="F615" s="202"/>
      <c r="G615" s="234" t="e">
        <f>Backlog[[#This Row],[OP]]</f>
        <v>#VALUE!</v>
      </c>
      <c r="H615" s="202"/>
      <c r="I615" s="316" t="e">
        <f>IF(Backlog[[#This Row],[Fecha Requerida en Producción]]="","",Backlog[[#This Row],[Fecha Requerida en Producción]])</f>
        <v>#VALUE!</v>
      </c>
      <c r="J615" s="207"/>
      <c r="K615" s="207"/>
      <c r="L615" s="207"/>
      <c r="M615" s="207"/>
      <c r="N615" s="248"/>
      <c r="O615" s="248"/>
      <c r="P615" s="248"/>
      <c r="Q615" s="248"/>
    </row>
    <row r="616" spans="1:17" ht="15.75" hidden="1" customHeight="1">
      <c r="A616" s="274"/>
      <c r="B616" s="212"/>
      <c r="C616" s="202" t="e">
        <f>#REF!</f>
        <v>#REF!</v>
      </c>
      <c r="D616" s="202"/>
      <c r="E616" s="214"/>
      <c r="F616" s="202"/>
      <c r="G616" s="234" t="e">
        <f>Backlog[[#This Row],[OP]]</f>
        <v>#VALUE!</v>
      </c>
      <c r="H616" s="202"/>
      <c r="I616" s="316" t="e">
        <f>IF(Backlog[[#This Row],[Fecha Requerida en Producción]]="","",Backlog[[#This Row],[Fecha Requerida en Producción]])</f>
        <v>#VALUE!</v>
      </c>
      <c r="J616" s="207"/>
      <c r="K616" s="207"/>
      <c r="L616" s="207"/>
      <c r="M616" s="207"/>
      <c r="N616" s="248"/>
      <c r="O616" s="248"/>
      <c r="P616" s="248"/>
      <c r="Q616" s="248"/>
    </row>
    <row r="617" spans="1:17" ht="15.75" hidden="1" customHeight="1">
      <c r="A617" s="274"/>
      <c r="B617" s="212"/>
      <c r="C617" s="202" t="e">
        <f>#REF!</f>
        <v>#REF!</v>
      </c>
      <c r="D617" s="202"/>
      <c r="E617" s="214"/>
      <c r="F617" s="202"/>
      <c r="G617" s="234" t="e">
        <f>Backlog[[#This Row],[OP]]</f>
        <v>#VALUE!</v>
      </c>
      <c r="H617" s="202"/>
      <c r="I617" s="316" t="e">
        <f>IF(Backlog[[#This Row],[Fecha Requerida en Producción]]="","",Backlog[[#This Row],[Fecha Requerida en Producción]])</f>
        <v>#VALUE!</v>
      </c>
      <c r="J617" s="207"/>
      <c r="K617" s="207"/>
      <c r="L617" s="207"/>
      <c r="M617" s="207"/>
      <c r="N617" s="248"/>
      <c r="O617" s="248"/>
      <c r="P617" s="248"/>
      <c r="Q617" s="248"/>
    </row>
    <row r="618" spans="1:17" ht="15.75" hidden="1" customHeight="1">
      <c r="A618" s="274"/>
      <c r="B618" s="212"/>
      <c r="C618" s="202" t="e">
        <f>#REF!</f>
        <v>#REF!</v>
      </c>
      <c r="D618" s="202"/>
      <c r="E618" s="214"/>
      <c r="F618" s="202"/>
      <c r="G618" s="234" t="e">
        <f>Backlog[[#This Row],[OP]]</f>
        <v>#VALUE!</v>
      </c>
      <c r="H618" s="202"/>
      <c r="I618" s="316" t="e">
        <f>IF(Backlog[[#This Row],[Fecha Requerida en Producción]]="","",Backlog[[#This Row],[Fecha Requerida en Producción]])</f>
        <v>#VALUE!</v>
      </c>
      <c r="J618" s="207"/>
      <c r="K618" s="207"/>
      <c r="L618" s="207"/>
      <c r="M618" s="207"/>
      <c r="N618" s="248"/>
      <c r="O618" s="248"/>
      <c r="P618" s="248"/>
      <c r="Q618" s="248"/>
    </row>
    <row r="619" spans="1:17" ht="15.75" hidden="1" customHeight="1">
      <c r="A619" s="274"/>
      <c r="B619" s="212"/>
      <c r="C619" s="202" t="e">
        <f>#REF!</f>
        <v>#REF!</v>
      </c>
      <c r="D619" s="202"/>
      <c r="E619" s="214"/>
      <c r="F619" s="202"/>
      <c r="G619" s="234" t="e">
        <f>Backlog[[#This Row],[OP]]</f>
        <v>#VALUE!</v>
      </c>
      <c r="H619" s="202"/>
      <c r="I619" s="316" t="e">
        <f>IF(Backlog[[#This Row],[Fecha Requerida en Producción]]="","",Backlog[[#This Row],[Fecha Requerida en Producción]])</f>
        <v>#VALUE!</v>
      </c>
      <c r="J619" s="207"/>
      <c r="K619" s="207"/>
      <c r="L619" s="207"/>
      <c r="M619" s="207"/>
      <c r="N619" s="248"/>
      <c r="O619" s="248"/>
      <c r="P619" s="248"/>
      <c r="Q619" s="248"/>
    </row>
    <row r="620" spans="1:17" ht="15.75" hidden="1" customHeight="1">
      <c r="A620" s="274"/>
      <c r="B620" s="212"/>
      <c r="C620" s="202" t="e">
        <f>#REF!</f>
        <v>#REF!</v>
      </c>
      <c r="D620" s="202"/>
      <c r="E620" s="214"/>
      <c r="F620" s="202"/>
      <c r="G620" s="234" t="e">
        <f>Backlog[[#This Row],[OP]]</f>
        <v>#VALUE!</v>
      </c>
      <c r="H620" s="202"/>
      <c r="I620" s="316" t="e">
        <f>IF(Backlog[[#This Row],[Fecha Requerida en Producción]]="","",Backlog[[#This Row],[Fecha Requerida en Producción]])</f>
        <v>#VALUE!</v>
      </c>
      <c r="J620" s="207"/>
      <c r="K620" s="207"/>
      <c r="L620" s="207"/>
      <c r="M620" s="207"/>
      <c r="N620" s="248"/>
      <c r="O620" s="248"/>
      <c r="P620" s="248"/>
      <c r="Q620" s="248"/>
    </row>
    <row r="621" spans="1:17" ht="15.75" hidden="1" customHeight="1">
      <c r="A621" s="274"/>
      <c r="B621" s="212"/>
      <c r="C621" s="202" t="e">
        <f>#REF!</f>
        <v>#REF!</v>
      </c>
      <c r="D621" s="202"/>
      <c r="E621" s="214"/>
      <c r="F621" s="202"/>
      <c r="G621" s="234" t="e">
        <f>Backlog[[#This Row],[OP]]</f>
        <v>#VALUE!</v>
      </c>
      <c r="H621" s="202"/>
      <c r="I621" s="316" t="e">
        <f>IF(Backlog[[#This Row],[Fecha Requerida en Producción]]="","",Backlog[[#This Row],[Fecha Requerida en Producción]])</f>
        <v>#VALUE!</v>
      </c>
      <c r="J621" s="207"/>
      <c r="K621" s="207"/>
      <c r="L621" s="207"/>
      <c r="M621" s="207"/>
      <c r="N621" s="248"/>
      <c r="O621" s="248"/>
      <c r="P621" s="248"/>
      <c r="Q621" s="248"/>
    </row>
    <row r="622" spans="1:17" ht="15.75" hidden="1" customHeight="1">
      <c r="A622" s="274"/>
      <c r="B622" s="212"/>
      <c r="C622" s="202" t="e">
        <f>#REF!</f>
        <v>#REF!</v>
      </c>
      <c r="D622" s="202"/>
      <c r="E622" s="214"/>
      <c r="F622" s="202"/>
      <c r="G622" s="234" t="e">
        <f>Backlog[[#This Row],[OP]]</f>
        <v>#VALUE!</v>
      </c>
      <c r="H622" s="202"/>
      <c r="I622" s="316" t="e">
        <f>IF(Backlog[[#This Row],[Fecha Requerida en Producción]]="","",Backlog[[#This Row],[Fecha Requerida en Producción]])</f>
        <v>#VALUE!</v>
      </c>
      <c r="J622" s="207"/>
      <c r="K622" s="207"/>
      <c r="L622" s="207"/>
      <c r="M622" s="207"/>
      <c r="N622" s="248"/>
      <c r="O622" s="248"/>
      <c r="P622" s="248"/>
      <c r="Q622" s="248"/>
    </row>
    <row r="623" spans="1:17" ht="15.75" hidden="1" customHeight="1">
      <c r="A623" s="274"/>
      <c r="B623" s="212"/>
      <c r="C623" s="202" t="e">
        <f>#REF!</f>
        <v>#REF!</v>
      </c>
      <c r="D623" s="202"/>
      <c r="E623" s="214"/>
      <c r="F623" s="202"/>
      <c r="G623" s="234" t="e">
        <f>Backlog[[#This Row],[OP]]</f>
        <v>#VALUE!</v>
      </c>
      <c r="H623" s="202"/>
      <c r="I623" s="316" t="e">
        <f>IF(Backlog[[#This Row],[Fecha Requerida en Producción]]="","",Backlog[[#This Row],[Fecha Requerida en Producción]])</f>
        <v>#VALUE!</v>
      </c>
      <c r="J623" s="207"/>
      <c r="K623" s="207"/>
      <c r="L623" s="207"/>
      <c r="M623" s="207"/>
      <c r="N623" s="248"/>
      <c r="O623" s="248"/>
      <c r="P623" s="248"/>
      <c r="Q623" s="248"/>
    </row>
    <row r="624" spans="1:17" ht="15.75" hidden="1" customHeight="1">
      <c r="A624" s="274"/>
      <c r="B624" s="212"/>
      <c r="C624" s="202" t="e">
        <f>#REF!</f>
        <v>#REF!</v>
      </c>
      <c r="D624" s="202"/>
      <c r="E624" s="214"/>
      <c r="F624" s="202"/>
      <c r="G624" s="234" t="e">
        <f>Backlog[[#This Row],[OP]]</f>
        <v>#VALUE!</v>
      </c>
      <c r="H624" s="202"/>
      <c r="I624" s="316" t="e">
        <f>IF(Backlog[[#This Row],[Fecha Requerida en Producción]]="","",Backlog[[#This Row],[Fecha Requerida en Producción]])</f>
        <v>#VALUE!</v>
      </c>
      <c r="J624" s="207"/>
      <c r="K624" s="207"/>
      <c r="L624" s="207"/>
      <c r="M624" s="207"/>
      <c r="N624" s="248"/>
      <c r="O624" s="248"/>
      <c r="P624" s="248"/>
      <c r="Q624" s="248"/>
    </row>
    <row r="625" spans="1:17" ht="15.75" hidden="1" customHeight="1">
      <c r="A625" s="274"/>
      <c r="B625" s="212"/>
      <c r="C625" s="202" t="e">
        <f>#REF!</f>
        <v>#REF!</v>
      </c>
      <c r="D625" s="202"/>
      <c r="E625" s="214"/>
      <c r="F625" s="202"/>
      <c r="G625" s="234" t="e">
        <f>Backlog[[#This Row],[OP]]</f>
        <v>#VALUE!</v>
      </c>
      <c r="H625" s="202"/>
      <c r="I625" s="316" t="e">
        <f>IF(Backlog[[#This Row],[Fecha Requerida en Producción]]="","",Backlog[[#This Row],[Fecha Requerida en Producción]])</f>
        <v>#VALUE!</v>
      </c>
      <c r="J625" s="207"/>
      <c r="K625" s="207"/>
      <c r="L625" s="207"/>
      <c r="M625" s="207"/>
      <c r="N625" s="248"/>
      <c r="O625" s="248"/>
      <c r="P625" s="248"/>
      <c r="Q625" s="248"/>
    </row>
    <row r="626" spans="1:17" ht="15.75" hidden="1" customHeight="1">
      <c r="A626" s="274"/>
      <c r="B626" s="212"/>
      <c r="C626" s="202" t="e">
        <f>#REF!</f>
        <v>#REF!</v>
      </c>
      <c r="D626" s="202"/>
      <c r="E626" s="214"/>
      <c r="F626" s="202"/>
      <c r="G626" s="234" t="e">
        <f>Backlog[[#This Row],[OP]]</f>
        <v>#VALUE!</v>
      </c>
      <c r="H626" s="202"/>
      <c r="I626" s="316" t="e">
        <f>IF(Backlog[[#This Row],[Fecha Requerida en Producción]]="","",Backlog[[#This Row],[Fecha Requerida en Producción]])</f>
        <v>#VALUE!</v>
      </c>
      <c r="J626" s="207"/>
      <c r="K626" s="207"/>
      <c r="L626" s="207"/>
      <c r="M626" s="207"/>
      <c r="N626" s="248"/>
      <c r="O626" s="248"/>
      <c r="P626" s="248"/>
      <c r="Q626" s="248"/>
    </row>
    <row r="627" spans="1:17" ht="15.75" hidden="1" customHeight="1">
      <c r="A627" s="274"/>
      <c r="B627" s="212"/>
      <c r="C627" s="202" t="e">
        <f>#REF!</f>
        <v>#REF!</v>
      </c>
      <c r="D627" s="202"/>
      <c r="E627" s="214"/>
      <c r="F627" s="202"/>
      <c r="G627" s="234" t="e">
        <f>Backlog[[#This Row],[OP]]</f>
        <v>#VALUE!</v>
      </c>
      <c r="H627" s="202"/>
      <c r="I627" s="316" t="e">
        <f>IF(Backlog[[#This Row],[Fecha Requerida en Producción]]="","",Backlog[[#This Row],[Fecha Requerida en Producción]])</f>
        <v>#VALUE!</v>
      </c>
      <c r="J627" s="207"/>
      <c r="K627" s="207"/>
      <c r="L627" s="207"/>
      <c r="M627" s="207"/>
      <c r="N627" s="248"/>
      <c r="O627" s="248"/>
      <c r="P627" s="248"/>
      <c r="Q627" s="248"/>
    </row>
    <row r="628" spans="1:17" ht="15.75" hidden="1" customHeight="1">
      <c r="A628" s="274"/>
      <c r="B628" s="212"/>
      <c r="C628" s="202" t="e">
        <f>#REF!</f>
        <v>#REF!</v>
      </c>
      <c r="D628" s="202"/>
      <c r="E628" s="214"/>
      <c r="F628" s="202"/>
      <c r="G628" s="234" t="e">
        <f>Backlog[[#This Row],[OP]]</f>
        <v>#VALUE!</v>
      </c>
      <c r="H628" s="202"/>
      <c r="I628" s="316" t="e">
        <f>IF(Backlog[[#This Row],[Fecha Requerida en Producción]]="","",Backlog[[#This Row],[Fecha Requerida en Producción]])</f>
        <v>#VALUE!</v>
      </c>
      <c r="J628" s="207"/>
      <c r="K628" s="207"/>
      <c r="L628" s="207"/>
      <c r="M628" s="207"/>
      <c r="N628" s="248"/>
      <c r="O628" s="248"/>
      <c r="P628" s="248"/>
      <c r="Q628" s="248"/>
    </row>
    <row r="629" spans="1:17" ht="15.75" hidden="1" customHeight="1">
      <c r="A629" s="274"/>
      <c r="B629" s="212"/>
      <c r="C629" s="202" t="e">
        <f>#REF!</f>
        <v>#REF!</v>
      </c>
      <c r="D629" s="202"/>
      <c r="E629" s="214"/>
      <c r="F629" s="202"/>
      <c r="G629" s="234" t="e">
        <f>Backlog[[#This Row],[OP]]</f>
        <v>#VALUE!</v>
      </c>
      <c r="H629" s="202"/>
      <c r="I629" s="316" t="e">
        <f>IF(Backlog[[#This Row],[Fecha Requerida en Producción]]="","",Backlog[[#This Row],[Fecha Requerida en Producción]])</f>
        <v>#VALUE!</v>
      </c>
      <c r="J629" s="207"/>
      <c r="K629" s="207"/>
      <c r="L629" s="207"/>
      <c r="M629" s="207"/>
      <c r="N629" s="248"/>
      <c r="O629" s="248"/>
      <c r="P629" s="248"/>
      <c r="Q629" s="248"/>
    </row>
    <row r="630" spans="1:17" ht="15.75" hidden="1" customHeight="1">
      <c r="A630" s="274"/>
      <c r="B630" s="212"/>
      <c r="C630" s="202" t="e">
        <f>#REF!</f>
        <v>#REF!</v>
      </c>
      <c r="D630" s="202"/>
      <c r="E630" s="214"/>
      <c r="F630" s="202"/>
      <c r="G630" s="234" t="e">
        <f>Backlog[[#This Row],[OP]]</f>
        <v>#VALUE!</v>
      </c>
      <c r="H630" s="202"/>
      <c r="I630" s="316" t="e">
        <f>IF(Backlog[[#This Row],[Fecha Requerida en Producción]]="","",Backlog[[#This Row],[Fecha Requerida en Producción]])</f>
        <v>#VALUE!</v>
      </c>
      <c r="J630" s="207"/>
      <c r="K630" s="207"/>
      <c r="L630" s="207"/>
      <c r="M630" s="207"/>
      <c r="N630" s="248"/>
      <c r="O630" s="248"/>
      <c r="P630" s="248"/>
      <c r="Q630" s="248"/>
    </row>
    <row r="631" spans="1:17" ht="15.75" hidden="1" customHeight="1">
      <c r="A631" s="274"/>
      <c r="B631" s="212"/>
      <c r="C631" s="202" t="e">
        <f>#REF!</f>
        <v>#REF!</v>
      </c>
      <c r="D631" s="202"/>
      <c r="E631" s="214"/>
      <c r="F631" s="202"/>
      <c r="G631" s="234" t="e">
        <f>Backlog[[#This Row],[OP]]</f>
        <v>#VALUE!</v>
      </c>
      <c r="H631" s="202"/>
      <c r="I631" s="316" t="e">
        <f>IF(Backlog[[#This Row],[Fecha Requerida en Producción]]="","",Backlog[[#This Row],[Fecha Requerida en Producción]])</f>
        <v>#VALUE!</v>
      </c>
      <c r="J631" s="207"/>
      <c r="K631" s="207"/>
      <c r="L631" s="207"/>
      <c r="M631" s="207"/>
      <c r="N631" s="248"/>
      <c r="O631" s="248"/>
      <c r="P631" s="248"/>
      <c r="Q631" s="248"/>
    </row>
    <row r="632" spans="1:17" ht="15.75" hidden="1" customHeight="1">
      <c r="A632" s="274"/>
      <c r="B632" s="212"/>
      <c r="C632" s="202" t="e">
        <f>#REF!</f>
        <v>#REF!</v>
      </c>
      <c r="D632" s="202"/>
      <c r="E632" s="214"/>
      <c r="F632" s="202"/>
      <c r="G632" s="234" t="e">
        <f>Backlog[[#This Row],[OP]]</f>
        <v>#VALUE!</v>
      </c>
      <c r="H632" s="202"/>
      <c r="I632" s="316" t="e">
        <f>IF(Backlog[[#This Row],[Fecha Requerida en Producción]]="","",Backlog[[#This Row],[Fecha Requerida en Producción]])</f>
        <v>#VALUE!</v>
      </c>
      <c r="J632" s="207"/>
      <c r="K632" s="207"/>
      <c r="L632" s="207"/>
      <c r="M632" s="207"/>
      <c r="N632" s="248"/>
      <c r="O632" s="248"/>
      <c r="P632" s="248"/>
      <c r="Q632" s="248"/>
    </row>
    <row r="633" spans="1:17" ht="15.75" hidden="1" customHeight="1">
      <c r="A633" s="274"/>
      <c r="B633" s="212"/>
      <c r="C633" s="202" t="e">
        <f>#REF!</f>
        <v>#REF!</v>
      </c>
      <c r="D633" s="202"/>
      <c r="E633" s="214"/>
      <c r="F633" s="202"/>
      <c r="G633" s="234" t="e">
        <f>Backlog[[#This Row],[OP]]</f>
        <v>#VALUE!</v>
      </c>
      <c r="H633" s="202"/>
      <c r="I633" s="316" t="e">
        <f>IF(Backlog[[#This Row],[Fecha Requerida en Producción]]="","",Backlog[[#This Row],[Fecha Requerida en Producción]])</f>
        <v>#VALUE!</v>
      </c>
      <c r="J633" s="207"/>
      <c r="K633" s="207"/>
      <c r="L633" s="207"/>
      <c r="M633" s="207"/>
      <c r="N633" s="248"/>
      <c r="O633" s="248"/>
      <c r="P633" s="248"/>
      <c r="Q633" s="248"/>
    </row>
    <row r="634" spans="1:17" ht="15.75" hidden="1" customHeight="1">
      <c r="A634" s="274"/>
      <c r="B634" s="212"/>
      <c r="C634" s="202" t="e">
        <f>#REF!</f>
        <v>#REF!</v>
      </c>
      <c r="D634" s="202"/>
      <c r="E634" s="214"/>
      <c r="F634" s="202"/>
      <c r="G634" s="234" t="e">
        <f>Backlog[[#This Row],[OP]]</f>
        <v>#VALUE!</v>
      </c>
      <c r="H634" s="202"/>
      <c r="I634" s="316" t="e">
        <f>IF(Backlog[[#This Row],[Fecha Requerida en Producción]]="","",Backlog[[#This Row],[Fecha Requerida en Producción]])</f>
        <v>#VALUE!</v>
      </c>
      <c r="J634" s="207"/>
      <c r="K634" s="207"/>
      <c r="L634" s="207"/>
      <c r="M634" s="207"/>
      <c r="N634" s="248"/>
      <c r="O634" s="248"/>
      <c r="P634" s="248"/>
      <c r="Q634" s="248"/>
    </row>
    <row r="635" spans="1:17" ht="15.75" hidden="1" customHeight="1">
      <c r="A635" s="274"/>
      <c r="B635" s="212"/>
      <c r="C635" s="202" t="e">
        <f>#REF!</f>
        <v>#REF!</v>
      </c>
      <c r="D635" s="202"/>
      <c r="E635" s="214"/>
      <c r="F635" s="202"/>
      <c r="G635" s="234" t="e">
        <f>Backlog[[#This Row],[OP]]</f>
        <v>#VALUE!</v>
      </c>
      <c r="H635" s="202"/>
      <c r="I635" s="316" t="e">
        <f>IF(Backlog[[#This Row],[Fecha Requerida en Producción]]="","",Backlog[[#This Row],[Fecha Requerida en Producción]])</f>
        <v>#VALUE!</v>
      </c>
      <c r="J635" s="207"/>
      <c r="K635" s="207"/>
      <c r="L635" s="207"/>
      <c r="M635" s="207"/>
      <c r="N635" s="248"/>
      <c r="O635" s="248"/>
      <c r="P635" s="248"/>
      <c r="Q635" s="248"/>
    </row>
    <row r="636" spans="1:17" ht="15.75" hidden="1" customHeight="1">
      <c r="A636" s="274"/>
      <c r="B636" s="212"/>
      <c r="C636" s="202" t="e">
        <f>#REF!</f>
        <v>#REF!</v>
      </c>
      <c r="D636" s="202"/>
      <c r="E636" s="214"/>
      <c r="F636" s="202"/>
      <c r="G636" s="234" t="e">
        <f>Backlog[[#This Row],[OP]]</f>
        <v>#VALUE!</v>
      </c>
      <c r="H636" s="202"/>
      <c r="I636" s="316" t="e">
        <f>IF(Backlog[[#This Row],[Fecha Requerida en Producción]]="","",Backlog[[#This Row],[Fecha Requerida en Producción]])</f>
        <v>#VALUE!</v>
      </c>
      <c r="J636" s="207"/>
      <c r="K636" s="207"/>
      <c r="L636" s="207"/>
      <c r="M636" s="207"/>
      <c r="N636" s="248"/>
      <c r="O636" s="248"/>
      <c r="P636" s="248"/>
      <c r="Q636" s="248"/>
    </row>
    <row r="637" spans="1:17" ht="15.75" hidden="1" customHeight="1">
      <c r="A637" s="274"/>
      <c r="B637" s="212"/>
      <c r="C637" s="202" t="e">
        <f>#REF!</f>
        <v>#REF!</v>
      </c>
      <c r="D637" s="202"/>
      <c r="E637" s="214"/>
      <c r="F637" s="202"/>
      <c r="G637" s="234" t="e">
        <f>Backlog[[#This Row],[OP]]</f>
        <v>#VALUE!</v>
      </c>
      <c r="H637" s="202"/>
      <c r="I637" s="316" t="e">
        <f>IF(Backlog[[#This Row],[Fecha Requerida en Producción]]="","",Backlog[[#This Row],[Fecha Requerida en Producción]])</f>
        <v>#VALUE!</v>
      </c>
      <c r="J637" s="207"/>
      <c r="K637" s="207"/>
      <c r="L637" s="207"/>
      <c r="M637" s="207"/>
      <c r="N637" s="248"/>
      <c r="O637" s="248"/>
      <c r="P637" s="248"/>
      <c r="Q637" s="248"/>
    </row>
    <row r="638" spans="1:17" ht="15.75" hidden="1" customHeight="1">
      <c r="A638" s="274"/>
      <c r="B638" s="212"/>
      <c r="C638" s="202" t="e">
        <f>#REF!</f>
        <v>#REF!</v>
      </c>
      <c r="D638" s="202"/>
      <c r="E638" s="214"/>
      <c r="F638" s="202"/>
      <c r="G638" s="234" t="e">
        <f>Backlog[[#This Row],[OP]]</f>
        <v>#VALUE!</v>
      </c>
      <c r="H638" s="202"/>
      <c r="I638" s="316" t="e">
        <f>IF(Backlog[[#This Row],[Fecha Requerida en Producción]]="","",Backlog[[#This Row],[Fecha Requerida en Producción]])</f>
        <v>#VALUE!</v>
      </c>
      <c r="J638" s="207"/>
      <c r="K638" s="207"/>
      <c r="L638" s="207"/>
      <c r="M638" s="207"/>
      <c r="N638" s="248"/>
      <c r="O638" s="248"/>
      <c r="P638" s="248"/>
      <c r="Q638" s="248"/>
    </row>
    <row r="639" spans="1:17" ht="15.75" hidden="1" customHeight="1">
      <c r="A639" s="274"/>
      <c r="B639" s="212"/>
      <c r="C639" s="202" t="e">
        <f>#REF!</f>
        <v>#REF!</v>
      </c>
      <c r="D639" s="202"/>
      <c r="E639" s="214"/>
      <c r="F639" s="202"/>
      <c r="G639" s="234" t="e">
        <f>Backlog[[#This Row],[OP]]</f>
        <v>#VALUE!</v>
      </c>
      <c r="H639" s="202"/>
      <c r="I639" s="316" t="e">
        <f>IF(Backlog[[#This Row],[Fecha Requerida en Producción]]="","",Backlog[[#This Row],[Fecha Requerida en Producción]])</f>
        <v>#VALUE!</v>
      </c>
      <c r="J639" s="207"/>
      <c r="K639" s="207"/>
      <c r="L639" s="207"/>
      <c r="M639" s="207"/>
      <c r="N639" s="248"/>
      <c r="O639" s="248"/>
      <c r="P639" s="248"/>
      <c r="Q639" s="248"/>
    </row>
    <row r="640" spans="1:17" ht="15.75" hidden="1" customHeight="1">
      <c r="A640" s="274"/>
      <c r="B640" s="212"/>
      <c r="C640" s="202" t="e">
        <f>#REF!</f>
        <v>#REF!</v>
      </c>
      <c r="D640" s="202"/>
      <c r="E640" s="214"/>
      <c r="F640" s="202"/>
      <c r="G640" s="234" t="e">
        <f>Backlog[[#This Row],[OP]]</f>
        <v>#VALUE!</v>
      </c>
      <c r="H640" s="202"/>
      <c r="I640" s="316" t="e">
        <f>IF(Backlog[[#This Row],[Fecha Requerida en Producción]]="","",Backlog[[#This Row],[Fecha Requerida en Producción]])</f>
        <v>#VALUE!</v>
      </c>
      <c r="J640" s="207"/>
      <c r="K640" s="207"/>
      <c r="L640" s="207"/>
      <c r="M640" s="207"/>
      <c r="N640" s="248"/>
      <c r="O640" s="248"/>
      <c r="P640" s="248"/>
      <c r="Q640" s="248"/>
    </row>
    <row r="641" spans="1:17" ht="15.75" hidden="1" customHeight="1">
      <c r="A641" s="274"/>
      <c r="B641" s="212"/>
      <c r="C641" s="202" t="e">
        <f>#REF!</f>
        <v>#REF!</v>
      </c>
      <c r="D641" s="202"/>
      <c r="E641" s="214"/>
      <c r="F641" s="202"/>
      <c r="G641" s="234" t="e">
        <f>Backlog[[#This Row],[OP]]</f>
        <v>#VALUE!</v>
      </c>
      <c r="H641" s="202"/>
      <c r="I641" s="316" t="e">
        <f>IF(Backlog[[#This Row],[Fecha Requerida en Producción]]="","",Backlog[[#This Row],[Fecha Requerida en Producción]])</f>
        <v>#VALUE!</v>
      </c>
      <c r="J641" s="207"/>
      <c r="K641" s="207"/>
      <c r="L641" s="207"/>
      <c r="M641" s="207"/>
      <c r="N641" s="248"/>
      <c r="O641" s="248"/>
      <c r="P641" s="248"/>
      <c r="Q641" s="248"/>
    </row>
    <row r="642" spans="1:17" ht="15.75" hidden="1" customHeight="1">
      <c r="A642" s="274"/>
      <c r="B642" s="212"/>
      <c r="C642" s="202" t="e">
        <f>#REF!</f>
        <v>#REF!</v>
      </c>
      <c r="D642" s="202"/>
      <c r="E642" s="214"/>
      <c r="F642" s="202"/>
      <c r="G642" s="234" t="e">
        <f>Backlog[[#This Row],[OP]]</f>
        <v>#VALUE!</v>
      </c>
      <c r="H642" s="202"/>
      <c r="I642" s="316" t="e">
        <f>IF(Backlog[[#This Row],[Fecha Requerida en Producción]]="","",Backlog[[#This Row],[Fecha Requerida en Producción]])</f>
        <v>#VALUE!</v>
      </c>
      <c r="J642" s="207"/>
      <c r="K642" s="207"/>
      <c r="L642" s="207"/>
      <c r="M642" s="207"/>
      <c r="N642" s="253"/>
      <c r="O642" s="253"/>
      <c r="P642" s="253"/>
      <c r="Q642" s="253"/>
    </row>
    <row r="643" spans="1:17" ht="15.75" hidden="1" customHeight="1">
      <c r="A643" s="274"/>
      <c r="B643" s="212"/>
      <c r="C643" s="202" t="e">
        <f>#REF!</f>
        <v>#REF!</v>
      </c>
      <c r="D643" s="202"/>
      <c r="E643" s="214"/>
      <c r="F643" s="202"/>
      <c r="G643" s="234" t="e">
        <f>Backlog[[#This Row],[OP]]</f>
        <v>#VALUE!</v>
      </c>
      <c r="H643" s="202"/>
      <c r="I643" s="316" t="e">
        <f>IF(Backlog[[#This Row],[Fecha Requerida en Producción]]="","",Backlog[[#This Row],[Fecha Requerida en Producción]])</f>
        <v>#VALUE!</v>
      </c>
      <c r="J643" s="207"/>
      <c r="K643" s="207"/>
      <c r="L643" s="207"/>
      <c r="M643" s="207"/>
      <c r="N643" s="248"/>
      <c r="O643" s="248"/>
      <c r="P643" s="248"/>
      <c r="Q643" s="248"/>
    </row>
    <row r="644" spans="1:17" ht="15.75" hidden="1" customHeight="1">
      <c r="A644" s="274"/>
      <c r="B644" s="212"/>
      <c r="C644" s="202" t="e">
        <f>#REF!</f>
        <v>#REF!</v>
      </c>
      <c r="D644" s="202"/>
      <c r="E644" s="214"/>
      <c r="F644" s="202"/>
      <c r="G644" s="234" t="e">
        <f>Backlog[[#This Row],[OP]]</f>
        <v>#VALUE!</v>
      </c>
      <c r="H644" s="202"/>
      <c r="I644" s="316" t="e">
        <f>IF(Backlog[[#This Row],[Fecha Requerida en Producción]]="","",Backlog[[#This Row],[Fecha Requerida en Producción]])</f>
        <v>#VALUE!</v>
      </c>
      <c r="J644" s="207"/>
      <c r="K644" s="207"/>
      <c r="L644" s="207"/>
      <c r="M644" s="207"/>
      <c r="N644" s="248"/>
      <c r="O644" s="248"/>
      <c r="P644" s="248"/>
      <c r="Q644" s="248"/>
    </row>
    <row r="645" spans="1:17" ht="15.75" hidden="1" customHeight="1">
      <c r="A645" s="274"/>
      <c r="B645" s="212"/>
      <c r="C645" s="202" t="e">
        <f>#REF!</f>
        <v>#REF!</v>
      </c>
      <c r="D645" s="202"/>
      <c r="E645" s="214"/>
      <c r="F645" s="202"/>
      <c r="G645" s="234" t="e">
        <f>Backlog[[#This Row],[OP]]</f>
        <v>#VALUE!</v>
      </c>
      <c r="H645" s="202"/>
      <c r="I645" s="316" t="e">
        <f>IF(Backlog[[#This Row],[Fecha Requerida en Producción]]="","",Backlog[[#This Row],[Fecha Requerida en Producción]])</f>
        <v>#VALUE!</v>
      </c>
      <c r="J645" s="207"/>
      <c r="K645" s="207"/>
      <c r="L645" s="207"/>
      <c r="M645" s="207"/>
      <c r="N645" s="248"/>
      <c r="O645" s="248"/>
      <c r="P645" s="248"/>
      <c r="Q645" s="248"/>
    </row>
    <row r="646" spans="1:17" ht="15.75" hidden="1" customHeight="1">
      <c r="A646" s="274"/>
      <c r="B646" s="212"/>
      <c r="C646" s="202" t="e">
        <f>#REF!</f>
        <v>#REF!</v>
      </c>
      <c r="D646" s="202"/>
      <c r="E646" s="214"/>
      <c r="F646" s="202"/>
      <c r="G646" s="234" t="e">
        <f>Backlog[[#This Row],[OP]]</f>
        <v>#VALUE!</v>
      </c>
      <c r="H646" s="202"/>
      <c r="I646" s="316" t="e">
        <f>IF(Backlog[[#This Row],[Fecha Requerida en Producción]]="","",Backlog[[#This Row],[Fecha Requerida en Producción]])</f>
        <v>#VALUE!</v>
      </c>
      <c r="J646" s="207"/>
      <c r="K646" s="207"/>
      <c r="L646" s="207"/>
      <c r="M646" s="207"/>
      <c r="N646" s="248"/>
      <c r="O646" s="248"/>
      <c r="P646" s="248"/>
      <c r="Q646" s="248"/>
    </row>
    <row r="647" spans="1:17" ht="15.75" hidden="1" customHeight="1">
      <c r="A647" s="274"/>
      <c r="B647" s="212"/>
      <c r="C647" s="202" t="e">
        <f>#REF!</f>
        <v>#REF!</v>
      </c>
      <c r="D647" s="202"/>
      <c r="E647" s="214"/>
      <c r="F647" s="202"/>
      <c r="G647" s="234" t="e">
        <f>Backlog[[#This Row],[OP]]</f>
        <v>#VALUE!</v>
      </c>
      <c r="H647" s="202"/>
      <c r="I647" s="316" t="e">
        <f>IF(Backlog[[#This Row],[Fecha Requerida en Producción]]="","",Backlog[[#This Row],[Fecha Requerida en Producción]])</f>
        <v>#VALUE!</v>
      </c>
      <c r="J647" s="207"/>
      <c r="K647" s="207"/>
      <c r="L647" s="207"/>
      <c r="M647" s="207"/>
      <c r="N647" s="248"/>
      <c r="O647" s="248"/>
      <c r="P647" s="248"/>
      <c r="Q647" s="248"/>
    </row>
    <row r="648" spans="1:17" ht="15.75" hidden="1" customHeight="1">
      <c r="A648" s="274"/>
      <c r="B648" s="212"/>
      <c r="C648" s="202" t="e">
        <f>#REF!</f>
        <v>#REF!</v>
      </c>
      <c r="D648" s="202"/>
      <c r="E648" s="214"/>
      <c r="F648" s="202"/>
      <c r="G648" s="234" t="e">
        <f>Backlog[[#This Row],[OP]]</f>
        <v>#VALUE!</v>
      </c>
      <c r="H648" s="202"/>
      <c r="I648" s="316" t="e">
        <f>IF(Backlog[[#This Row],[Fecha Requerida en Producción]]="","",Backlog[[#This Row],[Fecha Requerida en Producción]])</f>
        <v>#VALUE!</v>
      </c>
      <c r="J648" s="207"/>
      <c r="K648" s="207"/>
      <c r="L648" s="207"/>
      <c r="M648" s="207"/>
      <c r="N648" s="248"/>
      <c r="O648" s="248"/>
      <c r="P648" s="248"/>
      <c r="Q648" s="248"/>
    </row>
    <row r="649" spans="1:17" ht="15.75" hidden="1" customHeight="1">
      <c r="A649" s="274"/>
      <c r="B649" s="212"/>
      <c r="C649" s="202" t="e">
        <f>#REF!</f>
        <v>#REF!</v>
      </c>
      <c r="D649" s="202"/>
      <c r="E649" s="214"/>
      <c r="F649" s="202"/>
      <c r="G649" s="234" t="e">
        <f>Backlog[[#This Row],[OP]]</f>
        <v>#VALUE!</v>
      </c>
      <c r="H649" s="202"/>
      <c r="I649" s="316" t="e">
        <f>IF(Backlog[[#This Row],[Fecha Requerida en Producción]]="","",Backlog[[#This Row],[Fecha Requerida en Producción]])</f>
        <v>#VALUE!</v>
      </c>
      <c r="J649" s="207"/>
      <c r="K649" s="207"/>
      <c r="L649" s="207"/>
      <c r="M649" s="207"/>
      <c r="N649" s="248"/>
      <c r="O649" s="248"/>
      <c r="P649" s="248"/>
      <c r="Q649" s="248"/>
    </row>
    <row r="650" spans="1:17" ht="15.75" hidden="1" customHeight="1">
      <c r="A650" s="274"/>
      <c r="B650" s="212"/>
      <c r="C650" s="202" t="e">
        <f>#REF!</f>
        <v>#REF!</v>
      </c>
      <c r="D650" s="202"/>
      <c r="E650" s="214"/>
      <c r="F650" s="202"/>
      <c r="G650" s="234" t="e">
        <f>Backlog[[#This Row],[OP]]</f>
        <v>#VALUE!</v>
      </c>
      <c r="H650" s="202"/>
      <c r="I650" s="316" t="e">
        <f>IF(Backlog[[#This Row],[Fecha Requerida en Producción]]="","",Backlog[[#This Row],[Fecha Requerida en Producción]])</f>
        <v>#VALUE!</v>
      </c>
      <c r="J650" s="207"/>
      <c r="K650" s="207"/>
      <c r="L650" s="207"/>
      <c r="M650" s="207"/>
      <c r="N650" s="248"/>
      <c r="O650" s="248"/>
      <c r="P650" s="248"/>
      <c r="Q650" s="248"/>
    </row>
    <row r="651" spans="1:17" ht="15.75" hidden="1" customHeight="1">
      <c r="A651" s="274"/>
      <c r="B651" s="212"/>
      <c r="C651" s="202" t="e">
        <f>#REF!</f>
        <v>#REF!</v>
      </c>
      <c r="D651" s="202"/>
      <c r="E651" s="214"/>
      <c r="F651" s="202"/>
      <c r="G651" s="234" t="e">
        <f>Backlog[[#This Row],[OP]]</f>
        <v>#VALUE!</v>
      </c>
      <c r="H651" s="202"/>
      <c r="I651" s="316" t="e">
        <f>IF(Backlog[[#This Row],[Fecha Requerida en Producción]]="","",Backlog[[#This Row],[Fecha Requerida en Producción]])</f>
        <v>#VALUE!</v>
      </c>
      <c r="J651" s="207"/>
      <c r="K651" s="207"/>
      <c r="L651" s="207"/>
      <c r="M651" s="207"/>
      <c r="N651" s="248"/>
      <c r="O651" s="248"/>
      <c r="P651" s="248"/>
      <c r="Q651" s="248"/>
    </row>
    <row r="652" spans="1:17" ht="15.75" hidden="1" customHeight="1">
      <c r="A652" s="274"/>
      <c r="B652" s="212"/>
      <c r="C652" s="202" t="e">
        <f>#REF!</f>
        <v>#REF!</v>
      </c>
      <c r="D652" s="202"/>
      <c r="E652" s="214"/>
      <c r="F652" s="202"/>
      <c r="G652" s="234" t="e">
        <f>Backlog[[#This Row],[OP]]</f>
        <v>#VALUE!</v>
      </c>
      <c r="H652" s="202"/>
      <c r="I652" s="316" t="e">
        <f>IF(Backlog[[#This Row],[Fecha Requerida en Producción]]="","",Backlog[[#This Row],[Fecha Requerida en Producción]])</f>
        <v>#VALUE!</v>
      </c>
      <c r="J652" s="207"/>
      <c r="K652" s="207"/>
      <c r="L652" s="207"/>
      <c r="M652" s="207"/>
      <c r="N652" s="248"/>
      <c r="O652" s="248"/>
      <c r="P652" s="248"/>
      <c r="Q652" s="248"/>
    </row>
    <row r="653" spans="1:17" ht="15.75" hidden="1" customHeight="1">
      <c r="A653" s="274"/>
      <c r="B653" s="212"/>
      <c r="C653" s="202" t="e">
        <f>#REF!</f>
        <v>#REF!</v>
      </c>
      <c r="D653" s="202"/>
      <c r="E653" s="214"/>
      <c r="F653" s="202"/>
      <c r="G653" s="234" t="e">
        <f>Backlog[[#This Row],[OP]]</f>
        <v>#VALUE!</v>
      </c>
      <c r="H653" s="202"/>
      <c r="I653" s="316" t="e">
        <f>IF(Backlog[[#This Row],[Fecha Requerida en Producción]]="","",Backlog[[#This Row],[Fecha Requerida en Producción]])</f>
        <v>#VALUE!</v>
      </c>
      <c r="J653" s="207"/>
      <c r="K653" s="207"/>
      <c r="L653" s="207"/>
      <c r="M653" s="207"/>
      <c r="N653" s="248"/>
      <c r="O653" s="248"/>
      <c r="P653" s="248"/>
      <c r="Q653" s="248"/>
    </row>
    <row r="654" spans="1:17" ht="15.75" hidden="1" customHeight="1">
      <c r="A654" s="274"/>
      <c r="B654" s="212"/>
      <c r="C654" s="202" t="e">
        <f>#REF!</f>
        <v>#REF!</v>
      </c>
      <c r="D654" s="202"/>
      <c r="E654" s="214"/>
      <c r="F654" s="202"/>
      <c r="G654" s="234" t="e">
        <f>Backlog[[#This Row],[OP]]</f>
        <v>#VALUE!</v>
      </c>
      <c r="H654" s="202"/>
      <c r="I654" s="316" t="e">
        <f>IF(Backlog[[#This Row],[Fecha Requerida en Producción]]="","",Backlog[[#This Row],[Fecha Requerida en Producción]])</f>
        <v>#VALUE!</v>
      </c>
      <c r="J654" s="207"/>
      <c r="K654" s="207"/>
      <c r="L654" s="207"/>
      <c r="M654" s="207"/>
      <c r="N654" s="248"/>
      <c r="O654" s="248"/>
      <c r="P654" s="248"/>
      <c r="Q654" s="248"/>
    </row>
    <row r="655" spans="1:17" ht="15.75" hidden="1" customHeight="1">
      <c r="A655" s="274"/>
      <c r="B655" s="212"/>
      <c r="C655" s="202" t="e">
        <f>#REF!</f>
        <v>#REF!</v>
      </c>
      <c r="D655" s="202"/>
      <c r="E655" s="214"/>
      <c r="F655" s="202"/>
      <c r="G655" s="234" t="e">
        <f>Backlog[[#This Row],[OP]]</f>
        <v>#VALUE!</v>
      </c>
      <c r="H655" s="202"/>
      <c r="I655" s="316" t="e">
        <f>IF(Backlog[[#This Row],[Fecha Requerida en Producción]]="","",Backlog[[#This Row],[Fecha Requerida en Producción]])</f>
        <v>#VALUE!</v>
      </c>
      <c r="J655" s="207"/>
      <c r="K655" s="207"/>
      <c r="L655" s="207"/>
      <c r="M655" s="207"/>
      <c r="N655" s="248"/>
      <c r="O655" s="248"/>
      <c r="P655" s="248"/>
      <c r="Q655" s="248"/>
    </row>
    <row r="656" spans="1:17" ht="15.75" hidden="1" customHeight="1">
      <c r="A656" s="274"/>
      <c r="B656" s="212"/>
      <c r="C656" s="202" t="e">
        <f>#REF!</f>
        <v>#REF!</v>
      </c>
      <c r="D656" s="202"/>
      <c r="E656" s="214"/>
      <c r="F656" s="202"/>
      <c r="G656" s="234" t="e">
        <f>Backlog[[#This Row],[OP]]</f>
        <v>#VALUE!</v>
      </c>
      <c r="H656" s="202"/>
      <c r="I656" s="316" t="e">
        <f>IF(Backlog[[#This Row],[Fecha Requerida en Producción]]="","",Backlog[[#This Row],[Fecha Requerida en Producción]])</f>
        <v>#VALUE!</v>
      </c>
      <c r="J656" s="207"/>
      <c r="K656" s="207"/>
      <c r="L656" s="207"/>
      <c r="M656" s="207"/>
      <c r="N656" s="248"/>
      <c r="O656" s="248"/>
      <c r="P656" s="248"/>
      <c r="Q656" s="248"/>
    </row>
    <row r="657" spans="1:17" ht="15.75" hidden="1" customHeight="1">
      <c r="A657" s="274"/>
      <c r="B657" s="212"/>
      <c r="C657" s="202" t="e">
        <f>#REF!</f>
        <v>#REF!</v>
      </c>
      <c r="D657" s="202"/>
      <c r="E657" s="214"/>
      <c r="F657" s="202"/>
      <c r="G657" s="234" t="e">
        <f>Backlog[[#This Row],[OP]]</f>
        <v>#VALUE!</v>
      </c>
      <c r="H657" s="202"/>
      <c r="I657" s="316" t="e">
        <f>IF(Backlog[[#This Row],[Fecha Requerida en Producción]]="","",Backlog[[#This Row],[Fecha Requerida en Producción]])</f>
        <v>#VALUE!</v>
      </c>
      <c r="J657" s="207"/>
      <c r="K657" s="207"/>
      <c r="L657" s="207"/>
      <c r="M657" s="207"/>
      <c r="N657" s="248"/>
      <c r="O657" s="248"/>
      <c r="P657" s="248"/>
      <c r="Q657" s="248"/>
    </row>
    <row r="658" spans="1:17" ht="15.75" hidden="1" customHeight="1">
      <c r="A658" s="274"/>
      <c r="B658" s="212"/>
      <c r="C658" s="202" t="e">
        <f>#REF!</f>
        <v>#REF!</v>
      </c>
      <c r="D658" s="202"/>
      <c r="E658" s="214"/>
      <c r="F658" s="202"/>
      <c r="G658" s="234" t="e">
        <f>Backlog[[#This Row],[OP]]</f>
        <v>#VALUE!</v>
      </c>
      <c r="H658" s="202"/>
      <c r="I658" s="316" t="e">
        <f>IF(Backlog[[#This Row],[Fecha Requerida en Producción]]="","",Backlog[[#This Row],[Fecha Requerida en Producción]])</f>
        <v>#VALUE!</v>
      </c>
      <c r="J658" s="207"/>
      <c r="K658" s="207"/>
      <c r="L658" s="207"/>
      <c r="M658" s="207"/>
      <c r="N658" s="248"/>
      <c r="O658" s="248"/>
      <c r="P658" s="248"/>
      <c r="Q658" s="248"/>
    </row>
    <row r="659" spans="1:17" ht="15.75" hidden="1" customHeight="1">
      <c r="A659" s="274"/>
      <c r="B659" s="212"/>
      <c r="C659" s="202" t="e">
        <f>#REF!</f>
        <v>#REF!</v>
      </c>
      <c r="D659" s="202"/>
      <c r="E659" s="214"/>
      <c r="F659" s="202"/>
      <c r="G659" s="234" t="e">
        <f>Backlog[[#This Row],[OP]]</f>
        <v>#VALUE!</v>
      </c>
      <c r="H659" s="202"/>
      <c r="I659" s="316" t="e">
        <f>IF(Backlog[[#This Row],[Fecha Requerida en Producción]]="","",Backlog[[#This Row],[Fecha Requerida en Producción]])</f>
        <v>#VALUE!</v>
      </c>
      <c r="J659" s="207"/>
      <c r="K659" s="207"/>
      <c r="L659" s="207"/>
      <c r="M659" s="207"/>
      <c r="N659" s="248"/>
      <c r="O659" s="248"/>
      <c r="P659" s="248"/>
      <c r="Q659" s="248"/>
    </row>
    <row r="660" spans="1:17" ht="15.75" hidden="1" customHeight="1">
      <c r="A660" s="274"/>
      <c r="B660" s="212"/>
      <c r="C660" s="202" t="e">
        <f>#REF!</f>
        <v>#REF!</v>
      </c>
      <c r="D660" s="202"/>
      <c r="E660" s="214"/>
      <c r="F660" s="202"/>
      <c r="G660" s="234" t="e">
        <f>Backlog[[#This Row],[OP]]</f>
        <v>#VALUE!</v>
      </c>
      <c r="H660" s="202"/>
      <c r="I660" s="316" t="e">
        <f>IF(Backlog[[#This Row],[Fecha Requerida en Producción]]="","",Backlog[[#This Row],[Fecha Requerida en Producción]])</f>
        <v>#VALUE!</v>
      </c>
      <c r="J660" s="207"/>
      <c r="K660" s="207"/>
      <c r="L660" s="207"/>
      <c r="M660" s="207"/>
      <c r="N660" s="248"/>
      <c r="O660" s="248"/>
      <c r="P660" s="248"/>
      <c r="Q660" s="248"/>
    </row>
    <row r="661" spans="1:17" ht="15.75" hidden="1" customHeight="1">
      <c r="A661" s="274"/>
      <c r="B661" s="212"/>
      <c r="C661" s="202" t="e">
        <f>#REF!</f>
        <v>#REF!</v>
      </c>
      <c r="D661" s="202"/>
      <c r="E661" s="214"/>
      <c r="F661" s="202"/>
      <c r="G661" s="234" t="e">
        <f>Backlog[[#This Row],[OP]]</f>
        <v>#VALUE!</v>
      </c>
      <c r="H661" s="202"/>
      <c r="I661" s="316" t="e">
        <f>IF(Backlog[[#This Row],[Fecha Requerida en Producción]]="","",Backlog[[#This Row],[Fecha Requerida en Producción]])</f>
        <v>#VALUE!</v>
      </c>
      <c r="J661" s="207"/>
      <c r="K661" s="207"/>
      <c r="L661" s="207"/>
      <c r="M661" s="207"/>
      <c r="N661" s="248"/>
      <c r="O661" s="248"/>
      <c r="P661" s="248"/>
      <c r="Q661" s="248"/>
    </row>
    <row r="662" spans="1:17" ht="15.75" hidden="1" customHeight="1">
      <c r="A662" s="274"/>
      <c r="B662" s="212"/>
      <c r="C662" s="202" t="e">
        <f>#REF!</f>
        <v>#REF!</v>
      </c>
      <c r="D662" s="202"/>
      <c r="E662" s="214"/>
      <c r="F662" s="202"/>
      <c r="G662" s="234" t="e">
        <f>Backlog[[#This Row],[OP]]</f>
        <v>#VALUE!</v>
      </c>
      <c r="H662" s="202"/>
      <c r="I662" s="316" t="e">
        <f>IF(Backlog[[#This Row],[Fecha Requerida en Producción]]="","",Backlog[[#This Row],[Fecha Requerida en Producción]])</f>
        <v>#VALUE!</v>
      </c>
      <c r="J662" s="207"/>
      <c r="K662" s="207"/>
      <c r="L662" s="207"/>
      <c r="M662" s="207"/>
      <c r="N662" s="248"/>
      <c r="O662" s="248"/>
      <c r="P662" s="248"/>
      <c r="Q662" s="248"/>
    </row>
    <row r="663" spans="1:17" ht="15.75" hidden="1" customHeight="1">
      <c r="A663" s="274"/>
      <c r="B663" s="212"/>
      <c r="C663" s="202" t="e">
        <f>#REF!</f>
        <v>#REF!</v>
      </c>
      <c r="D663" s="202"/>
      <c r="E663" s="214"/>
      <c r="F663" s="202"/>
      <c r="G663" s="234" t="e">
        <f>Backlog[[#This Row],[OP]]</f>
        <v>#VALUE!</v>
      </c>
      <c r="H663" s="202"/>
      <c r="I663" s="316" t="e">
        <f>IF(Backlog[[#This Row],[Fecha Requerida en Producción]]="","",Backlog[[#This Row],[Fecha Requerida en Producción]])</f>
        <v>#VALUE!</v>
      </c>
      <c r="J663" s="207"/>
      <c r="K663" s="207"/>
      <c r="L663" s="207"/>
      <c r="M663" s="207"/>
      <c r="N663" s="248"/>
      <c r="O663" s="248"/>
      <c r="P663" s="248"/>
      <c r="Q663" s="248"/>
    </row>
    <row r="664" spans="1:17" ht="15.75" hidden="1" customHeight="1">
      <c r="A664" s="274"/>
      <c r="B664" s="212"/>
      <c r="C664" s="202" t="e">
        <f>#REF!</f>
        <v>#REF!</v>
      </c>
      <c r="D664" s="202"/>
      <c r="E664" s="214"/>
      <c r="F664" s="202"/>
      <c r="G664" s="234" t="e">
        <f>Backlog[[#This Row],[OP]]</f>
        <v>#VALUE!</v>
      </c>
      <c r="H664" s="202"/>
      <c r="I664" s="316" t="e">
        <f>IF(Backlog[[#This Row],[Fecha Requerida en Producción]]="","",Backlog[[#This Row],[Fecha Requerida en Producción]])</f>
        <v>#VALUE!</v>
      </c>
      <c r="J664" s="207"/>
      <c r="K664" s="207"/>
      <c r="L664" s="207"/>
      <c r="M664" s="207"/>
      <c r="N664" s="248"/>
      <c r="O664" s="248"/>
      <c r="P664" s="248"/>
      <c r="Q664" s="248"/>
    </row>
    <row r="665" spans="1:17" ht="15.75" hidden="1" customHeight="1">
      <c r="A665" s="274"/>
      <c r="B665" s="212"/>
      <c r="C665" s="202" t="e">
        <f>#REF!</f>
        <v>#REF!</v>
      </c>
      <c r="D665" s="202"/>
      <c r="E665" s="214"/>
      <c r="F665" s="202"/>
      <c r="G665" s="234" t="e">
        <f>Backlog[[#This Row],[OP]]</f>
        <v>#VALUE!</v>
      </c>
      <c r="H665" s="202"/>
      <c r="I665" s="316" t="e">
        <f>IF(Backlog[[#This Row],[Fecha Requerida en Producción]]="","",Backlog[[#This Row],[Fecha Requerida en Producción]])</f>
        <v>#VALUE!</v>
      </c>
      <c r="J665" s="207"/>
      <c r="K665" s="207"/>
      <c r="L665" s="207"/>
      <c r="M665" s="207"/>
      <c r="N665" s="248"/>
      <c r="O665" s="248"/>
      <c r="P665" s="248"/>
      <c r="Q665" s="248"/>
    </row>
    <row r="666" spans="1:17" ht="15.75" hidden="1" customHeight="1">
      <c r="A666" s="274"/>
      <c r="B666" s="212"/>
      <c r="C666" s="202" t="e">
        <f>#REF!</f>
        <v>#REF!</v>
      </c>
      <c r="D666" s="202"/>
      <c r="E666" s="214"/>
      <c r="F666" s="202"/>
      <c r="G666" s="234" t="e">
        <f>Backlog[[#This Row],[OP]]</f>
        <v>#VALUE!</v>
      </c>
      <c r="H666" s="202"/>
      <c r="I666" s="316" t="e">
        <f>IF(Backlog[[#This Row],[Fecha Requerida en Producción]]="","",Backlog[[#This Row],[Fecha Requerida en Producción]])</f>
        <v>#VALUE!</v>
      </c>
      <c r="J666" s="207"/>
      <c r="K666" s="207"/>
      <c r="L666" s="207"/>
      <c r="M666" s="207"/>
      <c r="N666" s="248"/>
      <c r="O666" s="248"/>
      <c r="P666" s="248"/>
      <c r="Q666" s="248"/>
    </row>
    <row r="667" spans="1:17" ht="15.75" hidden="1" customHeight="1">
      <c r="A667" s="274"/>
      <c r="B667" s="212"/>
      <c r="C667" s="202" t="e">
        <f>#REF!</f>
        <v>#REF!</v>
      </c>
      <c r="D667" s="202"/>
      <c r="E667" s="214"/>
      <c r="F667" s="202"/>
      <c r="G667" s="234" t="e">
        <f>Backlog[[#This Row],[OP]]</f>
        <v>#VALUE!</v>
      </c>
      <c r="H667" s="202"/>
      <c r="I667" s="316" t="e">
        <f>IF(Backlog[[#This Row],[Fecha Requerida en Producción]]="","",Backlog[[#This Row],[Fecha Requerida en Producción]])</f>
        <v>#VALUE!</v>
      </c>
      <c r="J667" s="207"/>
      <c r="K667" s="207"/>
      <c r="L667" s="207"/>
      <c r="M667" s="207"/>
      <c r="N667" s="248"/>
      <c r="O667" s="248"/>
      <c r="P667" s="248"/>
      <c r="Q667" s="248"/>
    </row>
    <row r="668" spans="1:17" ht="15.75" hidden="1" customHeight="1">
      <c r="A668" s="274"/>
      <c r="B668" s="212"/>
      <c r="C668" s="202" t="e">
        <f>#REF!</f>
        <v>#REF!</v>
      </c>
      <c r="D668" s="202"/>
      <c r="E668" s="214"/>
      <c r="F668" s="202"/>
      <c r="G668" s="234" t="e">
        <f>Backlog[[#This Row],[OP]]</f>
        <v>#VALUE!</v>
      </c>
      <c r="H668" s="202"/>
      <c r="I668" s="316" t="e">
        <f>IF(Backlog[[#This Row],[Fecha Requerida en Producción]]="","",Backlog[[#This Row],[Fecha Requerida en Producción]])</f>
        <v>#VALUE!</v>
      </c>
      <c r="J668" s="207"/>
      <c r="K668" s="207"/>
      <c r="L668" s="207"/>
      <c r="M668" s="207"/>
      <c r="N668" s="248"/>
      <c r="O668" s="248"/>
      <c r="P668" s="248"/>
      <c r="Q668" s="248"/>
    </row>
    <row r="669" spans="1:17" ht="15.75" hidden="1" customHeight="1">
      <c r="A669" s="274"/>
      <c r="B669" s="212"/>
      <c r="C669" s="202" t="e">
        <f>#REF!</f>
        <v>#REF!</v>
      </c>
      <c r="D669" s="202"/>
      <c r="E669" s="214"/>
      <c r="F669" s="202"/>
      <c r="G669" s="234" t="e">
        <f>Backlog[[#This Row],[OP]]</f>
        <v>#VALUE!</v>
      </c>
      <c r="H669" s="202"/>
      <c r="I669" s="316" t="e">
        <f>IF(Backlog[[#This Row],[Fecha Requerida en Producción]]="","",Backlog[[#This Row],[Fecha Requerida en Producción]])</f>
        <v>#VALUE!</v>
      </c>
      <c r="J669" s="207"/>
      <c r="K669" s="207"/>
      <c r="L669" s="207"/>
      <c r="M669" s="207"/>
      <c r="N669" s="248"/>
      <c r="O669" s="248"/>
      <c r="P669" s="248"/>
      <c r="Q669" s="248"/>
    </row>
    <row r="670" spans="1:17" ht="15.75" hidden="1" customHeight="1">
      <c r="A670" s="274"/>
      <c r="B670" s="212"/>
      <c r="C670" s="202" t="e">
        <f>#REF!</f>
        <v>#REF!</v>
      </c>
      <c r="D670" s="202"/>
      <c r="E670" s="214"/>
      <c r="F670" s="202"/>
      <c r="G670" s="234" t="e">
        <f>Backlog[[#This Row],[OP]]</f>
        <v>#VALUE!</v>
      </c>
      <c r="H670" s="202"/>
      <c r="I670" s="316" t="e">
        <f>IF(Backlog[[#This Row],[Fecha Requerida en Producción]]="","",Backlog[[#This Row],[Fecha Requerida en Producción]])</f>
        <v>#VALUE!</v>
      </c>
      <c r="J670" s="207"/>
      <c r="K670" s="207"/>
      <c r="L670" s="207"/>
      <c r="M670" s="207"/>
      <c r="N670" s="248"/>
      <c r="O670" s="248"/>
      <c r="P670" s="248"/>
      <c r="Q670" s="248"/>
    </row>
    <row r="671" spans="1:17" ht="15.75" hidden="1" customHeight="1">
      <c r="A671" s="274"/>
      <c r="B671" s="212"/>
      <c r="C671" s="202" t="e">
        <f>#REF!</f>
        <v>#REF!</v>
      </c>
      <c r="D671" s="202"/>
      <c r="E671" s="214"/>
      <c r="F671" s="202"/>
      <c r="G671" s="234" t="e">
        <f>Backlog[[#This Row],[OP]]</f>
        <v>#VALUE!</v>
      </c>
      <c r="H671" s="202"/>
      <c r="I671" s="316" t="e">
        <f>IF(Backlog[[#This Row],[Fecha Requerida en Producción]]="","",Backlog[[#This Row],[Fecha Requerida en Producción]])</f>
        <v>#VALUE!</v>
      </c>
      <c r="J671" s="207"/>
      <c r="K671" s="207"/>
      <c r="L671" s="207"/>
      <c r="M671" s="207"/>
      <c r="N671" s="248"/>
      <c r="O671" s="248"/>
      <c r="P671" s="248"/>
      <c r="Q671" s="248"/>
    </row>
    <row r="672" spans="1:17" ht="15.75" hidden="1" customHeight="1">
      <c r="A672" s="274"/>
      <c r="B672" s="212"/>
      <c r="C672" s="202" t="e">
        <f>#REF!</f>
        <v>#REF!</v>
      </c>
      <c r="D672" s="202"/>
      <c r="E672" s="214"/>
      <c r="F672" s="202"/>
      <c r="G672" s="234" t="e">
        <f>Backlog[[#This Row],[OP]]</f>
        <v>#VALUE!</v>
      </c>
      <c r="H672" s="202"/>
      <c r="I672" s="316" t="e">
        <f>IF(Backlog[[#This Row],[Fecha Requerida en Producción]]="","",Backlog[[#This Row],[Fecha Requerida en Producción]])</f>
        <v>#VALUE!</v>
      </c>
      <c r="J672" s="207"/>
      <c r="K672" s="207"/>
      <c r="L672" s="207"/>
      <c r="M672" s="207"/>
      <c r="N672" s="248"/>
      <c r="O672" s="248"/>
      <c r="P672" s="248"/>
      <c r="Q672" s="248"/>
    </row>
    <row r="673" spans="1:17" ht="15.75" hidden="1" customHeight="1">
      <c r="A673" s="274"/>
      <c r="B673" s="212"/>
      <c r="C673" s="202" t="e">
        <f>#REF!</f>
        <v>#REF!</v>
      </c>
      <c r="D673" s="202"/>
      <c r="E673" s="214"/>
      <c r="F673" s="202"/>
      <c r="G673" s="234" t="e">
        <f>Backlog[[#This Row],[OP]]</f>
        <v>#VALUE!</v>
      </c>
      <c r="H673" s="202"/>
      <c r="I673" s="316" t="e">
        <f>IF(Backlog[[#This Row],[Fecha Requerida en Producción]]="","",Backlog[[#This Row],[Fecha Requerida en Producción]])</f>
        <v>#VALUE!</v>
      </c>
      <c r="J673" s="207"/>
      <c r="K673" s="207"/>
      <c r="L673" s="207"/>
      <c r="M673" s="207"/>
      <c r="N673" s="248"/>
      <c r="O673" s="248"/>
      <c r="P673" s="248"/>
      <c r="Q673" s="248"/>
    </row>
    <row r="674" spans="1:17" ht="15.75" hidden="1" customHeight="1">
      <c r="A674" s="274"/>
      <c r="B674" s="212"/>
      <c r="C674" s="202" t="e">
        <f>#REF!</f>
        <v>#REF!</v>
      </c>
      <c r="D674" s="202"/>
      <c r="E674" s="214"/>
      <c r="F674" s="202"/>
      <c r="G674" s="234" t="e">
        <f>Backlog[[#This Row],[OP]]</f>
        <v>#VALUE!</v>
      </c>
      <c r="H674" s="202"/>
      <c r="I674" s="316" t="e">
        <f>IF(Backlog[[#This Row],[Fecha Requerida en Producción]]="","",Backlog[[#This Row],[Fecha Requerida en Producción]])</f>
        <v>#VALUE!</v>
      </c>
      <c r="J674" s="207"/>
      <c r="K674" s="207"/>
      <c r="L674" s="207"/>
      <c r="M674" s="207"/>
      <c r="N674" s="248"/>
      <c r="O674" s="248"/>
      <c r="P674" s="248"/>
      <c r="Q674" s="248"/>
    </row>
    <row r="675" spans="1:17" ht="15.75" hidden="1" customHeight="1">
      <c r="A675" s="274"/>
      <c r="B675" s="212"/>
      <c r="C675" s="202" t="e">
        <f>#REF!</f>
        <v>#REF!</v>
      </c>
      <c r="D675" s="202"/>
      <c r="E675" s="214"/>
      <c r="F675" s="202"/>
      <c r="G675" s="234" t="e">
        <f>Backlog[[#This Row],[OP]]</f>
        <v>#VALUE!</v>
      </c>
      <c r="H675" s="202"/>
      <c r="I675" s="316" t="e">
        <f>IF(Backlog[[#This Row],[Fecha Requerida en Producción]]="","",Backlog[[#This Row],[Fecha Requerida en Producción]])</f>
        <v>#VALUE!</v>
      </c>
      <c r="J675" s="207"/>
      <c r="K675" s="207"/>
      <c r="L675" s="207"/>
      <c r="M675" s="207"/>
      <c r="N675" s="248"/>
      <c r="O675" s="248"/>
      <c r="P675" s="248"/>
      <c r="Q675" s="248"/>
    </row>
    <row r="676" spans="1:17" ht="15.75" hidden="1" customHeight="1">
      <c r="A676" s="274"/>
      <c r="B676" s="212"/>
      <c r="C676" s="202" t="e">
        <f>#REF!</f>
        <v>#REF!</v>
      </c>
      <c r="D676" s="202"/>
      <c r="E676" s="214"/>
      <c r="F676" s="202"/>
      <c r="G676" s="234" t="e">
        <f>Backlog[[#This Row],[OP]]</f>
        <v>#VALUE!</v>
      </c>
      <c r="H676" s="202"/>
      <c r="I676" s="316" t="e">
        <f>IF(Backlog[[#This Row],[Fecha Requerida en Producción]]="","",Backlog[[#This Row],[Fecha Requerida en Producción]])</f>
        <v>#VALUE!</v>
      </c>
      <c r="J676" s="207"/>
      <c r="K676" s="207"/>
      <c r="L676" s="207"/>
      <c r="M676" s="207"/>
      <c r="N676" s="248"/>
      <c r="O676" s="248"/>
      <c r="P676" s="248"/>
      <c r="Q676" s="248"/>
    </row>
    <row r="677" spans="1:17" ht="15.75" hidden="1" customHeight="1">
      <c r="A677" s="274"/>
      <c r="B677" s="212"/>
      <c r="C677" s="202" t="e">
        <f>#REF!</f>
        <v>#REF!</v>
      </c>
      <c r="D677" s="202"/>
      <c r="E677" s="214"/>
      <c r="F677" s="202"/>
      <c r="G677" s="234" t="e">
        <f>Backlog[[#This Row],[OP]]</f>
        <v>#VALUE!</v>
      </c>
      <c r="H677" s="202"/>
      <c r="I677" s="316" t="e">
        <f>IF(Backlog[[#This Row],[Fecha Requerida en Producción]]="","",Backlog[[#This Row],[Fecha Requerida en Producción]])</f>
        <v>#VALUE!</v>
      </c>
      <c r="J677" s="207"/>
      <c r="K677" s="207"/>
      <c r="L677" s="207"/>
      <c r="M677" s="207"/>
      <c r="N677" s="248"/>
      <c r="O677" s="248"/>
      <c r="P677" s="248"/>
      <c r="Q677" s="248"/>
    </row>
    <row r="678" spans="1:17" ht="15.75" hidden="1" customHeight="1">
      <c r="A678" s="274"/>
      <c r="B678" s="212"/>
      <c r="C678" s="202" t="e">
        <f>#REF!</f>
        <v>#REF!</v>
      </c>
      <c r="D678" s="202"/>
      <c r="E678" s="214"/>
      <c r="F678" s="202"/>
      <c r="G678" s="234" t="e">
        <f>Backlog[[#This Row],[OP]]</f>
        <v>#VALUE!</v>
      </c>
      <c r="H678" s="202"/>
      <c r="I678" s="316" t="e">
        <f>IF(Backlog[[#This Row],[Fecha Requerida en Producción]]="","",Backlog[[#This Row],[Fecha Requerida en Producción]])</f>
        <v>#VALUE!</v>
      </c>
      <c r="J678" s="207"/>
      <c r="K678" s="207"/>
      <c r="L678" s="207"/>
      <c r="M678" s="207"/>
      <c r="N678" s="248"/>
      <c r="O678" s="248"/>
      <c r="P678" s="248"/>
      <c r="Q678" s="248"/>
    </row>
    <row r="679" spans="1:17" ht="15.75" hidden="1" customHeight="1">
      <c r="A679" s="274"/>
      <c r="B679" s="212"/>
      <c r="C679" s="202" t="e">
        <f>#REF!</f>
        <v>#REF!</v>
      </c>
      <c r="D679" s="202"/>
      <c r="E679" s="214"/>
      <c r="F679" s="202"/>
      <c r="G679" s="234" t="e">
        <f>Backlog[[#This Row],[OP]]</f>
        <v>#VALUE!</v>
      </c>
      <c r="H679" s="202"/>
      <c r="I679" s="316" t="e">
        <f>IF(Backlog[[#This Row],[Fecha Requerida en Producción]]="","",Backlog[[#This Row],[Fecha Requerida en Producción]])</f>
        <v>#VALUE!</v>
      </c>
      <c r="J679" s="207"/>
      <c r="K679" s="207"/>
      <c r="L679" s="207"/>
      <c r="M679" s="207"/>
      <c r="N679" s="248"/>
      <c r="O679" s="248"/>
      <c r="P679" s="248"/>
      <c r="Q679" s="248"/>
    </row>
    <row r="680" spans="1:17" ht="15.75" hidden="1" customHeight="1">
      <c r="A680" s="274"/>
      <c r="B680" s="212"/>
      <c r="C680" s="202" t="e">
        <f>#REF!</f>
        <v>#REF!</v>
      </c>
      <c r="D680" s="202"/>
      <c r="E680" s="214"/>
      <c r="F680" s="202"/>
      <c r="G680" s="234" t="e">
        <f>Backlog[[#This Row],[OP]]</f>
        <v>#VALUE!</v>
      </c>
      <c r="H680" s="202"/>
      <c r="I680" s="316" t="e">
        <f>IF(Backlog[[#This Row],[Fecha Requerida en Producción]]="","",Backlog[[#This Row],[Fecha Requerida en Producción]])</f>
        <v>#VALUE!</v>
      </c>
      <c r="J680" s="207"/>
      <c r="K680" s="207"/>
      <c r="L680" s="207"/>
      <c r="M680" s="207"/>
      <c r="N680" s="248"/>
      <c r="O680" s="248"/>
      <c r="P680" s="248"/>
      <c r="Q680" s="248"/>
    </row>
    <row r="681" spans="1:17" ht="15.75" hidden="1" customHeight="1">
      <c r="A681" s="274"/>
      <c r="B681" s="212"/>
      <c r="C681" s="202" t="e">
        <f>#REF!</f>
        <v>#REF!</v>
      </c>
      <c r="D681" s="202"/>
      <c r="E681" s="214"/>
      <c r="F681" s="202"/>
      <c r="G681" s="234" t="e">
        <f>Backlog[[#This Row],[OP]]</f>
        <v>#VALUE!</v>
      </c>
      <c r="H681" s="202"/>
      <c r="I681" s="316" t="e">
        <f>IF(Backlog[[#This Row],[Fecha Requerida en Producción]]="","",Backlog[[#This Row],[Fecha Requerida en Producción]])</f>
        <v>#VALUE!</v>
      </c>
      <c r="J681" s="207"/>
      <c r="K681" s="207"/>
      <c r="L681" s="207"/>
      <c r="M681" s="207"/>
      <c r="N681" s="248"/>
      <c r="O681" s="248"/>
      <c r="P681" s="248"/>
      <c r="Q681" s="248"/>
    </row>
    <row r="682" spans="1:17" ht="15.75" hidden="1" customHeight="1">
      <c r="A682" s="274"/>
      <c r="B682" s="212"/>
      <c r="C682" s="202" t="e">
        <f>#REF!</f>
        <v>#REF!</v>
      </c>
      <c r="D682" s="202"/>
      <c r="E682" s="214"/>
      <c r="F682" s="202"/>
      <c r="G682" s="234" t="e">
        <f>Backlog[[#This Row],[OP]]</f>
        <v>#VALUE!</v>
      </c>
      <c r="H682" s="202"/>
      <c r="I682" s="316" t="e">
        <f>IF(Backlog[[#This Row],[Fecha Requerida en Producción]]="","",Backlog[[#This Row],[Fecha Requerida en Producción]])</f>
        <v>#VALUE!</v>
      </c>
      <c r="J682" s="207"/>
      <c r="K682" s="207"/>
      <c r="L682" s="207"/>
      <c r="M682" s="207"/>
      <c r="N682" s="248"/>
      <c r="O682" s="248"/>
      <c r="P682" s="248"/>
      <c r="Q682" s="248"/>
    </row>
    <row r="683" spans="1:17" ht="15.75" hidden="1" customHeight="1">
      <c r="A683" s="274"/>
      <c r="B683" s="212"/>
      <c r="C683" s="202" t="e">
        <f>#REF!</f>
        <v>#REF!</v>
      </c>
      <c r="D683" s="202"/>
      <c r="E683" s="214"/>
      <c r="F683" s="202"/>
      <c r="G683" s="234" t="e">
        <f>Backlog[[#This Row],[OP]]</f>
        <v>#VALUE!</v>
      </c>
      <c r="H683" s="202"/>
      <c r="I683" s="316" t="e">
        <f>IF(Backlog[[#This Row],[Fecha Requerida en Producción]]="","",Backlog[[#This Row],[Fecha Requerida en Producción]])</f>
        <v>#VALUE!</v>
      </c>
      <c r="J683" s="207"/>
      <c r="K683" s="207"/>
      <c r="L683" s="207"/>
      <c r="M683" s="207"/>
      <c r="N683" s="248"/>
      <c r="O683" s="248"/>
      <c r="P683" s="248"/>
      <c r="Q683" s="248"/>
    </row>
    <row r="684" spans="1:17" ht="15.75" hidden="1" customHeight="1">
      <c r="A684" s="274"/>
      <c r="B684" s="212"/>
      <c r="C684" s="202" t="e">
        <f>#REF!</f>
        <v>#REF!</v>
      </c>
      <c r="D684" s="202"/>
      <c r="E684" s="214"/>
      <c r="F684" s="202"/>
      <c r="G684" s="234" t="e">
        <f>Backlog[[#This Row],[OP]]</f>
        <v>#VALUE!</v>
      </c>
      <c r="H684" s="202"/>
      <c r="I684" s="316" t="e">
        <f>IF(Backlog[[#This Row],[Fecha Requerida en Producción]]="","",Backlog[[#This Row],[Fecha Requerida en Producción]])</f>
        <v>#VALUE!</v>
      </c>
      <c r="J684" s="207"/>
      <c r="K684" s="207"/>
      <c r="L684" s="207"/>
      <c r="M684" s="207"/>
      <c r="N684" s="248"/>
      <c r="O684" s="248"/>
      <c r="P684" s="248"/>
      <c r="Q684" s="248"/>
    </row>
    <row r="685" spans="1:17" ht="15.75" hidden="1" customHeight="1">
      <c r="A685" s="274"/>
      <c r="B685" s="212"/>
      <c r="C685" s="202" t="e">
        <f>#REF!</f>
        <v>#REF!</v>
      </c>
      <c r="D685" s="202"/>
      <c r="E685" s="214"/>
      <c r="F685" s="202"/>
      <c r="G685" s="234" t="e">
        <f>Backlog[[#This Row],[OP]]</f>
        <v>#VALUE!</v>
      </c>
      <c r="H685" s="202"/>
      <c r="I685" s="316" t="e">
        <f>IF(Backlog[[#This Row],[Fecha Requerida en Producción]]="","",Backlog[[#This Row],[Fecha Requerida en Producción]])</f>
        <v>#VALUE!</v>
      </c>
      <c r="J685" s="207"/>
      <c r="K685" s="207"/>
      <c r="L685" s="207"/>
      <c r="M685" s="207"/>
      <c r="N685" s="248"/>
      <c r="O685" s="248"/>
      <c r="P685" s="248"/>
      <c r="Q685" s="248"/>
    </row>
    <row r="686" spans="1:17" ht="15.75" hidden="1" customHeight="1">
      <c r="A686" s="274"/>
      <c r="B686" s="212"/>
      <c r="C686" s="202" t="e">
        <f>#REF!</f>
        <v>#REF!</v>
      </c>
      <c r="D686" s="202"/>
      <c r="E686" s="214"/>
      <c r="F686" s="202"/>
      <c r="G686" s="234" t="e">
        <f>Backlog[[#This Row],[OP]]</f>
        <v>#VALUE!</v>
      </c>
      <c r="H686" s="202"/>
      <c r="I686" s="316" t="e">
        <f>IF(Backlog[[#This Row],[Fecha Requerida en Producción]]="","",Backlog[[#This Row],[Fecha Requerida en Producción]])</f>
        <v>#VALUE!</v>
      </c>
      <c r="J686" s="207"/>
      <c r="K686" s="207"/>
      <c r="L686" s="207"/>
      <c r="M686" s="207"/>
      <c r="N686" s="248"/>
      <c r="O686" s="248"/>
      <c r="P686" s="248"/>
      <c r="Q686" s="248"/>
    </row>
    <row r="687" spans="1:17" ht="15.75" hidden="1" customHeight="1">
      <c r="A687" s="274"/>
      <c r="B687" s="212"/>
      <c r="C687" s="202" t="e">
        <f>#REF!</f>
        <v>#REF!</v>
      </c>
      <c r="D687" s="202"/>
      <c r="E687" s="214"/>
      <c r="F687" s="202"/>
      <c r="G687" s="234" t="e">
        <f>Backlog[[#This Row],[OP]]</f>
        <v>#VALUE!</v>
      </c>
      <c r="H687" s="202"/>
      <c r="I687" s="316" t="e">
        <f>IF(Backlog[[#This Row],[Fecha Requerida en Producción]]="","",Backlog[[#This Row],[Fecha Requerida en Producción]])</f>
        <v>#VALUE!</v>
      </c>
      <c r="J687" s="207"/>
      <c r="K687" s="207"/>
      <c r="L687" s="207"/>
      <c r="M687" s="207"/>
      <c r="N687" s="248"/>
      <c r="O687" s="248"/>
      <c r="P687" s="248"/>
      <c r="Q687" s="248"/>
    </row>
    <row r="688" spans="1:17" ht="15.75" hidden="1" customHeight="1">
      <c r="A688" s="274"/>
      <c r="B688" s="212"/>
      <c r="C688" s="202" t="e">
        <f>#REF!</f>
        <v>#REF!</v>
      </c>
      <c r="D688" s="202"/>
      <c r="E688" s="214"/>
      <c r="F688" s="202"/>
      <c r="G688" s="234" t="e">
        <f>Backlog[[#This Row],[OP]]</f>
        <v>#VALUE!</v>
      </c>
      <c r="H688" s="202"/>
      <c r="I688" s="316" t="e">
        <f>IF(Backlog[[#This Row],[Fecha Requerida en Producción]]="","",Backlog[[#This Row],[Fecha Requerida en Producción]])</f>
        <v>#VALUE!</v>
      </c>
      <c r="J688" s="207"/>
      <c r="K688" s="207"/>
      <c r="L688" s="207"/>
      <c r="M688" s="207"/>
      <c r="N688" s="248"/>
      <c r="O688" s="248"/>
      <c r="P688" s="248"/>
      <c r="Q688" s="248"/>
    </row>
    <row r="689" spans="1:17" ht="15.75" hidden="1" customHeight="1">
      <c r="A689" s="274"/>
      <c r="B689" s="212"/>
      <c r="C689" s="202" t="e">
        <f>#REF!</f>
        <v>#REF!</v>
      </c>
      <c r="D689" s="202"/>
      <c r="E689" s="214"/>
      <c r="F689" s="202"/>
      <c r="G689" s="234" t="e">
        <f>Backlog[[#This Row],[OP]]</f>
        <v>#VALUE!</v>
      </c>
      <c r="H689" s="202"/>
      <c r="I689" s="316" t="e">
        <f>IF(Backlog[[#This Row],[Fecha Requerida en Producción]]="","",Backlog[[#This Row],[Fecha Requerida en Producción]])</f>
        <v>#VALUE!</v>
      </c>
      <c r="J689" s="207"/>
      <c r="K689" s="207"/>
      <c r="L689" s="207"/>
      <c r="M689" s="207"/>
      <c r="N689" s="248"/>
      <c r="O689" s="248"/>
      <c r="P689" s="248"/>
      <c r="Q689" s="248"/>
    </row>
    <row r="690" spans="1:17" ht="15.75" hidden="1" customHeight="1">
      <c r="A690" s="274"/>
      <c r="B690" s="212"/>
      <c r="C690" s="202" t="e">
        <f>#REF!</f>
        <v>#REF!</v>
      </c>
      <c r="D690" s="202"/>
      <c r="E690" s="214"/>
      <c r="F690" s="202"/>
      <c r="G690" s="234" t="e">
        <f>Backlog[[#This Row],[OP]]</f>
        <v>#VALUE!</v>
      </c>
      <c r="H690" s="202"/>
      <c r="I690" s="316" t="e">
        <f>IF(Backlog[[#This Row],[Fecha Requerida en Producción]]="","",Backlog[[#This Row],[Fecha Requerida en Producción]])</f>
        <v>#VALUE!</v>
      </c>
      <c r="J690" s="207"/>
      <c r="K690" s="207"/>
      <c r="L690" s="207"/>
      <c r="M690" s="207"/>
      <c r="N690" s="248"/>
      <c r="O690" s="248"/>
      <c r="P690" s="248"/>
      <c r="Q690" s="248"/>
    </row>
    <row r="691" spans="1:17" ht="15.75" hidden="1" customHeight="1">
      <c r="A691" s="274"/>
      <c r="B691" s="212"/>
      <c r="C691" s="202" t="e">
        <f>#REF!</f>
        <v>#REF!</v>
      </c>
      <c r="D691" s="202"/>
      <c r="E691" s="214"/>
      <c r="F691" s="202"/>
      <c r="G691" s="234" t="e">
        <f>Backlog[[#This Row],[OP]]</f>
        <v>#VALUE!</v>
      </c>
      <c r="H691" s="202"/>
      <c r="I691" s="316" t="e">
        <f>IF(Backlog[[#This Row],[Fecha Requerida en Producción]]="","",Backlog[[#This Row],[Fecha Requerida en Producción]])</f>
        <v>#VALUE!</v>
      </c>
      <c r="J691" s="207"/>
      <c r="K691" s="207"/>
      <c r="L691" s="207"/>
      <c r="M691" s="207"/>
      <c r="N691" s="248"/>
      <c r="O691" s="248"/>
      <c r="P691" s="248"/>
      <c r="Q691" s="248"/>
    </row>
    <row r="692" spans="1:17" ht="15.75" hidden="1" customHeight="1">
      <c r="A692" s="274"/>
      <c r="B692" s="212"/>
      <c r="C692" s="202" t="e">
        <f>#REF!</f>
        <v>#REF!</v>
      </c>
      <c r="D692" s="202"/>
      <c r="E692" s="214"/>
      <c r="F692" s="202"/>
      <c r="G692" s="234" t="e">
        <f>Backlog[[#This Row],[OP]]</f>
        <v>#VALUE!</v>
      </c>
      <c r="H692" s="202"/>
      <c r="I692" s="316" t="e">
        <f>IF(Backlog[[#This Row],[Fecha Requerida en Producción]]="","",Backlog[[#This Row],[Fecha Requerida en Producción]])</f>
        <v>#VALUE!</v>
      </c>
      <c r="J692" s="207"/>
      <c r="K692" s="207"/>
      <c r="L692" s="207"/>
      <c r="M692" s="207"/>
      <c r="N692" s="248"/>
      <c r="O692" s="248"/>
      <c r="P692" s="248"/>
      <c r="Q692" s="248"/>
    </row>
    <row r="693" spans="1:17" ht="15.75" hidden="1" customHeight="1">
      <c r="A693" s="274"/>
      <c r="B693" s="212"/>
      <c r="C693" s="202" t="e">
        <f>#REF!</f>
        <v>#REF!</v>
      </c>
      <c r="D693" s="202"/>
      <c r="E693" s="214"/>
      <c r="F693" s="202"/>
      <c r="G693" s="234" t="e">
        <f>Backlog[[#This Row],[OP]]</f>
        <v>#VALUE!</v>
      </c>
      <c r="H693" s="202"/>
      <c r="I693" s="316" t="e">
        <f>IF(Backlog[[#This Row],[Fecha Requerida en Producción]]="","",Backlog[[#This Row],[Fecha Requerida en Producción]])</f>
        <v>#VALUE!</v>
      </c>
      <c r="J693" s="207"/>
      <c r="K693" s="207"/>
      <c r="L693" s="207"/>
      <c r="M693" s="207"/>
      <c r="N693" s="248"/>
      <c r="O693" s="248"/>
      <c r="P693" s="248"/>
      <c r="Q693" s="248"/>
    </row>
    <row r="694" spans="1:17" ht="15.75" hidden="1" customHeight="1">
      <c r="A694" s="274"/>
      <c r="B694" s="212"/>
      <c r="C694" s="202" t="e">
        <f>#REF!</f>
        <v>#REF!</v>
      </c>
      <c r="D694" s="202"/>
      <c r="E694" s="214"/>
      <c r="F694" s="202"/>
      <c r="G694" s="234" t="e">
        <f>Backlog[[#This Row],[OP]]</f>
        <v>#VALUE!</v>
      </c>
      <c r="H694" s="202"/>
      <c r="I694" s="316" t="e">
        <f>IF(Backlog[[#This Row],[Fecha Requerida en Producción]]="","",Backlog[[#This Row],[Fecha Requerida en Producción]])</f>
        <v>#VALUE!</v>
      </c>
      <c r="J694" s="207"/>
      <c r="K694" s="207"/>
      <c r="L694" s="207"/>
      <c r="M694" s="207"/>
      <c r="N694" s="248"/>
      <c r="O694" s="248"/>
      <c r="P694" s="248"/>
      <c r="Q694" s="248"/>
    </row>
    <row r="695" spans="1:17" ht="15.75" hidden="1" customHeight="1">
      <c r="A695" s="274"/>
      <c r="B695" s="212"/>
      <c r="C695" s="202" t="e">
        <f>#REF!</f>
        <v>#REF!</v>
      </c>
      <c r="D695" s="202"/>
      <c r="E695" s="214"/>
      <c r="F695" s="202"/>
      <c r="G695" s="234" t="e">
        <f>Backlog[[#This Row],[OP]]</f>
        <v>#VALUE!</v>
      </c>
      <c r="H695" s="202"/>
      <c r="I695" s="316" t="e">
        <f>IF(Backlog[[#This Row],[Fecha Requerida en Producción]]="","",Backlog[[#This Row],[Fecha Requerida en Producción]])</f>
        <v>#VALUE!</v>
      </c>
      <c r="J695" s="207"/>
      <c r="K695" s="207"/>
      <c r="L695" s="207"/>
      <c r="M695" s="207"/>
      <c r="N695" s="248"/>
      <c r="O695" s="248"/>
      <c r="P695" s="248"/>
      <c r="Q695" s="248"/>
    </row>
    <row r="696" spans="1:17" ht="15.75" hidden="1" customHeight="1">
      <c r="A696" s="274"/>
      <c r="B696" s="212"/>
      <c r="C696" s="202" t="e">
        <f>#REF!</f>
        <v>#REF!</v>
      </c>
      <c r="D696" s="202"/>
      <c r="E696" s="214"/>
      <c r="F696" s="202"/>
      <c r="G696" s="234" t="e">
        <f>Backlog[[#This Row],[OP]]</f>
        <v>#VALUE!</v>
      </c>
      <c r="H696" s="202"/>
      <c r="I696" s="316" t="e">
        <f>IF(Backlog[[#This Row],[Fecha Requerida en Producción]]="","",Backlog[[#This Row],[Fecha Requerida en Producción]])</f>
        <v>#VALUE!</v>
      </c>
      <c r="J696" s="207"/>
      <c r="K696" s="207"/>
      <c r="L696" s="207"/>
      <c r="M696" s="207"/>
      <c r="N696" s="248"/>
      <c r="O696" s="248"/>
      <c r="P696" s="248"/>
      <c r="Q696" s="248"/>
    </row>
    <row r="697" spans="1:17" ht="15.75" hidden="1" customHeight="1">
      <c r="A697" s="274"/>
      <c r="B697" s="212"/>
      <c r="C697" s="202" t="e">
        <f>#REF!</f>
        <v>#REF!</v>
      </c>
      <c r="D697" s="202"/>
      <c r="E697" s="214"/>
      <c r="F697" s="202"/>
      <c r="G697" s="234" t="e">
        <f>Backlog[[#This Row],[OP]]</f>
        <v>#VALUE!</v>
      </c>
      <c r="H697" s="202"/>
      <c r="I697" s="316" t="e">
        <f>IF(Backlog[[#This Row],[Fecha Requerida en Producción]]="","",Backlog[[#This Row],[Fecha Requerida en Producción]])</f>
        <v>#VALUE!</v>
      </c>
      <c r="J697" s="207"/>
      <c r="K697" s="207"/>
      <c r="L697" s="207"/>
      <c r="M697" s="207"/>
      <c r="N697" s="248"/>
      <c r="O697" s="248"/>
      <c r="P697" s="248"/>
      <c r="Q697" s="248"/>
    </row>
    <row r="698" spans="1:17" ht="15.75" hidden="1" customHeight="1">
      <c r="A698" s="274"/>
      <c r="B698" s="212"/>
      <c r="C698" s="202" t="e">
        <f>#REF!</f>
        <v>#REF!</v>
      </c>
      <c r="D698" s="202"/>
      <c r="E698" s="214"/>
      <c r="F698" s="202"/>
      <c r="G698" s="234" t="e">
        <f>Backlog[[#This Row],[OP]]</f>
        <v>#VALUE!</v>
      </c>
      <c r="H698" s="202"/>
      <c r="I698" s="316" t="e">
        <f>IF(Backlog[[#This Row],[Fecha Requerida en Producción]]="","",Backlog[[#This Row],[Fecha Requerida en Producción]])</f>
        <v>#VALUE!</v>
      </c>
      <c r="J698" s="207"/>
      <c r="K698" s="207"/>
      <c r="L698" s="207"/>
      <c r="M698" s="207"/>
      <c r="N698" s="248"/>
      <c r="O698" s="248"/>
      <c r="P698" s="248"/>
      <c r="Q698" s="248"/>
    </row>
    <row r="699" spans="1:17" ht="15.75" hidden="1" customHeight="1">
      <c r="A699" s="274"/>
      <c r="B699" s="212"/>
      <c r="C699" s="202" t="e">
        <f>#REF!</f>
        <v>#REF!</v>
      </c>
      <c r="D699" s="202"/>
      <c r="E699" s="214"/>
      <c r="F699" s="202"/>
      <c r="G699" s="234" t="e">
        <f>Backlog[[#This Row],[OP]]</f>
        <v>#VALUE!</v>
      </c>
      <c r="H699" s="202"/>
      <c r="I699" s="316" t="e">
        <f>IF(Backlog[[#This Row],[Fecha Requerida en Producción]]="","",Backlog[[#This Row],[Fecha Requerida en Producción]])</f>
        <v>#VALUE!</v>
      </c>
      <c r="J699" s="207"/>
      <c r="K699" s="207"/>
      <c r="L699" s="207"/>
      <c r="M699" s="207"/>
      <c r="N699" s="248"/>
      <c r="O699" s="248"/>
      <c r="P699" s="248"/>
      <c r="Q699" s="248"/>
    </row>
    <row r="700" spans="1:17" ht="15.75" hidden="1" customHeight="1">
      <c r="A700" s="274"/>
      <c r="B700" s="212"/>
      <c r="C700" s="202" t="e">
        <f>#REF!</f>
        <v>#REF!</v>
      </c>
      <c r="D700" s="202"/>
      <c r="E700" s="214"/>
      <c r="F700" s="202"/>
      <c r="G700" s="234" t="e">
        <f>Backlog[[#This Row],[OP]]</f>
        <v>#VALUE!</v>
      </c>
      <c r="H700" s="202"/>
      <c r="I700" s="316" t="e">
        <f>IF(Backlog[[#This Row],[Fecha Requerida en Producción]]="","",Backlog[[#This Row],[Fecha Requerida en Producción]])</f>
        <v>#VALUE!</v>
      </c>
      <c r="J700" s="207"/>
      <c r="K700" s="207"/>
      <c r="L700" s="207"/>
      <c r="M700" s="207"/>
      <c r="N700" s="248"/>
      <c r="O700" s="248"/>
      <c r="P700" s="248"/>
      <c r="Q700" s="248"/>
    </row>
    <row r="701" spans="1:17" ht="15.75" hidden="1" customHeight="1">
      <c r="A701" s="274"/>
      <c r="B701" s="212"/>
      <c r="C701" s="202" t="e">
        <f>#REF!</f>
        <v>#REF!</v>
      </c>
      <c r="D701" s="202"/>
      <c r="E701" s="214"/>
      <c r="F701" s="202"/>
      <c r="G701" s="234" t="e">
        <f>Backlog[[#This Row],[OP]]</f>
        <v>#VALUE!</v>
      </c>
      <c r="H701" s="202"/>
      <c r="I701" s="316" t="e">
        <f>IF(Backlog[[#This Row],[Fecha Requerida en Producción]]="","",Backlog[[#This Row],[Fecha Requerida en Producción]])</f>
        <v>#VALUE!</v>
      </c>
      <c r="J701" s="207"/>
      <c r="K701" s="207"/>
      <c r="L701" s="207"/>
      <c r="M701" s="207"/>
      <c r="N701" s="248"/>
      <c r="O701" s="248"/>
      <c r="P701" s="248"/>
      <c r="Q701" s="248"/>
    </row>
    <row r="702" spans="1:17" ht="15.75" hidden="1" customHeight="1">
      <c r="A702" s="274"/>
      <c r="B702" s="212"/>
      <c r="C702" s="202" t="e">
        <f>#REF!</f>
        <v>#REF!</v>
      </c>
      <c r="D702" s="202"/>
      <c r="E702" s="214"/>
      <c r="F702" s="202"/>
      <c r="G702" s="234" t="e">
        <f>Backlog[[#This Row],[OP]]</f>
        <v>#VALUE!</v>
      </c>
      <c r="H702" s="202"/>
      <c r="I702" s="316" t="e">
        <f>IF(Backlog[[#This Row],[Fecha Requerida en Producción]]="","",Backlog[[#This Row],[Fecha Requerida en Producción]])</f>
        <v>#VALUE!</v>
      </c>
      <c r="J702" s="207"/>
      <c r="K702" s="207"/>
      <c r="L702" s="207"/>
      <c r="M702" s="207"/>
      <c r="N702" s="248"/>
      <c r="O702" s="248"/>
      <c r="P702" s="248"/>
      <c r="Q702" s="248"/>
    </row>
    <row r="703" spans="1:17" ht="15.75" hidden="1" customHeight="1">
      <c r="A703" s="274"/>
      <c r="B703" s="212"/>
      <c r="C703" s="202" t="e">
        <f>#REF!</f>
        <v>#REF!</v>
      </c>
      <c r="D703" s="202"/>
      <c r="E703" s="214"/>
      <c r="F703" s="202"/>
      <c r="G703" s="234" t="e">
        <f>Backlog[[#This Row],[OP]]</f>
        <v>#VALUE!</v>
      </c>
      <c r="H703" s="202"/>
      <c r="I703" s="316" t="e">
        <f>IF(Backlog[[#This Row],[Fecha Requerida en Producción]]="","",Backlog[[#This Row],[Fecha Requerida en Producción]])</f>
        <v>#VALUE!</v>
      </c>
      <c r="J703" s="207"/>
      <c r="K703" s="207"/>
      <c r="L703" s="207"/>
      <c r="M703" s="207"/>
      <c r="N703" s="248"/>
      <c r="O703" s="248"/>
      <c r="P703" s="248"/>
      <c r="Q703" s="248"/>
    </row>
    <row r="704" spans="1:17" ht="15.75" hidden="1" customHeight="1">
      <c r="A704" s="274"/>
      <c r="B704" s="212"/>
      <c r="C704" s="202" t="e">
        <f>#REF!</f>
        <v>#REF!</v>
      </c>
      <c r="D704" s="202"/>
      <c r="E704" s="214"/>
      <c r="F704" s="202"/>
      <c r="G704" s="234" t="e">
        <f>Backlog[[#This Row],[OP]]</f>
        <v>#VALUE!</v>
      </c>
      <c r="H704" s="202"/>
      <c r="I704" s="316" t="e">
        <f>IF(Backlog[[#This Row],[Fecha Requerida en Producción]]="","",Backlog[[#This Row],[Fecha Requerida en Producción]])</f>
        <v>#VALUE!</v>
      </c>
      <c r="J704" s="207"/>
      <c r="K704" s="207"/>
      <c r="L704" s="207"/>
      <c r="M704" s="207"/>
      <c r="N704" s="248"/>
      <c r="O704" s="248"/>
      <c r="P704" s="248"/>
      <c r="Q704" s="248"/>
    </row>
    <row r="705" spans="1:17" ht="15.75" hidden="1" customHeight="1">
      <c r="A705" s="274"/>
      <c r="B705" s="212"/>
      <c r="C705" s="202" t="e">
        <f>#REF!</f>
        <v>#REF!</v>
      </c>
      <c r="D705" s="202"/>
      <c r="E705" s="214"/>
      <c r="F705" s="202"/>
      <c r="G705" s="234" t="e">
        <f>Backlog[[#This Row],[OP]]</f>
        <v>#VALUE!</v>
      </c>
      <c r="H705" s="202"/>
      <c r="I705" s="316" t="e">
        <f>IF(Backlog[[#This Row],[Fecha Requerida en Producción]]="","",Backlog[[#This Row],[Fecha Requerida en Producción]])</f>
        <v>#VALUE!</v>
      </c>
      <c r="J705" s="207"/>
      <c r="K705" s="207"/>
      <c r="L705" s="207"/>
      <c r="M705" s="207"/>
      <c r="N705" s="248"/>
      <c r="O705" s="248"/>
      <c r="P705" s="248"/>
      <c r="Q705" s="248"/>
    </row>
    <row r="706" spans="1:17" ht="15.75" hidden="1" customHeight="1">
      <c r="A706" s="274"/>
      <c r="B706" s="212"/>
      <c r="C706" s="202" t="e">
        <f>#REF!</f>
        <v>#REF!</v>
      </c>
      <c r="D706" s="202"/>
      <c r="E706" s="214"/>
      <c r="F706" s="202"/>
      <c r="G706" s="234" t="e">
        <f>Backlog[[#This Row],[OP]]</f>
        <v>#VALUE!</v>
      </c>
      <c r="H706" s="202"/>
      <c r="I706" s="316" t="e">
        <f>IF(Backlog[[#This Row],[Fecha Requerida en Producción]]="","",Backlog[[#This Row],[Fecha Requerida en Producción]])</f>
        <v>#VALUE!</v>
      </c>
      <c r="J706" s="207"/>
      <c r="K706" s="207"/>
      <c r="L706" s="207"/>
      <c r="M706" s="207"/>
      <c r="N706" s="248"/>
      <c r="O706" s="248"/>
      <c r="P706" s="248"/>
      <c r="Q706" s="248"/>
    </row>
    <row r="707" spans="1:17" ht="15.75" hidden="1" customHeight="1">
      <c r="A707" s="274"/>
      <c r="B707" s="212"/>
      <c r="C707" s="202" t="e">
        <f>#REF!</f>
        <v>#REF!</v>
      </c>
      <c r="D707" s="202"/>
      <c r="E707" s="214"/>
      <c r="F707" s="202"/>
      <c r="G707" s="234" t="e">
        <f>Backlog[[#This Row],[OP]]</f>
        <v>#VALUE!</v>
      </c>
      <c r="H707" s="202"/>
      <c r="I707" s="316" t="e">
        <f>IF(Backlog[[#This Row],[Fecha Requerida en Producción]]="","",Backlog[[#This Row],[Fecha Requerida en Producción]])</f>
        <v>#VALUE!</v>
      </c>
      <c r="J707" s="207"/>
      <c r="K707" s="207"/>
      <c r="L707" s="207"/>
      <c r="M707" s="207"/>
      <c r="N707" s="248"/>
      <c r="O707" s="248"/>
      <c r="P707" s="248"/>
      <c r="Q707" s="248"/>
    </row>
    <row r="708" spans="1:17" ht="15.75" hidden="1" customHeight="1">
      <c r="A708" s="274"/>
      <c r="B708" s="212"/>
      <c r="C708" s="202" t="e">
        <f>#REF!</f>
        <v>#REF!</v>
      </c>
      <c r="D708" s="202"/>
      <c r="E708" s="214"/>
      <c r="F708" s="202"/>
      <c r="G708" s="234" t="e">
        <f>Backlog[[#This Row],[OP]]</f>
        <v>#VALUE!</v>
      </c>
      <c r="H708" s="202"/>
      <c r="I708" s="316" t="e">
        <f>IF(Backlog[[#This Row],[Fecha Requerida en Producción]]="","",Backlog[[#This Row],[Fecha Requerida en Producción]])</f>
        <v>#VALUE!</v>
      </c>
      <c r="J708" s="207"/>
      <c r="K708" s="207"/>
      <c r="L708" s="207"/>
      <c r="M708" s="207"/>
      <c r="N708" s="248"/>
      <c r="O708" s="248"/>
      <c r="P708" s="248"/>
      <c r="Q708" s="248"/>
    </row>
    <row r="709" spans="1:17" ht="15.75" hidden="1" customHeight="1">
      <c r="A709" s="274"/>
      <c r="B709" s="212"/>
      <c r="C709" s="202" t="e">
        <f>#REF!</f>
        <v>#REF!</v>
      </c>
      <c r="D709" s="202"/>
      <c r="E709" s="214"/>
      <c r="F709" s="202"/>
      <c r="G709" s="234" t="e">
        <f>Backlog[[#This Row],[OP]]</f>
        <v>#VALUE!</v>
      </c>
      <c r="H709" s="202"/>
      <c r="I709" s="316" t="e">
        <f>IF(Backlog[[#This Row],[Fecha Requerida en Producción]]="","",Backlog[[#This Row],[Fecha Requerida en Producción]])</f>
        <v>#VALUE!</v>
      </c>
      <c r="J709" s="207"/>
      <c r="K709" s="207"/>
      <c r="L709" s="207"/>
      <c r="M709" s="207"/>
      <c r="N709" s="248"/>
      <c r="O709" s="248"/>
      <c r="P709" s="248"/>
      <c r="Q709" s="248"/>
    </row>
    <row r="710" spans="1:17" ht="15.75" hidden="1" customHeight="1">
      <c r="A710" s="274"/>
      <c r="B710" s="212"/>
      <c r="C710" s="202" t="e">
        <f>#REF!</f>
        <v>#REF!</v>
      </c>
      <c r="D710" s="202"/>
      <c r="E710" s="214"/>
      <c r="F710" s="202"/>
      <c r="G710" s="234" t="e">
        <f>Backlog[[#This Row],[OP]]</f>
        <v>#VALUE!</v>
      </c>
      <c r="H710" s="202"/>
      <c r="I710" s="316" t="e">
        <f>IF(Backlog[[#This Row],[Fecha Requerida en Producción]]="","",Backlog[[#This Row],[Fecha Requerida en Producción]])</f>
        <v>#VALUE!</v>
      </c>
      <c r="J710" s="207"/>
      <c r="K710" s="207"/>
      <c r="L710" s="207"/>
      <c r="M710" s="207"/>
      <c r="N710" s="248"/>
      <c r="O710" s="248"/>
      <c r="P710" s="248"/>
      <c r="Q710" s="248"/>
    </row>
    <row r="711" spans="1:17" ht="15.75" hidden="1" customHeight="1">
      <c r="A711" s="274"/>
      <c r="B711" s="212"/>
      <c r="C711" s="202" t="e">
        <f>#REF!</f>
        <v>#REF!</v>
      </c>
      <c r="D711" s="202"/>
      <c r="E711" s="214"/>
      <c r="F711" s="202"/>
      <c r="G711" s="234" t="e">
        <f>Backlog[[#This Row],[OP]]</f>
        <v>#VALUE!</v>
      </c>
      <c r="H711" s="202"/>
      <c r="I711" s="316" t="e">
        <f>IF(Backlog[[#This Row],[Fecha Requerida en Producción]]="","",Backlog[[#This Row],[Fecha Requerida en Producción]])</f>
        <v>#VALUE!</v>
      </c>
      <c r="J711" s="207"/>
      <c r="K711" s="207"/>
      <c r="L711" s="207"/>
      <c r="M711" s="207"/>
      <c r="N711" s="248"/>
      <c r="O711" s="248"/>
      <c r="P711" s="248"/>
      <c r="Q711" s="248"/>
    </row>
    <row r="712" spans="1:17" ht="15.75" hidden="1" customHeight="1">
      <c r="A712" s="274"/>
      <c r="B712" s="212"/>
      <c r="C712" s="202" t="e">
        <f>#REF!</f>
        <v>#REF!</v>
      </c>
      <c r="D712" s="202"/>
      <c r="E712" s="214"/>
      <c r="F712" s="202"/>
      <c r="G712" s="234" t="e">
        <f>Backlog[[#This Row],[OP]]</f>
        <v>#VALUE!</v>
      </c>
      <c r="H712" s="202"/>
      <c r="I712" s="316" t="e">
        <f>IF(Backlog[[#This Row],[Fecha Requerida en Producción]]="","",Backlog[[#This Row],[Fecha Requerida en Producción]])</f>
        <v>#VALUE!</v>
      </c>
      <c r="J712" s="207"/>
      <c r="K712" s="207"/>
      <c r="L712" s="207"/>
      <c r="M712" s="207"/>
      <c r="N712" s="248"/>
      <c r="O712" s="248"/>
      <c r="P712" s="248"/>
      <c r="Q712" s="248"/>
    </row>
    <row r="713" spans="1:17" ht="15.75" hidden="1" customHeight="1">
      <c r="A713" s="274"/>
      <c r="B713" s="212"/>
      <c r="C713" s="202" t="e">
        <f>#REF!</f>
        <v>#REF!</v>
      </c>
      <c r="D713" s="202"/>
      <c r="E713" s="214"/>
      <c r="F713" s="202"/>
      <c r="G713" s="234" t="e">
        <f>Backlog[[#This Row],[OP]]</f>
        <v>#VALUE!</v>
      </c>
      <c r="H713" s="202"/>
      <c r="I713" s="316" t="e">
        <f>IF(Backlog[[#This Row],[Fecha Requerida en Producción]]="","",Backlog[[#This Row],[Fecha Requerida en Producción]])</f>
        <v>#VALUE!</v>
      </c>
      <c r="J713" s="207"/>
      <c r="K713" s="207"/>
      <c r="L713" s="207"/>
      <c r="M713" s="207"/>
      <c r="N713" s="248"/>
      <c r="O713" s="248"/>
      <c r="P713" s="248"/>
      <c r="Q713" s="248"/>
    </row>
    <row r="714" spans="1:17" ht="15.75" hidden="1" customHeight="1">
      <c r="A714" s="274"/>
      <c r="B714" s="212"/>
      <c r="C714" s="202" t="e">
        <f>#REF!</f>
        <v>#REF!</v>
      </c>
      <c r="D714" s="202"/>
      <c r="E714" s="214"/>
      <c r="F714" s="202"/>
      <c r="G714" s="234" t="e">
        <f>Backlog[[#This Row],[OP]]</f>
        <v>#VALUE!</v>
      </c>
      <c r="H714" s="202"/>
      <c r="I714" s="316" t="e">
        <f>IF(Backlog[[#This Row],[Fecha Requerida en Producción]]="","",Backlog[[#This Row],[Fecha Requerida en Producción]])</f>
        <v>#VALUE!</v>
      </c>
      <c r="J714" s="207"/>
      <c r="K714" s="207"/>
      <c r="L714" s="207"/>
      <c r="M714" s="207"/>
      <c r="N714" s="248"/>
      <c r="O714" s="248"/>
      <c r="P714" s="248"/>
      <c r="Q714" s="248"/>
    </row>
    <row r="715" spans="1:17" ht="15.75" hidden="1" customHeight="1">
      <c r="A715" s="274"/>
      <c r="B715" s="212"/>
      <c r="C715" s="202" t="e">
        <f>#REF!</f>
        <v>#REF!</v>
      </c>
      <c r="D715" s="202"/>
      <c r="E715" s="214"/>
      <c r="F715" s="202"/>
      <c r="G715" s="234" t="e">
        <f>Backlog[[#This Row],[OP]]</f>
        <v>#VALUE!</v>
      </c>
      <c r="H715" s="202"/>
      <c r="I715" s="316" t="e">
        <f>IF(Backlog[[#This Row],[Fecha Requerida en Producción]]="","",Backlog[[#This Row],[Fecha Requerida en Producción]])</f>
        <v>#VALUE!</v>
      </c>
      <c r="J715" s="207"/>
      <c r="K715" s="207"/>
      <c r="L715" s="207"/>
      <c r="M715" s="207"/>
      <c r="N715" s="248"/>
      <c r="O715" s="248"/>
      <c r="P715" s="248"/>
      <c r="Q715" s="248"/>
    </row>
    <row r="716" spans="1:17" ht="15.75" hidden="1" customHeight="1">
      <c r="A716" s="274"/>
      <c r="B716" s="212"/>
      <c r="C716" s="202" t="e">
        <f>#REF!</f>
        <v>#REF!</v>
      </c>
      <c r="D716" s="202"/>
      <c r="E716" s="214"/>
      <c r="F716" s="202"/>
      <c r="G716" s="234" t="e">
        <f>Backlog[[#This Row],[OP]]</f>
        <v>#VALUE!</v>
      </c>
      <c r="H716" s="202"/>
      <c r="I716" s="316" t="e">
        <f>IF(Backlog[[#This Row],[Fecha Requerida en Producción]]="","",Backlog[[#This Row],[Fecha Requerida en Producción]])</f>
        <v>#VALUE!</v>
      </c>
      <c r="J716" s="207"/>
      <c r="K716" s="207"/>
      <c r="L716" s="207"/>
      <c r="M716" s="207"/>
      <c r="N716" s="248"/>
      <c r="O716" s="248"/>
      <c r="P716" s="248"/>
      <c r="Q716" s="248"/>
    </row>
    <row r="717" spans="1:17" ht="15.75" hidden="1" customHeight="1">
      <c r="A717" s="274"/>
      <c r="B717" s="212"/>
      <c r="C717" s="202" t="e">
        <f>#REF!</f>
        <v>#REF!</v>
      </c>
      <c r="D717" s="202"/>
      <c r="E717" s="214"/>
      <c r="F717" s="202"/>
      <c r="G717" s="234" t="e">
        <f>Backlog[[#This Row],[OP]]</f>
        <v>#VALUE!</v>
      </c>
      <c r="H717" s="202"/>
      <c r="I717" s="316" t="e">
        <f>IF(Backlog[[#This Row],[Fecha Requerida en Producción]]="","",Backlog[[#This Row],[Fecha Requerida en Producción]])</f>
        <v>#VALUE!</v>
      </c>
      <c r="J717" s="207"/>
      <c r="K717" s="207"/>
      <c r="L717" s="207"/>
      <c r="M717" s="207"/>
      <c r="N717" s="248"/>
      <c r="O717" s="248"/>
      <c r="P717" s="248"/>
      <c r="Q717" s="248"/>
    </row>
    <row r="718" spans="1:17" ht="15.75" hidden="1" customHeight="1">
      <c r="A718" s="274"/>
      <c r="B718" s="212"/>
      <c r="C718" s="202" t="e">
        <f>#REF!</f>
        <v>#REF!</v>
      </c>
      <c r="D718" s="202"/>
      <c r="E718" s="214"/>
      <c r="F718" s="202"/>
      <c r="G718" s="234" t="e">
        <f>Backlog[[#This Row],[OP]]</f>
        <v>#VALUE!</v>
      </c>
      <c r="H718" s="202"/>
      <c r="I718" s="316" t="e">
        <f>IF(Backlog[[#This Row],[Fecha Requerida en Producción]]="","",Backlog[[#This Row],[Fecha Requerida en Producción]])</f>
        <v>#VALUE!</v>
      </c>
      <c r="J718" s="207"/>
      <c r="K718" s="207"/>
      <c r="L718" s="207"/>
      <c r="M718" s="207"/>
      <c r="N718" s="248"/>
      <c r="O718" s="248"/>
      <c r="P718" s="248"/>
      <c r="Q718" s="248"/>
    </row>
    <row r="719" spans="1:17" ht="15.75" hidden="1" customHeight="1">
      <c r="A719" s="274"/>
      <c r="B719" s="212"/>
      <c r="C719" s="202" t="e">
        <f>#REF!</f>
        <v>#REF!</v>
      </c>
      <c r="D719" s="202"/>
      <c r="E719" s="214"/>
      <c r="F719" s="202"/>
      <c r="G719" s="234" t="e">
        <f>Backlog[[#This Row],[OP]]</f>
        <v>#VALUE!</v>
      </c>
      <c r="H719" s="202"/>
      <c r="I719" s="316" t="e">
        <f>IF(Backlog[[#This Row],[Fecha Requerida en Producción]]="","",Backlog[[#This Row],[Fecha Requerida en Producción]])</f>
        <v>#VALUE!</v>
      </c>
      <c r="J719" s="207"/>
      <c r="K719" s="207"/>
      <c r="L719" s="207"/>
      <c r="M719" s="207"/>
      <c r="N719" s="248"/>
      <c r="O719" s="248"/>
      <c r="P719" s="248"/>
      <c r="Q719" s="248"/>
    </row>
    <row r="720" spans="1:17" ht="15.75" hidden="1" customHeight="1">
      <c r="A720" s="274"/>
      <c r="B720" s="212"/>
      <c r="C720" s="202" t="e">
        <f>#REF!</f>
        <v>#REF!</v>
      </c>
      <c r="D720" s="202"/>
      <c r="E720" s="214"/>
      <c r="F720" s="202"/>
      <c r="G720" s="234" t="e">
        <f>Backlog[[#This Row],[OP]]</f>
        <v>#VALUE!</v>
      </c>
      <c r="H720" s="202"/>
      <c r="I720" s="316" t="e">
        <f>IF(Backlog[[#This Row],[Fecha Requerida en Producción]]="","",Backlog[[#This Row],[Fecha Requerida en Producción]])</f>
        <v>#VALUE!</v>
      </c>
      <c r="J720" s="207"/>
      <c r="K720" s="207"/>
      <c r="L720" s="207"/>
      <c r="M720" s="207"/>
      <c r="N720" s="248"/>
      <c r="O720" s="248"/>
      <c r="P720" s="248"/>
      <c r="Q720" s="248"/>
    </row>
    <row r="721" spans="1:17" ht="15.75" hidden="1" customHeight="1">
      <c r="A721" s="274"/>
      <c r="B721" s="212"/>
      <c r="C721" s="202" t="e">
        <f>#REF!</f>
        <v>#REF!</v>
      </c>
      <c r="D721" s="202"/>
      <c r="E721" s="214"/>
      <c r="F721" s="202"/>
      <c r="G721" s="234" t="e">
        <f>Backlog[[#This Row],[OP]]</f>
        <v>#VALUE!</v>
      </c>
      <c r="H721" s="202"/>
      <c r="I721" s="316" t="e">
        <f>IF(Backlog[[#This Row],[Fecha Requerida en Producción]]="","",Backlog[[#This Row],[Fecha Requerida en Producción]])</f>
        <v>#VALUE!</v>
      </c>
      <c r="J721" s="207"/>
      <c r="K721" s="207"/>
      <c r="L721" s="207"/>
      <c r="M721" s="207"/>
      <c r="N721" s="248"/>
      <c r="O721" s="248"/>
      <c r="P721" s="248"/>
      <c r="Q721" s="248"/>
    </row>
    <row r="722" spans="1:17" ht="15.75" hidden="1" customHeight="1">
      <c r="A722" s="274"/>
      <c r="B722" s="212"/>
      <c r="C722" s="202" t="e">
        <f>#REF!</f>
        <v>#REF!</v>
      </c>
      <c r="D722" s="202"/>
      <c r="E722" s="214"/>
      <c r="F722" s="202"/>
      <c r="G722" s="234" t="e">
        <f>Backlog[[#This Row],[OP]]</f>
        <v>#VALUE!</v>
      </c>
      <c r="H722" s="202"/>
      <c r="I722" s="316" t="e">
        <f>IF(Backlog[[#This Row],[Fecha Requerida en Producción]]="","",Backlog[[#This Row],[Fecha Requerida en Producción]])</f>
        <v>#VALUE!</v>
      </c>
      <c r="J722" s="207"/>
      <c r="K722" s="207"/>
      <c r="L722" s="207"/>
      <c r="M722" s="207"/>
      <c r="N722" s="248"/>
      <c r="O722" s="248"/>
      <c r="P722" s="248"/>
      <c r="Q722" s="248"/>
    </row>
    <row r="723" spans="1:17" ht="15.75" hidden="1" customHeight="1">
      <c r="A723" s="274"/>
      <c r="B723" s="212"/>
      <c r="C723" s="202" t="e">
        <f>#REF!</f>
        <v>#REF!</v>
      </c>
      <c r="D723" s="202"/>
      <c r="E723" s="214"/>
      <c r="F723" s="202"/>
      <c r="G723" s="234" t="e">
        <f>Backlog[[#This Row],[OP]]</f>
        <v>#VALUE!</v>
      </c>
      <c r="H723" s="202"/>
      <c r="I723" s="316" t="e">
        <f>IF(Backlog[[#This Row],[Fecha Requerida en Producción]]="","",Backlog[[#This Row],[Fecha Requerida en Producción]])</f>
        <v>#VALUE!</v>
      </c>
      <c r="J723" s="207"/>
      <c r="K723" s="207"/>
      <c r="L723" s="207"/>
      <c r="M723" s="207"/>
      <c r="N723" s="248"/>
      <c r="O723" s="248"/>
      <c r="P723" s="248"/>
      <c r="Q723" s="248"/>
    </row>
    <row r="724" spans="1:17" ht="15.75" hidden="1" customHeight="1">
      <c r="A724" s="274"/>
      <c r="B724" s="212"/>
      <c r="C724" s="202" t="e">
        <f>#REF!</f>
        <v>#REF!</v>
      </c>
      <c r="D724" s="202"/>
      <c r="E724" s="214"/>
      <c r="F724" s="202"/>
      <c r="G724" s="234" t="e">
        <f>Backlog[[#This Row],[OP]]</f>
        <v>#VALUE!</v>
      </c>
      <c r="H724" s="202"/>
      <c r="I724" s="316" t="e">
        <f>IF(Backlog[[#This Row],[Fecha Requerida en Producción]]="","",Backlog[[#This Row],[Fecha Requerida en Producción]])</f>
        <v>#VALUE!</v>
      </c>
      <c r="J724" s="207"/>
      <c r="K724" s="207"/>
      <c r="L724" s="207"/>
      <c r="M724" s="207"/>
      <c r="N724" s="248"/>
      <c r="O724" s="248"/>
      <c r="P724" s="248"/>
      <c r="Q724" s="248"/>
    </row>
    <row r="725" spans="1:17" ht="15.75" hidden="1" customHeight="1">
      <c r="A725" s="274"/>
      <c r="B725" s="212"/>
      <c r="C725" s="202" t="e">
        <f>#REF!</f>
        <v>#REF!</v>
      </c>
      <c r="D725" s="202"/>
      <c r="E725" s="214"/>
      <c r="F725" s="202"/>
      <c r="G725" s="234" t="e">
        <f>Backlog[[#This Row],[OP]]</f>
        <v>#VALUE!</v>
      </c>
      <c r="H725" s="202"/>
      <c r="I725" s="316" t="e">
        <f>IF(Backlog[[#This Row],[Fecha Requerida en Producción]]="","",Backlog[[#This Row],[Fecha Requerida en Producción]])</f>
        <v>#VALUE!</v>
      </c>
      <c r="J725" s="207"/>
      <c r="K725" s="207"/>
      <c r="L725" s="207"/>
      <c r="M725" s="207"/>
      <c r="N725" s="248"/>
      <c r="O725" s="248"/>
      <c r="P725" s="248"/>
      <c r="Q725" s="248"/>
    </row>
    <row r="726" spans="1:17" ht="15.75" hidden="1" customHeight="1">
      <c r="A726" s="274"/>
      <c r="B726" s="212"/>
      <c r="C726" s="202" t="e">
        <f>#REF!</f>
        <v>#REF!</v>
      </c>
      <c r="D726" s="202"/>
      <c r="E726" s="214"/>
      <c r="F726" s="202"/>
      <c r="G726" s="234" t="e">
        <f>Backlog[[#This Row],[OP]]</f>
        <v>#VALUE!</v>
      </c>
      <c r="H726" s="202"/>
      <c r="I726" s="316" t="e">
        <f>IF(Backlog[[#This Row],[Fecha Requerida en Producción]]="","",Backlog[[#This Row],[Fecha Requerida en Producción]])</f>
        <v>#VALUE!</v>
      </c>
      <c r="J726" s="207"/>
      <c r="K726" s="207"/>
      <c r="L726" s="207"/>
      <c r="M726" s="207"/>
      <c r="N726" s="248"/>
      <c r="O726" s="248"/>
      <c r="P726" s="248"/>
      <c r="Q726" s="248"/>
    </row>
    <row r="727" spans="1:17" ht="15.75" hidden="1" customHeight="1">
      <c r="A727" s="274"/>
      <c r="B727" s="212"/>
      <c r="C727" s="202" t="e">
        <f>#REF!</f>
        <v>#REF!</v>
      </c>
      <c r="D727" s="202"/>
      <c r="E727" s="214"/>
      <c r="F727" s="202"/>
      <c r="G727" s="234" t="e">
        <f>Backlog[[#This Row],[OP]]</f>
        <v>#VALUE!</v>
      </c>
      <c r="H727" s="202"/>
      <c r="I727" s="316" t="e">
        <f>IF(Backlog[[#This Row],[Fecha Requerida en Producción]]="","",Backlog[[#This Row],[Fecha Requerida en Producción]])</f>
        <v>#VALUE!</v>
      </c>
      <c r="J727" s="207"/>
      <c r="K727" s="207"/>
      <c r="L727" s="207"/>
      <c r="M727" s="207"/>
      <c r="N727" s="248"/>
      <c r="O727" s="248"/>
      <c r="P727" s="248"/>
      <c r="Q727" s="248"/>
    </row>
    <row r="728" spans="1:17" ht="15.75" hidden="1" customHeight="1">
      <c r="A728" s="274"/>
      <c r="B728" s="212"/>
      <c r="C728" s="202" t="e">
        <f>#REF!</f>
        <v>#REF!</v>
      </c>
      <c r="D728" s="202"/>
      <c r="E728" s="214"/>
      <c r="F728" s="202"/>
      <c r="G728" s="234" t="e">
        <f>Backlog[[#This Row],[OP]]</f>
        <v>#VALUE!</v>
      </c>
      <c r="H728" s="202"/>
      <c r="I728" s="316" t="e">
        <f>IF(Backlog[[#This Row],[Fecha Requerida en Producción]]="","",Backlog[[#This Row],[Fecha Requerida en Producción]])</f>
        <v>#VALUE!</v>
      </c>
      <c r="J728" s="207"/>
      <c r="K728" s="207"/>
      <c r="L728" s="207"/>
      <c r="M728" s="207"/>
      <c r="N728" s="248"/>
      <c r="O728" s="248"/>
      <c r="P728" s="248"/>
      <c r="Q728" s="248"/>
    </row>
    <row r="729" spans="1:17" ht="15.75" hidden="1" customHeight="1">
      <c r="A729" s="274"/>
      <c r="B729" s="212"/>
      <c r="C729" s="202" t="e">
        <f>#REF!</f>
        <v>#REF!</v>
      </c>
      <c r="D729" s="202"/>
      <c r="E729" s="214"/>
      <c r="F729" s="202"/>
      <c r="G729" s="234" t="e">
        <f>Backlog[[#This Row],[OP]]</f>
        <v>#VALUE!</v>
      </c>
      <c r="H729" s="202"/>
      <c r="I729" s="316" t="e">
        <f>IF(Backlog[[#This Row],[Fecha Requerida en Producción]]="","",Backlog[[#This Row],[Fecha Requerida en Producción]])</f>
        <v>#VALUE!</v>
      </c>
      <c r="J729" s="207"/>
      <c r="K729" s="207"/>
      <c r="L729" s="207"/>
      <c r="M729" s="207"/>
      <c r="N729" s="248"/>
      <c r="O729" s="248"/>
      <c r="P729" s="248"/>
      <c r="Q729" s="248"/>
    </row>
    <row r="730" spans="1:17" ht="15.75" hidden="1" customHeight="1">
      <c r="A730" s="274"/>
      <c r="B730" s="212"/>
      <c r="C730" s="202" t="e">
        <f>#REF!</f>
        <v>#REF!</v>
      </c>
      <c r="D730" s="202"/>
      <c r="E730" s="214"/>
      <c r="F730" s="202"/>
      <c r="G730" s="234" t="e">
        <f>Backlog[[#This Row],[OP]]</f>
        <v>#VALUE!</v>
      </c>
      <c r="H730" s="202"/>
      <c r="I730" s="316" t="e">
        <f>IF(Backlog[[#This Row],[Fecha Requerida en Producción]]="","",Backlog[[#This Row],[Fecha Requerida en Producción]])</f>
        <v>#VALUE!</v>
      </c>
      <c r="J730" s="207"/>
      <c r="K730" s="207"/>
      <c r="L730" s="207"/>
      <c r="M730" s="207"/>
      <c r="N730" s="248"/>
      <c r="O730" s="248"/>
      <c r="P730" s="248"/>
      <c r="Q730" s="248"/>
    </row>
    <row r="731" spans="1:17" ht="15.75" hidden="1" customHeight="1">
      <c r="A731" s="274"/>
      <c r="B731" s="212"/>
      <c r="C731" s="202" t="e">
        <f>#REF!</f>
        <v>#REF!</v>
      </c>
      <c r="D731" s="202"/>
      <c r="E731" s="214"/>
      <c r="F731" s="202"/>
      <c r="G731" s="234" t="e">
        <f>Backlog[[#This Row],[OP]]</f>
        <v>#VALUE!</v>
      </c>
      <c r="H731" s="202"/>
      <c r="I731" s="316" t="e">
        <f>IF(Backlog[[#This Row],[Fecha Requerida en Producción]]="","",Backlog[[#This Row],[Fecha Requerida en Producción]])</f>
        <v>#VALUE!</v>
      </c>
      <c r="J731" s="207"/>
      <c r="K731" s="207"/>
      <c r="L731" s="207"/>
      <c r="M731" s="207"/>
      <c r="N731" s="248"/>
      <c r="O731" s="248"/>
      <c r="P731" s="248"/>
      <c r="Q731" s="248"/>
    </row>
    <row r="732" spans="1:17" ht="15.75" hidden="1" customHeight="1">
      <c r="A732" s="274"/>
      <c r="B732" s="212"/>
      <c r="C732" s="202" t="e">
        <f>#REF!</f>
        <v>#REF!</v>
      </c>
      <c r="D732" s="202"/>
      <c r="E732" s="214"/>
      <c r="F732" s="202"/>
      <c r="G732" s="234" t="e">
        <f>Backlog[[#This Row],[OP]]</f>
        <v>#VALUE!</v>
      </c>
      <c r="H732" s="202"/>
      <c r="I732" s="316" t="e">
        <f>IF(Backlog[[#This Row],[Fecha Requerida en Producción]]="","",Backlog[[#This Row],[Fecha Requerida en Producción]])</f>
        <v>#VALUE!</v>
      </c>
      <c r="J732" s="207"/>
      <c r="K732" s="207"/>
      <c r="L732" s="207"/>
      <c r="M732" s="207"/>
      <c r="N732" s="248"/>
      <c r="O732" s="248"/>
      <c r="P732" s="248"/>
      <c r="Q732" s="248"/>
    </row>
    <row r="733" spans="1:17" ht="15.75" hidden="1" customHeight="1">
      <c r="A733" s="274"/>
      <c r="B733" s="212"/>
      <c r="C733" s="202" t="e">
        <f>#REF!</f>
        <v>#REF!</v>
      </c>
      <c r="D733" s="202"/>
      <c r="E733" s="214"/>
      <c r="F733" s="202"/>
      <c r="G733" s="234" t="e">
        <f>Backlog[[#This Row],[OP]]</f>
        <v>#VALUE!</v>
      </c>
      <c r="H733" s="202"/>
      <c r="I733" s="316" t="e">
        <f>IF(Backlog[[#This Row],[Fecha Requerida en Producción]]="","",Backlog[[#This Row],[Fecha Requerida en Producción]])</f>
        <v>#VALUE!</v>
      </c>
      <c r="J733" s="207"/>
      <c r="K733" s="207"/>
      <c r="L733" s="207"/>
      <c r="M733" s="207"/>
      <c r="N733" s="248"/>
      <c r="O733" s="248"/>
      <c r="P733" s="248"/>
      <c r="Q733" s="248"/>
    </row>
    <row r="734" spans="1:17" ht="15.75" hidden="1" customHeight="1">
      <c r="A734" s="274"/>
      <c r="B734" s="212"/>
      <c r="C734" s="202" t="e">
        <f>#REF!</f>
        <v>#REF!</v>
      </c>
      <c r="D734" s="202"/>
      <c r="E734" s="214"/>
      <c r="F734" s="202"/>
      <c r="G734" s="234" t="e">
        <f>Backlog[[#This Row],[OP]]</f>
        <v>#VALUE!</v>
      </c>
      <c r="H734" s="202"/>
      <c r="I734" s="316" t="e">
        <f>IF(Backlog[[#This Row],[Fecha Requerida en Producción]]="","",Backlog[[#This Row],[Fecha Requerida en Producción]])</f>
        <v>#VALUE!</v>
      </c>
      <c r="J734" s="207"/>
      <c r="K734" s="207"/>
      <c r="L734" s="207"/>
      <c r="M734" s="207"/>
      <c r="N734" s="248"/>
      <c r="O734" s="248"/>
      <c r="P734" s="248"/>
      <c r="Q734" s="248"/>
    </row>
    <row r="735" spans="1:17" ht="15.75" hidden="1" customHeight="1">
      <c r="A735" s="274"/>
      <c r="B735" s="212"/>
      <c r="C735" s="202" t="e">
        <f>#REF!</f>
        <v>#REF!</v>
      </c>
      <c r="D735" s="202"/>
      <c r="E735" s="214"/>
      <c r="F735" s="202"/>
      <c r="G735" s="234" t="e">
        <f>Backlog[[#This Row],[OP]]</f>
        <v>#VALUE!</v>
      </c>
      <c r="H735" s="202"/>
      <c r="I735" s="316" t="e">
        <f>IF(Backlog[[#This Row],[Fecha Requerida en Producción]]="","",Backlog[[#This Row],[Fecha Requerida en Producción]])</f>
        <v>#VALUE!</v>
      </c>
      <c r="J735" s="207"/>
      <c r="K735" s="207"/>
      <c r="L735" s="207"/>
      <c r="M735" s="207"/>
      <c r="N735" s="248"/>
      <c r="O735" s="248"/>
      <c r="P735" s="248"/>
      <c r="Q735" s="248"/>
    </row>
    <row r="736" spans="1:17" ht="15.75" hidden="1" customHeight="1">
      <c r="A736" s="274"/>
      <c r="B736" s="212"/>
      <c r="C736" s="202" t="e">
        <f>#REF!</f>
        <v>#REF!</v>
      </c>
      <c r="D736" s="202"/>
      <c r="E736" s="214"/>
      <c r="F736" s="202"/>
      <c r="G736" s="234" t="e">
        <f>Backlog[[#This Row],[OP]]</f>
        <v>#VALUE!</v>
      </c>
      <c r="H736" s="202"/>
      <c r="I736" s="316" t="e">
        <f>IF(Backlog[[#This Row],[Fecha Requerida en Producción]]="","",Backlog[[#This Row],[Fecha Requerida en Producción]])</f>
        <v>#VALUE!</v>
      </c>
      <c r="J736" s="207"/>
      <c r="K736" s="207"/>
      <c r="L736" s="207"/>
      <c r="M736" s="207"/>
      <c r="N736" s="248"/>
      <c r="O736" s="248"/>
      <c r="P736" s="248"/>
      <c r="Q736" s="248"/>
    </row>
    <row r="737" spans="1:17" ht="15.75" hidden="1" customHeight="1">
      <c r="A737" s="274"/>
      <c r="B737" s="212"/>
      <c r="C737" s="202" t="e">
        <f>#REF!</f>
        <v>#REF!</v>
      </c>
      <c r="D737" s="202"/>
      <c r="E737" s="214"/>
      <c r="F737" s="202"/>
      <c r="G737" s="234" t="e">
        <f>Backlog[[#This Row],[OP]]</f>
        <v>#VALUE!</v>
      </c>
      <c r="H737" s="202"/>
      <c r="I737" s="316" t="e">
        <f>IF(Backlog[[#This Row],[Fecha Requerida en Producción]]="","",Backlog[[#This Row],[Fecha Requerida en Producción]])</f>
        <v>#VALUE!</v>
      </c>
      <c r="J737" s="207"/>
      <c r="K737" s="207"/>
      <c r="L737" s="207"/>
      <c r="M737" s="207"/>
      <c r="N737" s="248"/>
      <c r="O737" s="248"/>
      <c r="P737" s="248"/>
      <c r="Q737" s="248"/>
    </row>
    <row r="738" spans="1:17" ht="15.75" hidden="1" customHeight="1">
      <c r="A738" s="274"/>
      <c r="B738" s="212"/>
      <c r="C738" s="202" t="e">
        <f>#REF!</f>
        <v>#REF!</v>
      </c>
      <c r="D738" s="202"/>
      <c r="E738" s="214"/>
      <c r="F738" s="202"/>
      <c r="G738" s="234" t="e">
        <f>Backlog[[#This Row],[OP]]</f>
        <v>#VALUE!</v>
      </c>
      <c r="H738" s="202"/>
      <c r="I738" s="316" t="e">
        <f>IF(Backlog[[#This Row],[Fecha Requerida en Producción]]="","",Backlog[[#This Row],[Fecha Requerida en Producción]])</f>
        <v>#VALUE!</v>
      </c>
      <c r="J738" s="207"/>
      <c r="K738" s="207"/>
      <c r="L738" s="207"/>
      <c r="M738" s="207"/>
      <c r="N738" s="248"/>
      <c r="O738" s="248"/>
      <c r="P738" s="248"/>
      <c r="Q738" s="248"/>
    </row>
    <row r="739" spans="1:17" ht="15.75" hidden="1" customHeight="1">
      <c r="A739" s="274"/>
      <c r="B739" s="212"/>
      <c r="C739" s="202" t="e">
        <f>#REF!</f>
        <v>#REF!</v>
      </c>
      <c r="D739" s="202"/>
      <c r="E739" s="214"/>
      <c r="F739" s="202"/>
      <c r="G739" s="234" t="e">
        <f>Backlog[[#This Row],[OP]]</f>
        <v>#VALUE!</v>
      </c>
      <c r="H739" s="202"/>
      <c r="I739" s="316" t="e">
        <f>IF(Backlog[[#This Row],[Fecha Requerida en Producción]]="","",Backlog[[#This Row],[Fecha Requerida en Producción]])</f>
        <v>#VALUE!</v>
      </c>
      <c r="J739" s="207"/>
      <c r="K739" s="207"/>
      <c r="L739" s="207"/>
      <c r="M739" s="207"/>
      <c r="N739" s="248"/>
      <c r="O739" s="248"/>
      <c r="P739" s="248"/>
      <c r="Q739" s="248"/>
    </row>
    <row r="740" spans="1:17" ht="15.75" hidden="1" customHeight="1">
      <c r="A740" s="274"/>
      <c r="B740" s="212"/>
      <c r="C740" s="202" t="e">
        <f>#REF!</f>
        <v>#REF!</v>
      </c>
      <c r="D740" s="202"/>
      <c r="E740" s="214"/>
      <c r="F740" s="202"/>
      <c r="G740" s="234" t="e">
        <f>Backlog[[#This Row],[OP]]</f>
        <v>#VALUE!</v>
      </c>
      <c r="H740" s="202"/>
      <c r="I740" s="316" t="e">
        <f>IF(Backlog[[#This Row],[Fecha Requerida en Producción]]="","",Backlog[[#This Row],[Fecha Requerida en Producción]])</f>
        <v>#VALUE!</v>
      </c>
      <c r="J740" s="207"/>
      <c r="K740" s="207"/>
      <c r="L740" s="207"/>
      <c r="M740" s="207"/>
      <c r="N740" s="248"/>
      <c r="O740" s="248"/>
      <c r="P740" s="248"/>
      <c r="Q740" s="248"/>
    </row>
    <row r="741" spans="1:17" ht="15.75" hidden="1" customHeight="1">
      <c r="A741" s="274"/>
      <c r="B741" s="212"/>
      <c r="C741" s="202" t="e">
        <f>#REF!</f>
        <v>#REF!</v>
      </c>
      <c r="D741" s="202"/>
      <c r="E741" s="214"/>
      <c r="F741" s="202"/>
      <c r="G741" s="234" t="e">
        <f>Backlog[[#This Row],[OP]]</f>
        <v>#VALUE!</v>
      </c>
      <c r="H741" s="202"/>
      <c r="I741" s="316" t="e">
        <f>IF(Backlog[[#This Row],[Fecha Requerida en Producción]]="","",Backlog[[#This Row],[Fecha Requerida en Producción]])</f>
        <v>#VALUE!</v>
      </c>
      <c r="J741" s="207"/>
      <c r="K741" s="207"/>
      <c r="L741" s="207"/>
      <c r="M741" s="207"/>
      <c r="N741" s="248"/>
      <c r="O741" s="248"/>
      <c r="P741" s="248"/>
      <c r="Q741" s="248"/>
    </row>
    <row r="742" spans="1:17" ht="15.75" hidden="1" customHeight="1">
      <c r="A742" s="274"/>
      <c r="B742" s="212"/>
      <c r="C742" s="202" t="e">
        <f>#REF!</f>
        <v>#REF!</v>
      </c>
      <c r="D742" s="202"/>
      <c r="E742" s="214"/>
      <c r="F742" s="202"/>
      <c r="G742" s="234" t="e">
        <f>Backlog[[#This Row],[OP]]</f>
        <v>#VALUE!</v>
      </c>
      <c r="H742" s="202"/>
      <c r="I742" s="316" t="e">
        <f>IF(Backlog[[#This Row],[Fecha Requerida en Producción]]="","",Backlog[[#This Row],[Fecha Requerida en Producción]])</f>
        <v>#VALUE!</v>
      </c>
      <c r="J742" s="207"/>
      <c r="K742" s="207"/>
      <c r="L742" s="207"/>
      <c r="M742" s="207"/>
      <c r="N742" s="248"/>
      <c r="O742" s="248"/>
      <c r="P742" s="248"/>
      <c r="Q742" s="248"/>
    </row>
    <row r="743" spans="1:17" ht="15.75" hidden="1" customHeight="1">
      <c r="A743" s="274"/>
      <c r="B743" s="212"/>
      <c r="C743" s="202" t="e">
        <f>#REF!</f>
        <v>#REF!</v>
      </c>
      <c r="D743" s="202"/>
      <c r="E743" s="214"/>
      <c r="F743" s="202"/>
      <c r="G743" s="234" t="e">
        <f>Backlog[[#This Row],[OP]]</f>
        <v>#VALUE!</v>
      </c>
      <c r="H743" s="202"/>
      <c r="I743" s="316" t="e">
        <f>IF(Backlog[[#This Row],[Fecha Requerida en Producción]]="","",Backlog[[#This Row],[Fecha Requerida en Producción]])</f>
        <v>#VALUE!</v>
      </c>
      <c r="J743" s="207"/>
      <c r="K743" s="207"/>
      <c r="L743" s="207"/>
      <c r="M743" s="207"/>
      <c r="N743" s="248"/>
      <c r="O743" s="248"/>
      <c r="P743" s="248"/>
      <c r="Q743" s="248"/>
    </row>
    <row r="744" spans="1:17" ht="15.75" hidden="1" customHeight="1">
      <c r="A744" s="274"/>
      <c r="B744" s="212"/>
      <c r="C744" s="202" t="e">
        <f>#REF!</f>
        <v>#REF!</v>
      </c>
      <c r="D744" s="202"/>
      <c r="E744" s="214"/>
      <c r="F744" s="202"/>
      <c r="G744" s="234" t="e">
        <f>Backlog[[#This Row],[OP]]</f>
        <v>#VALUE!</v>
      </c>
      <c r="H744" s="202"/>
      <c r="I744" s="316" t="e">
        <f>IF(Backlog[[#This Row],[Fecha Requerida en Producción]]="","",Backlog[[#This Row],[Fecha Requerida en Producción]])</f>
        <v>#VALUE!</v>
      </c>
      <c r="J744" s="207"/>
      <c r="K744" s="207"/>
      <c r="L744" s="207"/>
      <c r="M744" s="207"/>
      <c r="N744" s="248"/>
      <c r="O744" s="248"/>
      <c r="P744" s="248"/>
      <c r="Q744" s="248"/>
    </row>
    <row r="745" spans="1:17" ht="15.75" hidden="1" customHeight="1">
      <c r="A745" s="274"/>
      <c r="B745" s="212"/>
      <c r="C745" s="202" t="e">
        <f>#REF!</f>
        <v>#REF!</v>
      </c>
      <c r="D745" s="202"/>
      <c r="E745" s="214"/>
      <c r="F745" s="202"/>
      <c r="G745" s="234" t="e">
        <f>Backlog[[#This Row],[OP]]</f>
        <v>#VALUE!</v>
      </c>
      <c r="H745" s="202"/>
      <c r="I745" s="316" t="e">
        <f>IF(Backlog[[#This Row],[Fecha Requerida en Producción]]="","",Backlog[[#This Row],[Fecha Requerida en Producción]])</f>
        <v>#VALUE!</v>
      </c>
      <c r="J745" s="207"/>
      <c r="K745" s="207"/>
      <c r="L745" s="207"/>
      <c r="M745" s="207"/>
      <c r="N745" s="248"/>
      <c r="O745" s="248"/>
      <c r="P745" s="248"/>
      <c r="Q745" s="248"/>
    </row>
    <row r="746" spans="1:17" ht="15.75" hidden="1" customHeight="1">
      <c r="A746" s="274"/>
      <c r="B746" s="212"/>
      <c r="C746" s="202" t="e">
        <f>#REF!</f>
        <v>#REF!</v>
      </c>
      <c r="D746" s="202"/>
      <c r="E746" s="214"/>
      <c r="F746" s="202"/>
      <c r="G746" s="234" t="e">
        <f>Backlog[[#This Row],[OP]]</f>
        <v>#VALUE!</v>
      </c>
      <c r="H746" s="202"/>
      <c r="I746" s="316" t="e">
        <f>IF(Backlog[[#This Row],[Fecha Requerida en Producción]]="","",Backlog[[#This Row],[Fecha Requerida en Producción]])</f>
        <v>#VALUE!</v>
      </c>
      <c r="J746" s="207"/>
      <c r="K746" s="207"/>
      <c r="L746" s="207"/>
      <c r="M746" s="207"/>
      <c r="N746" s="248"/>
      <c r="O746" s="248"/>
      <c r="P746" s="248"/>
      <c r="Q746" s="248"/>
    </row>
    <row r="747" spans="1:17" ht="15.75" hidden="1" customHeight="1">
      <c r="A747" s="274"/>
      <c r="B747" s="212"/>
      <c r="C747" s="202" t="e">
        <f>#REF!</f>
        <v>#REF!</v>
      </c>
      <c r="D747" s="202"/>
      <c r="E747" s="214"/>
      <c r="F747" s="202"/>
      <c r="G747" s="234" t="e">
        <f>Backlog[[#This Row],[OP]]</f>
        <v>#VALUE!</v>
      </c>
      <c r="H747" s="202"/>
      <c r="I747" s="316" t="e">
        <f>IF(Backlog[[#This Row],[Fecha Requerida en Producción]]="","",Backlog[[#This Row],[Fecha Requerida en Producción]])</f>
        <v>#VALUE!</v>
      </c>
      <c r="J747" s="207"/>
      <c r="K747" s="207"/>
      <c r="L747" s="207"/>
      <c r="M747" s="207"/>
      <c r="N747" s="248"/>
      <c r="O747" s="248"/>
      <c r="P747" s="248"/>
      <c r="Q747" s="248"/>
    </row>
    <row r="748" spans="1:17" ht="15.75" hidden="1" customHeight="1">
      <c r="A748" s="274"/>
      <c r="B748" s="212"/>
      <c r="C748" s="202" t="e">
        <f>#REF!</f>
        <v>#REF!</v>
      </c>
      <c r="D748" s="202"/>
      <c r="E748" s="214"/>
      <c r="F748" s="202"/>
      <c r="G748" s="234" t="e">
        <f>Backlog[[#This Row],[OP]]</f>
        <v>#VALUE!</v>
      </c>
      <c r="H748" s="202"/>
      <c r="I748" s="316" t="e">
        <f>IF(Backlog[[#This Row],[Fecha Requerida en Producción]]="","",Backlog[[#This Row],[Fecha Requerida en Producción]])</f>
        <v>#VALUE!</v>
      </c>
      <c r="J748" s="207"/>
      <c r="K748" s="207"/>
      <c r="L748" s="207"/>
      <c r="M748" s="207"/>
      <c r="N748" s="248"/>
      <c r="O748" s="248"/>
      <c r="P748" s="248"/>
      <c r="Q748" s="248"/>
    </row>
    <row r="749" spans="1:17" ht="15.75" hidden="1" customHeight="1">
      <c r="A749" s="274"/>
      <c r="B749" s="212"/>
      <c r="C749" s="202" t="e">
        <f>#REF!</f>
        <v>#REF!</v>
      </c>
      <c r="D749" s="202"/>
      <c r="E749" s="214"/>
      <c r="F749" s="202"/>
      <c r="G749" s="234" t="e">
        <f>Backlog[[#This Row],[OP]]</f>
        <v>#VALUE!</v>
      </c>
      <c r="H749" s="202"/>
      <c r="I749" s="316" t="e">
        <f>IF(Backlog[[#This Row],[Fecha Requerida en Producción]]="","",Backlog[[#This Row],[Fecha Requerida en Producción]])</f>
        <v>#VALUE!</v>
      </c>
      <c r="J749" s="207"/>
      <c r="K749" s="207"/>
      <c r="L749" s="207"/>
      <c r="M749" s="207"/>
      <c r="N749" s="248"/>
      <c r="O749" s="248"/>
      <c r="P749" s="248"/>
      <c r="Q749" s="248"/>
    </row>
    <row r="750" spans="1:17" ht="15.75" hidden="1" customHeight="1">
      <c r="A750" s="274"/>
      <c r="B750" s="212"/>
      <c r="C750" s="202" t="e">
        <f>#REF!</f>
        <v>#REF!</v>
      </c>
      <c r="D750" s="202"/>
      <c r="E750" s="214"/>
      <c r="F750" s="202"/>
      <c r="G750" s="234" t="e">
        <f>Backlog[[#This Row],[OP]]</f>
        <v>#VALUE!</v>
      </c>
      <c r="H750" s="202"/>
      <c r="I750" s="316" t="e">
        <f>IF(Backlog[[#This Row],[Fecha Requerida en Producción]]="","",Backlog[[#This Row],[Fecha Requerida en Producción]])</f>
        <v>#VALUE!</v>
      </c>
      <c r="J750" s="207"/>
      <c r="K750" s="207"/>
      <c r="L750" s="207"/>
      <c r="M750" s="207"/>
      <c r="N750" s="248"/>
      <c r="O750" s="248"/>
      <c r="P750" s="248"/>
      <c r="Q750" s="248"/>
    </row>
    <row r="751" spans="1:17" ht="15.75" hidden="1" customHeight="1">
      <c r="A751" s="274"/>
      <c r="B751" s="212"/>
      <c r="C751" s="202" t="e">
        <f>#REF!</f>
        <v>#REF!</v>
      </c>
      <c r="D751" s="202"/>
      <c r="E751" s="214"/>
      <c r="F751" s="202"/>
      <c r="G751" s="234" t="e">
        <f>Backlog[[#This Row],[OP]]</f>
        <v>#VALUE!</v>
      </c>
      <c r="H751" s="202"/>
      <c r="I751" s="316" t="e">
        <f>IF(Backlog[[#This Row],[Fecha Requerida en Producción]]="","",Backlog[[#This Row],[Fecha Requerida en Producción]])</f>
        <v>#VALUE!</v>
      </c>
      <c r="J751" s="207"/>
      <c r="K751" s="207"/>
      <c r="L751" s="207"/>
      <c r="M751" s="207"/>
      <c r="N751" s="248"/>
      <c r="O751" s="248"/>
      <c r="P751" s="248"/>
      <c r="Q751" s="248"/>
    </row>
    <row r="752" spans="1:17" ht="15.75" hidden="1" customHeight="1">
      <c r="A752" s="274"/>
      <c r="B752" s="212"/>
      <c r="C752" s="202" t="e">
        <f>#REF!</f>
        <v>#REF!</v>
      </c>
      <c r="D752" s="202"/>
      <c r="E752" s="214"/>
      <c r="F752" s="202"/>
      <c r="G752" s="234" t="e">
        <f>Backlog[[#This Row],[OP]]</f>
        <v>#VALUE!</v>
      </c>
      <c r="H752" s="202"/>
      <c r="I752" s="316" t="e">
        <f>IF(Backlog[[#This Row],[Fecha Requerida en Producción]]="","",Backlog[[#This Row],[Fecha Requerida en Producción]])</f>
        <v>#VALUE!</v>
      </c>
      <c r="J752" s="207"/>
      <c r="K752" s="207"/>
      <c r="L752" s="207"/>
      <c r="M752" s="207"/>
      <c r="N752" s="248"/>
      <c r="O752" s="248"/>
      <c r="P752" s="248"/>
      <c r="Q752" s="248"/>
    </row>
    <row r="753" spans="1:17" ht="15.75" hidden="1" customHeight="1">
      <c r="A753" s="274"/>
      <c r="B753" s="212"/>
      <c r="C753" s="202" t="e">
        <f>#REF!</f>
        <v>#REF!</v>
      </c>
      <c r="D753" s="202"/>
      <c r="E753" s="214"/>
      <c r="F753" s="202"/>
      <c r="G753" s="234" t="e">
        <f>Backlog[[#This Row],[OP]]</f>
        <v>#VALUE!</v>
      </c>
      <c r="H753" s="202"/>
      <c r="I753" s="316" t="e">
        <f>IF(Backlog[[#This Row],[Fecha Requerida en Producción]]="","",Backlog[[#This Row],[Fecha Requerida en Producción]])</f>
        <v>#VALUE!</v>
      </c>
      <c r="J753" s="207"/>
      <c r="K753" s="207"/>
      <c r="L753" s="207"/>
      <c r="M753" s="207"/>
      <c r="N753" s="248"/>
      <c r="O753" s="248"/>
      <c r="P753" s="248"/>
      <c r="Q753" s="248"/>
    </row>
    <row r="754" spans="1:17" ht="15.75" hidden="1" customHeight="1">
      <c r="A754" s="274"/>
      <c r="B754" s="212"/>
      <c r="C754" s="202" t="e">
        <f>#REF!</f>
        <v>#REF!</v>
      </c>
      <c r="D754" s="202"/>
      <c r="E754" s="214"/>
      <c r="F754" s="202"/>
      <c r="G754" s="234" t="e">
        <f>Backlog[[#This Row],[OP]]</f>
        <v>#VALUE!</v>
      </c>
      <c r="H754" s="202"/>
      <c r="I754" s="316" t="e">
        <f>IF(Backlog[[#This Row],[Fecha Requerida en Producción]]="","",Backlog[[#This Row],[Fecha Requerida en Producción]])</f>
        <v>#VALUE!</v>
      </c>
      <c r="J754" s="207"/>
      <c r="K754" s="207"/>
      <c r="L754" s="207"/>
      <c r="M754" s="207"/>
      <c r="N754" s="248"/>
      <c r="O754" s="248"/>
      <c r="P754" s="248"/>
      <c r="Q754" s="248"/>
    </row>
    <row r="755" spans="1:17" ht="15.75" hidden="1" customHeight="1">
      <c r="A755" s="274"/>
      <c r="B755" s="212"/>
      <c r="C755" s="202" t="e">
        <f>#REF!</f>
        <v>#REF!</v>
      </c>
      <c r="D755" s="202"/>
      <c r="E755" s="214"/>
      <c r="F755" s="202"/>
      <c r="G755" s="234" t="e">
        <f>Backlog[[#This Row],[OP]]</f>
        <v>#VALUE!</v>
      </c>
      <c r="H755" s="202"/>
      <c r="I755" s="316" t="e">
        <f>IF(Backlog[[#This Row],[Fecha Requerida en Producción]]="","",Backlog[[#This Row],[Fecha Requerida en Producción]])</f>
        <v>#VALUE!</v>
      </c>
      <c r="J755" s="207"/>
      <c r="K755" s="207"/>
      <c r="L755" s="207"/>
      <c r="M755" s="207"/>
      <c r="N755" s="248"/>
      <c r="O755" s="248"/>
      <c r="P755" s="248"/>
      <c r="Q755" s="248"/>
    </row>
    <row r="756" spans="1:17" ht="15.75" hidden="1" customHeight="1">
      <c r="A756" s="274"/>
      <c r="B756" s="212"/>
      <c r="C756" s="202" t="e">
        <f>#REF!</f>
        <v>#REF!</v>
      </c>
      <c r="D756" s="202"/>
      <c r="E756" s="214"/>
      <c r="F756" s="202"/>
      <c r="G756" s="234" t="e">
        <f>Backlog[[#This Row],[OP]]</f>
        <v>#VALUE!</v>
      </c>
      <c r="H756" s="202"/>
      <c r="I756" s="316" t="e">
        <f>IF(Backlog[[#This Row],[Fecha Requerida en Producción]]="","",Backlog[[#This Row],[Fecha Requerida en Producción]])</f>
        <v>#VALUE!</v>
      </c>
      <c r="J756" s="207"/>
      <c r="K756" s="207"/>
      <c r="L756" s="207"/>
      <c r="M756" s="207"/>
      <c r="N756" s="248"/>
      <c r="O756" s="248"/>
      <c r="P756" s="248"/>
      <c r="Q756" s="248"/>
    </row>
    <row r="757" spans="1:17" ht="15.75" hidden="1" customHeight="1">
      <c r="A757" s="274"/>
      <c r="B757" s="212"/>
      <c r="C757" s="202" t="e">
        <f>#REF!</f>
        <v>#REF!</v>
      </c>
      <c r="D757" s="202"/>
      <c r="E757" s="214"/>
      <c r="F757" s="202"/>
      <c r="G757" s="234" t="e">
        <f>Backlog[[#This Row],[OP]]</f>
        <v>#VALUE!</v>
      </c>
      <c r="H757" s="202"/>
      <c r="I757" s="316" t="e">
        <f>IF(Backlog[[#This Row],[Fecha Requerida en Producción]]="","",Backlog[[#This Row],[Fecha Requerida en Producción]])</f>
        <v>#VALUE!</v>
      </c>
      <c r="J757" s="207"/>
      <c r="K757" s="207"/>
      <c r="L757" s="207"/>
      <c r="M757" s="207"/>
      <c r="N757" s="248"/>
      <c r="O757" s="248"/>
      <c r="P757" s="248"/>
      <c r="Q757" s="248"/>
    </row>
    <row r="758" spans="1:17" ht="15.75" hidden="1" customHeight="1">
      <c r="A758" s="274"/>
      <c r="B758" s="212"/>
      <c r="C758" s="202" t="e">
        <f>#REF!</f>
        <v>#REF!</v>
      </c>
      <c r="D758" s="202"/>
      <c r="E758" s="214"/>
      <c r="F758" s="202"/>
      <c r="G758" s="234" t="e">
        <f>Backlog[[#This Row],[OP]]</f>
        <v>#VALUE!</v>
      </c>
      <c r="H758" s="202"/>
      <c r="I758" s="316" t="e">
        <f>IF(Backlog[[#This Row],[Fecha Requerida en Producción]]="","",Backlog[[#This Row],[Fecha Requerida en Producción]])</f>
        <v>#VALUE!</v>
      </c>
      <c r="J758" s="207"/>
      <c r="K758" s="207"/>
      <c r="L758" s="207"/>
      <c r="M758" s="207"/>
      <c r="N758" s="248"/>
      <c r="O758" s="248"/>
      <c r="P758" s="248"/>
      <c r="Q758" s="248"/>
    </row>
    <row r="759" spans="1:17" ht="15.75" hidden="1" customHeight="1">
      <c r="A759" s="274"/>
      <c r="B759" s="212"/>
      <c r="C759" s="202" t="e">
        <f>#REF!</f>
        <v>#REF!</v>
      </c>
      <c r="D759" s="202"/>
      <c r="E759" s="214"/>
      <c r="F759" s="202"/>
      <c r="G759" s="234" t="e">
        <f>Backlog[[#This Row],[OP]]</f>
        <v>#VALUE!</v>
      </c>
      <c r="H759" s="202"/>
      <c r="I759" s="316" t="e">
        <f>IF(Backlog[[#This Row],[Fecha Requerida en Producción]]="","",Backlog[[#This Row],[Fecha Requerida en Producción]])</f>
        <v>#VALUE!</v>
      </c>
      <c r="J759" s="207"/>
      <c r="K759" s="207"/>
      <c r="L759" s="207"/>
      <c r="M759" s="207"/>
      <c r="N759" s="248"/>
      <c r="O759" s="248"/>
      <c r="P759" s="248"/>
      <c r="Q759" s="248"/>
    </row>
    <row r="760" spans="1:17" ht="15.75" hidden="1" customHeight="1">
      <c r="A760" s="274"/>
      <c r="B760" s="212"/>
      <c r="C760" s="202" t="e">
        <f>#REF!</f>
        <v>#REF!</v>
      </c>
      <c r="D760" s="202"/>
      <c r="E760" s="214"/>
      <c r="F760" s="202"/>
      <c r="G760" s="234" t="e">
        <f>Backlog[[#This Row],[OP]]</f>
        <v>#VALUE!</v>
      </c>
      <c r="H760" s="202"/>
      <c r="I760" s="316" t="e">
        <f>IF(Backlog[[#This Row],[Fecha Requerida en Producción]]="","",Backlog[[#This Row],[Fecha Requerida en Producción]])</f>
        <v>#VALUE!</v>
      </c>
      <c r="J760" s="207"/>
      <c r="K760" s="207"/>
      <c r="L760" s="207"/>
      <c r="M760" s="207"/>
      <c r="N760" s="248"/>
      <c r="O760" s="248"/>
      <c r="P760" s="248"/>
      <c r="Q760" s="248"/>
    </row>
    <row r="761" spans="1:17" ht="15.75" hidden="1" customHeight="1">
      <c r="A761" s="274"/>
      <c r="B761" s="212"/>
      <c r="C761" s="202" t="e">
        <f>#REF!</f>
        <v>#REF!</v>
      </c>
      <c r="D761" s="202"/>
      <c r="E761" s="214"/>
      <c r="F761" s="202"/>
      <c r="G761" s="234" t="e">
        <f>Backlog[[#This Row],[OP]]</f>
        <v>#VALUE!</v>
      </c>
      <c r="H761" s="202"/>
      <c r="I761" s="316" t="e">
        <f>IF(Backlog[[#This Row],[Fecha Requerida en Producción]]="","",Backlog[[#This Row],[Fecha Requerida en Producción]])</f>
        <v>#VALUE!</v>
      </c>
      <c r="J761" s="207"/>
      <c r="K761" s="207"/>
      <c r="L761" s="207"/>
      <c r="M761" s="207"/>
      <c r="N761" s="248"/>
      <c r="O761" s="248"/>
      <c r="P761" s="248"/>
      <c r="Q761" s="248"/>
    </row>
    <row r="762" spans="1:17" ht="15.75" hidden="1" customHeight="1">
      <c r="A762" s="274"/>
      <c r="B762" s="212"/>
      <c r="C762" s="202" t="e">
        <f>#REF!</f>
        <v>#REF!</v>
      </c>
      <c r="D762" s="202"/>
      <c r="E762" s="214"/>
      <c r="F762" s="202"/>
      <c r="G762" s="234" t="e">
        <f>Backlog[[#This Row],[OP]]</f>
        <v>#VALUE!</v>
      </c>
      <c r="H762" s="202"/>
      <c r="I762" s="316" t="e">
        <f>IF(Backlog[[#This Row],[Fecha Requerida en Producción]]="","",Backlog[[#This Row],[Fecha Requerida en Producción]])</f>
        <v>#VALUE!</v>
      </c>
      <c r="J762" s="207"/>
      <c r="K762" s="207"/>
      <c r="L762" s="207"/>
      <c r="M762" s="207"/>
      <c r="N762" s="248"/>
      <c r="O762" s="248"/>
      <c r="P762" s="248"/>
      <c r="Q762" s="248"/>
    </row>
    <row r="763" spans="1:17" ht="15.75" hidden="1" customHeight="1">
      <c r="A763" s="274"/>
      <c r="B763" s="212"/>
      <c r="C763" s="202" t="e">
        <f>#REF!</f>
        <v>#REF!</v>
      </c>
      <c r="D763" s="202"/>
      <c r="E763" s="214"/>
      <c r="F763" s="202"/>
      <c r="G763" s="234" t="e">
        <f>Backlog[[#This Row],[OP]]</f>
        <v>#VALUE!</v>
      </c>
      <c r="H763" s="202"/>
      <c r="I763" s="316" t="e">
        <f>IF(Backlog[[#This Row],[Fecha Requerida en Producción]]="","",Backlog[[#This Row],[Fecha Requerida en Producción]])</f>
        <v>#VALUE!</v>
      </c>
      <c r="J763" s="207"/>
      <c r="K763" s="207"/>
      <c r="L763" s="207"/>
      <c r="M763" s="207"/>
      <c r="N763" s="248"/>
      <c r="O763" s="248"/>
      <c r="P763" s="248"/>
      <c r="Q763" s="248"/>
    </row>
    <row r="764" spans="1:17" ht="15.75" hidden="1" customHeight="1">
      <c r="A764" s="274"/>
      <c r="B764" s="212"/>
      <c r="C764" s="202" t="e">
        <f>#REF!</f>
        <v>#REF!</v>
      </c>
      <c r="D764" s="202"/>
      <c r="E764" s="214"/>
      <c r="F764" s="202"/>
      <c r="G764" s="234" t="e">
        <f>Backlog[[#This Row],[OP]]</f>
        <v>#VALUE!</v>
      </c>
      <c r="H764" s="202"/>
      <c r="I764" s="316" t="e">
        <f>IF(Backlog[[#This Row],[Fecha Requerida en Producción]]="","",Backlog[[#This Row],[Fecha Requerida en Producción]])</f>
        <v>#VALUE!</v>
      </c>
      <c r="J764" s="207"/>
      <c r="K764" s="207"/>
      <c r="L764" s="207"/>
      <c r="M764" s="207"/>
      <c r="N764" s="248"/>
      <c r="O764" s="248"/>
      <c r="P764" s="248"/>
      <c r="Q764" s="248"/>
    </row>
    <row r="765" spans="1:17" ht="15.75" hidden="1" customHeight="1">
      <c r="A765" s="274"/>
      <c r="B765" s="212"/>
      <c r="C765" s="202" t="e">
        <f>#REF!</f>
        <v>#REF!</v>
      </c>
      <c r="D765" s="202"/>
      <c r="E765" s="214"/>
      <c r="F765" s="202"/>
      <c r="G765" s="234" t="e">
        <f>Backlog[[#This Row],[OP]]</f>
        <v>#VALUE!</v>
      </c>
      <c r="H765" s="202"/>
      <c r="I765" s="316" t="e">
        <f>IF(Backlog[[#This Row],[Fecha Requerida en Producción]]="","",Backlog[[#This Row],[Fecha Requerida en Producción]])</f>
        <v>#VALUE!</v>
      </c>
      <c r="J765" s="207"/>
      <c r="K765" s="207"/>
      <c r="L765" s="207"/>
      <c r="M765" s="207"/>
      <c r="N765" s="248"/>
      <c r="O765" s="248"/>
      <c r="P765" s="248"/>
      <c r="Q765" s="248"/>
    </row>
    <row r="766" spans="1:17" ht="15.75" hidden="1" customHeight="1">
      <c r="A766" s="274"/>
      <c r="B766" s="212"/>
      <c r="C766" s="202" t="e">
        <f>#REF!</f>
        <v>#REF!</v>
      </c>
      <c r="D766" s="202"/>
      <c r="E766" s="214"/>
      <c r="F766" s="202"/>
      <c r="G766" s="234" t="e">
        <f>Backlog[[#This Row],[OP]]</f>
        <v>#VALUE!</v>
      </c>
      <c r="H766" s="202"/>
      <c r="I766" s="316" t="e">
        <f>IF(Backlog[[#This Row],[Fecha Requerida en Producción]]="","",Backlog[[#This Row],[Fecha Requerida en Producción]])</f>
        <v>#VALUE!</v>
      </c>
      <c r="J766" s="207"/>
      <c r="K766" s="207"/>
      <c r="L766" s="207"/>
      <c r="M766" s="207"/>
      <c r="N766" s="248"/>
      <c r="O766" s="248"/>
      <c r="P766" s="248"/>
      <c r="Q766" s="248"/>
    </row>
    <row r="767" spans="1:17" ht="15.75" hidden="1" customHeight="1">
      <c r="A767" s="274"/>
      <c r="B767" s="212"/>
      <c r="C767" s="202" t="e">
        <f>#REF!</f>
        <v>#REF!</v>
      </c>
      <c r="D767" s="202"/>
      <c r="E767" s="214"/>
      <c r="F767" s="202"/>
      <c r="G767" s="234" t="e">
        <f>Backlog[[#This Row],[OP]]</f>
        <v>#VALUE!</v>
      </c>
      <c r="H767" s="202"/>
      <c r="I767" s="316" t="e">
        <f>IF(Backlog[[#This Row],[Fecha Requerida en Producción]]="","",Backlog[[#This Row],[Fecha Requerida en Producción]])</f>
        <v>#VALUE!</v>
      </c>
      <c r="J767" s="207"/>
      <c r="K767" s="207"/>
      <c r="L767" s="207"/>
      <c r="M767" s="207"/>
      <c r="N767" s="248"/>
      <c r="O767" s="248"/>
      <c r="P767" s="248"/>
      <c r="Q767" s="248"/>
    </row>
    <row r="768" spans="1:17" ht="15.75" hidden="1" customHeight="1">
      <c r="A768" s="274"/>
      <c r="B768" s="212"/>
      <c r="C768" s="202" t="e">
        <f>#REF!</f>
        <v>#REF!</v>
      </c>
      <c r="D768" s="202"/>
      <c r="E768" s="214"/>
      <c r="F768" s="202"/>
      <c r="G768" s="234" t="e">
        <f>Backlog[[#This Row],[OP]]</f>
        <v>#VALUE!</v>
      </c>
      <c r="H768" s="202"/>
      <c r="I768" s="316" t="e">
        <f>IF(Backlog[[#This Row],[Fecha Requerida en Producción]]="","",Backlog[[#This Row],[Fecha Requerida en Producción]])</f>
        <v>#VALUE!</v>
      </c>
      <c r="J768" s="207"/>
      <c r="K768" s="207"/>
      <c r="L768" s="207"/>
      <c r="M768" s="207"/>
      <c r="N768" s="248"/>
      <c r="O768" s="248"/>
      <c r="P768" s="248"/>
      <c r="Q768" s="248"/>
    </row>
    <row r="769" spans="1:17" ht="15.75" hidden="1" customHeight="1">
      <c r="A769" s="274"/>
      <c r="B769" s="212"/>
      <c r="C769" s="202" t="e">
        <f>#REF!</f>
        <v>#REF!</v>
      </c>
      <c r="D769" s="202"/>
      <c r="E769" s="214"/>
      <c r="F769" s="202"/>
      <c r="G769" s="234" t="e">
        <f>Backlog[[#This Row],[OP]]</f>
        <v>#VALUE!</v>
      </c>
      <c r="H769" s="202"/>
      <c r="I769" s="316" t="e">
        <f>IF(Backlog[[#This Row],[Fecha Requerida en Producción]]="","",Backlog[[#This Row],[Fecha Requerida en Producción]])</f>
        <v>#VALUE!</v>
      </c>
      <c r="J769" s="207"/>
      <c r="K769" s="207"/>
      <c r="L769" s="207"/>
      <c r="M769" s="207"/>
      <c r="N769" s="248"/>
      <c r="O769" s="248"/>
      <c r="P769" s="248"/>
      <c r="Q769" s="248"/>
    </row>
    <row r="770" spans="1:17" ht="15.75" hidden="1" customHeight="1">
      <c r="A770" s="274"/>
      <c r="B770" s="212"/>
      <c r="C770" s="202" t="e">
        <f>#REF!</f>
        <v>#REF!</v>
      </c>
      <c r="D770" s="202"/>
      <c r="E770" s="214"/>
      <c r="F770" s="202"/>
      <c r="G770" s="234" t="e">
        <f>Backlog[[#This Row],[OP]]</f>
        <v>#VALUE!</v>
      </c>
      <c r="H770" s="202"/>
      <c r="I770" s="316" t="e">
        <f>IF(Backlog[[#This Row],[Fecha Requerida en Producción]]="","",Backlog[[#This Row],[Fecha Requerida en Producción]])</f>
        <v>#VALUE!</v>
      </c>
      <c r="J770" s="207"/>
      <c r="K770" s="207"/>
      <c r="L770" s="207"/>
      <c r="M770" s="207"/>
      <c r="N770" s="248"/>
      <c r="O770" s="248"/>
      <c r="P770" s="248"/>
      <c r="Q770" s="248"/>
    </row>
    <row r="771" spans="1:17" ht="15.75" hidden="1" customHeight="1">
      <c r="A771" s="274"/>
      <c r="B771" s="212"/>
      <c r="C771" s="202" t="e">
        <f>#REF!</f>
        <v>#REF!</v>
      </c>
      <c r="D771" s="202"/>
      <c r="E771" s="214"/>
      <c r="F771" s="202"/>
      <c r="G771" s="234" t="e">
        <f>Backlog[[#This Row],[OP]]</f>
        <v>#VALUE!</v>
      </c>
      <c r="H771" s="202"/>
      <c r="I771" s="316" t="e">
        <f>IF(Backlog[[#This Row],[Fecha Requerida en Producción]]="","",Backlog[[#This Row],[Fecha Requerida en Producción]])</f>
        <v>#VALUE!</v>
      </c>
      <c r="J771" s="207"/>
      <c r="K771" s="207"/>
      <c r="L771" s="207"/>
      <c r="M771" s="207"/>
      <c r="N771" s="248"/>
      <c r="O771" s="248"/>
      <c r="P771" s="248"/>
      <c r="Q771" s="248"/>
    </row>
    <row r="772" spans="1:17" ht="15.75" hidden="1" customHeight="1">
      <c r="A772" s="274"/>
      <c r="B772" s="212"/>
      <c r="C772" s="202" t="e">
        <f>#REF!</f>
        <v>#REF!</v>
      </c>
      <c r="D772" s="202"/>
      <c r="E772" s="214"/>
      <c r="F772" s="202"/>
      <c r="G772" s="234" t="e">
        <f>Backlog[[#This Row],[OP]]</f>
        <v>#VALUE!</v>
      </c>
      <c r="H772" s="202"/>
      <c r="I772" s="316" t="e">
        <f>IF(Backlog[[#This Row],[Fecha Requerida en Producción]]="","",Backlog[[#This Row],[Fecha Requerida en Producción]])</f>
        <v>#VALUE!</v>
      </c>
      <c r="J772" s="207"/>
      <c r="K772" s="207"/>
      <c r="L772" s="207"/>
      <c r="M772" s="207"/>
      <c r="N772" s="248"/>
      <c r="O772" s="248"/>
      <c r="P772" s="248"/>
      <c r="Q772" s="248"/>
    </row>
    <row r="773" spans="1:17" ht="15.75" hidden="1" customHeight="1">
      <c r="A773" s="274"/>
      <c r="B773" s="212"/>
      <c r="C773" s="202" t="e">
        <f>#REF!</f>
        <v>#REF!</v>
      </c>
      <c r="D773" s="202"/>
      <c r="E773" s="214"/>
      <c r="F773" s="202"/>
      <c r="G773" s="234" t="e">
        <f>Backlog[[#This Row],[OP]]</f>
        <v>#VALUE!</v>
      </c>
      <c r="H773" s="202"/>
      <c r="I773" s="316" t="e">
        <f>IF(Backlog[[#This Row],[Fecha Requerida en Producción]]="","",Backlog[[#This Row],[Fecha Requerida en Producción]])</f>
        <v>#VALUE!</v>
      </c>
      <c r="J773" s="207"/>
      <c r="K773" s="207"/>
      <c r="L773" s="207"/>
      <c r="M773" s="207"/>
      <c r="N773" s="248"/>
      <c r="O773" s="248"/>
      <c r="P773" s="248"/>
      <c r="Q773" s="248"/>
    </row>
    <row r="774" spans="1:17" ht="15.75" hidden="1" customHeight="1">
      <c r="A774" s="274"/>
      <c r="B774" s="212"/>
      <c r="C774" s="202" t="e">
        <f>#REF!</f>
        <v>#REF!</v>
      </c>
      <c r="D774" s="202"/>
      <c r="E774" s="214"/>
      <c r="F774" s="202"/>
      <c r="G774" s="234" t="e">
        <f>Backlog[[#This Row],[OP]]</f>
        <v>#VALUE!</v>
      </c>
      <c r="H774" s="202"/>
      <c r="I774" s="316" t="e">
        <f>IF(Backlog[[#This Row],[Fecha Requerida en Producción]]="","",Backlog[[#This Row],[Fecha Requerida en Producción]])</f>
        <v>#VALUE!</v>
      </c>
      <c r="J774" s="207"/>
      <c r="K774" s="207"/>
      <c r="L774" s="207"/>
      <c r="M774" s="207"/>
      <c r="N774" s="248"/>
      <c r="O774" s="248"/>
      <c r="P774" s="248"/>
      <c r="Q774" s="248"/>
    </row>
    <row r="775" spans="1:17" ht="15.75" hidden="1" customHeight="1">
      <c r="A775" s="274"/>
      <c r="B775" s="212"/>
      <c r="C775" s="202" t="e">
        <f>#REF!</f>
        <v>#REF!</v>
      </c>
      <c r="D775" s="202"/>
      <c r="E775" s="214"/>
      <c r="F775" s="202"/>
      <c r="G775" s="234" t="e">
        <f>Backlog[[#This Row],[OP]]</f>
        <v>#VALUE!</v>
      </c>
      <c r="H775" s="202"/>
      <c r="I775" s="316" t="e">
        <f>IF(Backlog[[#This Row],[Fecha Requerida en Producción]]="","",Backlog[[#This Row],[Fecha Requerida en Producción]])</f>
        <v>#VALUE!</v>
      </c>
      <c r="J775" s="207"/>
      <c r="K775" s="207"/>
      <c r="L775" s="207"/>
      <c r="M775" s="207"/>
      <c r="N775" s="248"/>
      <c r="O775" s="248"/>
      <c r="P775" s="248"/>
      <c r="Q775" s="248"/>
    </row>
    <row r="776" spans="1:17" ht="15.75" hidden="1" customHeight="1">
      <c r="A776" s="274"/>
      <c r="B776" s="212"/>
      <c r="C776" s="202" t="e">
        <f>#REF!</f>
        <v>#REF!</v>
      </c>
      <c r="D776" s="202"/>
      <c r="E776" s="214"/>
      <c r="F776" s="202"/>
      <c r="G776" s="234" t="e">
        <f>Backlog[[#This Row],[OP]]</f>
        <v>#VALUE!</v>
      </c>
      <c r="H776" s="202"/>
      <c r="I776" s="316" t="e">
        <f>IF(Backlog[[#This Row],[Fecha Requerida en Producción]]="","",Backlog[[#This Row],[Fecha Requerida en Producción]])</f>
        <v>#VALUE!</v>
      </c>
      <c r="J776" s="207"/>
      <c r="K776" s="207"/>
      <c r="L776" s="207"/>
      <c r="M776" s="207"/>
      <c r="N776" s="248"/>
      <c r="O776" s="248"/>
      <c r="P776" s="248"/>
      <c r="Q776" s="248"/>
    </row>
    <row r="777" spans="1:17" ht="15.75" hidden="1" customHeight="1">
      <c r="A777" s="274"/>
      <c r="B777" s="212"/>
      <c r="C777" s="202" t="e">
        <f>#REF!</f>
        <v>#REF!</v>
      </c>
      <c r="D777" s="202"/>
      <c r="E777" s="214"/>
      <c r="F777" s="202"/>
      <c r="G777" s="234" t="e">
        <f>Backlog[[#This Row],[OP]]</f>
        <v>#VALUE!</v>
      </c>
      <c r="H777" s="202"/>
      <c r="I777" s="316" t="e">
        <f>IF(Backlog[[#This Row],[Fecha Requerida en Producción]]="","",Backlog[[#This Row],[Fecha Requerida en Producción]])</f>
        <v>#VALUE!</v>
      </c>
      <c r="J777" s="207"/>
      <c r="K777" s="207"/>
      <c r="L777" s="207"/>
      <c r="M777" s="207"/>
      <c r="N777" s="248"/>
      <c r="O777" s="248"/>
      <c r="P777" s="248"/>
      <c r="Q777" s="248"/>
    </row>
    <row r="778" spans="1:17" ht="15.75" hidden="1" customHeight="1">
      <c r="A778" s="274"/>
      <c r="B778" s="212"/>
      <c r="C778" s="202" t="e">
        <f>#REF!</f>
        <v>#REF!</v>
      </c>
      <c r="D778" s="202"/>
      <c r="E778" s="214"/>
      <c r="F778" s="202"/>
      <c r="G778" s="234" t="e">
        <f>Backlog[[#This Row],[OP]]</f>
        <v>#VALUE!</v>
      </c>
      <c r="H778" s="202"/>
      <c r="I778" s="316" t="e">
        <f>IF(Backlog[[#This Row],[Fecha Requerida en Producción]]="","",Backlog[[#This Row],[Fecha Requerida en Producción]])</f>
        <v>#VALUE!</v>
      </c>
      <c r="J778" s="207"/>
      <c r="K778" s="207"/>
      <c r="L778" s="207"/>
      <c r="M778" s="207"/>
      <c r="N778" s="248"/>
      <c r="O778" s="248"/>
      <c r="P778" s="248"/>
      <c r="Q778" s="248"/>
    </row>
    <row r="779" spans="1:17" ht="15.75" hidden="1" customHeight="1">
      <c r="A779" s="274"/>
      <c r="B779" s="212"/>
      <c r="C779" s="202" t="e">
        <f>#REF!</f>
        <v>#REF!</v>
      </c>
      <c r="D779" s="202"/>
      <c r="E779" s="214"/>
      <c r="F779" s="202"/>
      <c r="G779" s="234" t="e">
        <f>Backlog[[#This Row],[OP]]</f>
        <v>#VALUE!</v>
      </c>
      <c r="H779" s="202"/>
      <c r="I779" s="316" t="e">
        <f>IF(Backlog[[#This Row],[Fecha Requerida en Producción]]="","",Backlog[[#This Row],[Fecha Requerida en Producción]])</f>
        <v>#VALUE!</v>
      </c>
      <c r="J779" s="207"/>
      <c r="K779" s="207"/>
      <c r="L779" s="207"/>
      <c r="M779" s="207"/>
      <c r="N779" s="248"/>
      <c r="O779" s="248"/>
      <c r="P779" s="248"/>
      <c r="Q779" s="248"/>
    </row>
    <row r="780" spans="1:17" ht="15.75" hidden="1" customHeight="1">
      <c r="A780" s="274"/>
      <c r="B780" s="212"/>
      <c r="C780" s="202" t="e">
        <f>#REF!</f>
        <v>#REF!</v>
      </c>
      <c r="D780" s="202"/>
      <c r="E780" s="214"/>
      <c r="F780" s="202"/>
      <c r="G780" s="234" t="e">
        <f>Backlog[[#This Row],[OP]]</f>
        <v>#VALUE!</v>
      </c>
      <c r="H780" s="202"/>
      <c r="I780" s="316" t="e">
        <f>IF(Backlog[[#This Row],[Fecha Requerida en Producción]]="","",Backlog[[#This Row],[Fecha Requerida en Producción]])</f>
        <v>#VALUE!</v>
      </c>
      <c r="J780" s="207"/>
      <c r="K780" s="207"/>
      <c r="L780" s="207"/>
      <c r="M780" s="207"/>
      <c r="N780" s="248"/>
      <c r="O780" s="248"/>
      <c r="P780" s="248"/>
      <c r="Q780" s="248"/>
    </row>
    <row r="781" spans="1:17" ht="15.75" hidden="1" customHeight="1">
      <c r="A781" s="274"/>
      <c r="B781" s="212"/>
      <c r="C781" s="202" t="e">
        <f>#REF!</f>
        <v>#REF!</v>
      </c>
      <c r="D781" s="202"/>
      <c r="E781" s="214"/>
      <c r="F781" s="202"/>
      <c r="G781" s="234" t="e">
        <f>Backlog[[#This Row],[OP]]</f>
        <v>#VALUE!</v>
      </c>
      <c r="H781" s="202"/>
      <c r="I781" s="316" t="e">
        <f>IF(Backlog[[#This Row],[Fecha Requerida en Producción]]="","",Backlog[[#This Row],[Fecha Requerida en Producción]])</f>
        <v>#VALUE!</v>
      </c>
      <c r="J781" s="207"/>
      <c r="K781" s="207"/>
      <c r="L781" s="207"/>
      <c r="M781" s="207"/>
      <c r="N781" s="248"/>
      <c r="O781" s="248"/>
      <c r="P781" s="248"/>
      <c r="Q781" s="248"/>
    </row>
    <row r="782" spans="1:17" ht="15.75" hidden="1" customHeight="1">
      <c r="A782" s="274"/>
      <c r="B782" s="212"/>
      <c r="C782" s="202" t="e">
        <f>#REF!</f>
        <v>#REF!</v>
      </c>
      <c r="D782" s="202"/>
      <c r="E782" s="214"/>
      <c r="F782" s="202"/>
      <c r="G782" s="234" t="e">
        <f>Backlog[[#This Row],[OP]]</f>
        <v>#VALUE!</v>
      </c>
      <c r="H782" s="202"/>
      <c r="I782" s="316" t="e">
        <f>IF(Backlog[[#This Row],[Fecha Requerida en Producción]]="","",Backlog[[#This Row],[Fecha Requerida en Producción]])</f>
        <v>#VALUE!</v>
      </c>
      <c r="J782" s="207"/>
      <c r="K782" s="207"/>
      <c r="L782" s="207"/>
      <c r="M782" s="207"/>
      <c r="N782" s="248"/>
      <c r="O782" s="248"/>
      <c r="P782" s="248"/>
      <c r="Q782" s="248"/>
    </row>
    <row r="783" spans="1:17" ht="15.75" hidden="1" customHeight="1">
      <c r="A783" s="274"/>
      <c r="B783" s="212"/>
      <c r="C783" s="202" t="e">
        <f>#REF!</f>
        <v>#REF!</v>
      </c>
      <c r="D783" s="202"/>
      <c r="E783" s="214"/>
      <c r="F783" s="202"/>
      <c r="G783" s="234" t="e">
        <f>Backlog[[#This Row],[OP]]</f>
        <v>#VALUE!</v>
      </c>
      <c r="H783" s="202"/>
      <c r="I783" s="316" t="e">
        <f>IF(Backlog[[#This Row],[Fecha Requerida en Producción]]="","",Backlog[[#This Row],[Fecha Requerida en Producción]])</f>
        <v>#VALUE!</v>
      </c>
      <c r="J783" s="207"/>
      <c r="K783" s="207"/>
      <c r="L783" s="207"/>
      <c r="M783" s="207"/>
      <c r="N783" s="248"/>
      <c r="O783" s="248"/>
      <c r="P783" s="248"/>
      <c r="Q783" s="248"/>
    </row>
    <row r="784" spans="1:17" ht="15.75" hidden="1" customHeight="1">
      <c r="A784" s="274"/>
      <c r="B784" s="212"/>
      <c r="C784" s="202" t="e">
        <f>#REF!</f>
        <v>#REF!</v>
      </c>
      <c r="D784" s="202"/>
      <c r="E784" s="214"/>
      <c r="F784" s="202"/>
      <c r="G784" s="234" t="e">
        <f>Backlog[[#This Row],[OP]]</f>
        <v>#VALUE!</v>
      </c>
      <c r="H784" s="202"/>
      <c r="I784" s="316" t="e">
        <f>IF(Backlog[[#This Row],[Fecha Requerida en Producción]]="","",Backlog[[#This Row],[Fecha Requerida en Producción]])</f>
        <v>#VALUE!</v>
      </c>
      <c r="J784" s="207"/>
      <c r="K784" s="207"/>
      <c r="L784" s="207"/>
      <c r="M784" s="207"/>
      <c r="N784" s="248"/>
      <c r="O784" s="248"/>
      <c r="P784" s="248"/>
      <c r="Q784" s="248"/>
    </row>
    <row r="785" spans="1:17" ht="15.75" hidden="1" customHeight="1">
      <c r="A785" s="274"/>
      <c r="B785" s="212"/>
      <c r="C785" s="202" t="e">
        <f>#REF!</f>
        <v>#REF!</v>
      </c>
      <c r="D785" s="202"/>
      <c r="E785" s="214"/>
      <c r="F785" s="202"/>
      <c r="G785" s="234" t="e">
        <f>Backlog[[#This Row],[OP]]</f>
        <v>#VALUE!</v>
      </c>
      <c r="H785" s="202"/>
      <c r="I785" s="316" t="e">
        <f>IF(Backlog[[#This Row],[Fecha Requerida en Producción]]="","",Backlog[[#This Row],[Fecha Requerida en Producción]])</f>
        <v>#VALUE!</v>
      </c>
      <c r="J785" s="207"/>
      <c r="K785" s="207"/>
      <c r="L785" s="207"/>
      <c r="M785" s="207"/>
      <c r="N785" s="248"/>
      <c r="O785" s="248"/>
      <c r="P785" s="248"/>
      <c r="Q785" s="248"/>
    </row>
    <row r="786" spans="1:17" ht="15.75" hidden="1" customHeight="1">
      <c r="A786" s="274"/>
      <c r="B786" s="212"/>
      <c r="C786" s="202" t="e">
        <f>#REF!</f>
        <v>#REF!</v>
      </c>
      <c r="D786" s="202"/>
      <c r="E786" s="214"/>
      <c r="F786" s="202"/>
      <c r="G786" s="234" t="e">
        <f>Backlog[[#This Row],[OP]]</f>
        <v>#VALUE!</v>
      </c>
      <c r="H786" s="202"/>
      <c r="I786" s="316" t="e">
        <f>IF(Backlog[[#This Row],[Fecha Requerida en Producción]]="","",Backlog[[#This Row],[Fecha Requerida en Producción]])</f>
        <v>#VALUE!</v>
      </c>
      <c r="J786" s="207"/>
      <c r="K786" s="207"/>
      <c r="L786" s="207"/>
      <c r="M786" s="207"/>
      <c r="N786" s="248"/>
      <c r="O786" s="248"/>
      <c r="P786" s="248"/>
      <c r="Q786" s="248"/>
    </row>
    <row r="787" spans="1:17" ht="15.75" hidden="1" customHeight="1">
      <c r="A787" s="274"/>
      <c r="B787" s="212"/>
      <c r="C787" s="202" t="e">
        <f>#REF!</f>
        <v>#REF!</v>
      </c>
      <c r="D787" s="202"/>
      <c r="E787" s="214"/>
      <c r="F787" s="202"/>
      <c r="G787" s="234" t="e">
        <f>Backlog[[#This Row],[OP]]</f>
        <v>#VALUE!</v>
      </c>
      <c r="H787" s="202"/>
      <c r="I787" s="316" t="e">
        <f>IF(Backlog[[#This Row],[Fecha Requerida en Producción]]="","",Backlog[[#This Row],[Fecha Requerida en Producción]])</f>
        <v>#VALUE!</v>
      </c>
      <c r="J787" s="207"/>
      <c r="K787" s="207"/>
      <c r="L787" s="207"/>
      <c r="M787" s="207"/>
      <c r="N787" s="248"/>
      <c r="O787" s="248"/>
      <c r="P787" s="248"/>
      <c r="Q787" s="248"/>
    </row>
    <row r="788" spans="1:17" ht="15.75" hidden="1" customHeight="1">
      <c r="A788" s="274"/>
      <c r="B788" s="212"/>
      <c r="C788" s="202" t="e">
        <f>#REF!</f>
        <v>#REF!</v>
      </c>
      <c r="D788" s="202"/>
      <c r="E788" s="214"/>
      <c r="F788" s="202"/>
      <c r="G788" s="234" t="e">
        <f>Backlog[[#This Row],[OP]]</f>
        <v>#VALUE!</v>
      </c>
      <c r="H788" s="202"/>
      <c r="I788" s="316" t="e">
        <f>IF(Backlog[[#This Row],[Fecha Requerida en Producción]]="","",Backlog[[#This Row],[Fecha Requerida en Producción]])</f>
        <v>#VALUE!</v>
      </c>
      <c r="J788" s="207"/>
      <c r="K788" s="207"/>
      <c r="L788" s="207"/>
      <c r="M788" s="207"/>
      <c r="N788" s="248"/>
      <c r="O788" s="248"/>
      <c r="P788" s="248"/>
      <c r="Q788" s="248"/>
    </row>
    <row r="789" spans="1:17" ht="15.75" hidden="1" customHeight="1">
      <c r="A789" s="274"/>
      <c r="B789" s="212"/>
      <c r="C789" s="202" t="e">
        <f>#REF!</f>
        <v>#REF!</v>
      </c>
      <c r="D789" s="202"/>
      <c r="E789" s="214"/>
      <c r="F789" s="202"/>
      <c r="G789" s="234" t="e">
        <f>Backlog[[#This Row],[OP]]</f>
        <v>#VALUE!</v>
      </c>
      <c r="H789" s="202"/>
      <c r="I789" s="316" t="e">
        <f>IF(Backlog[[#This Row],[Fecha Requerida en Producción]]="","",Backlog[[#This Row],[Fecha Requerida en Producción]])</f>
        <v>#VALUE!</v>
      </c>
      <c r="J789" s="207"/>
      <c r="K789" s="207"/>
      <c r="L789" s="207"/>
      <c r="M789" s="207"/>
      <c r="N789" s="248"/>
      <c r="O789" s="248"/>
      <c r="P789" s="248"/>
      <c r="Q789" s="248"/>
    </row>
    <row r="790" spans="1:17" ht="15.75" hidden="1" customHeight="1">
      <c r="A790" s="274"/>
      <c r="B790" s="212"/>
      <c r="C790" s="202" t="e">
        <f>#REF!</f>
        <v>#REF!</v>
      </c>
      <c r="D790" s="202"/>
      <c r="E790" s="214"/>
      <c r="F790" s="202"/>
      <c r="G790" s="234" t="e">
        <f>Backlog[[#This Row],[OP]]</f>
        <v>#VALUE!</v>
      </c>
      <c r="H790" s="202"/>
      <c r="I790" s="316" t="e">
        <f>IF(Backlog[[#This Row],[Fecha Requerida en Producción]]="","",Backlog[[#This Row],[Fecha Requerida en Producción]])</f>
        <v>#VALUE!</v>
      </c>
      <c r="J790" s="207"/>
      <c r="K790" s="207"/>
      <c r="L790" s="207"/>
      <c r="M790" s="207"/>
      <c r="N790" s="248"/>
      <c r="O790" s="248"/>
      <c r="P790" s="248"/>
      <c r="Q790" s="248"/>
    </row>
    <row r="791" spans="1:17" ht="15.75" hidden="1" customHeight="1">
      <c r="A791" s="274"/>
      <c r="B791" s="212"/>
      <c r="C791" s="202" t="e">
        <f>#REF!</f>
        <v>#REF!</v>
      </c>
      <c r="D791" s="202"/>
      <c r="E791" s="214"/>
      <c r="F791" s="202"/>
      <c r="G791" s="234" t="e">
        <f>Backlog[[#This Row],[OP]]</f>
        <v>#VALUE!</v>
      </c>
      <c r="H791" s="202"/>
      <c r="I791" s="316" t="e">
        <f>IF(Backlog[[#This Row],[Fecha Requerida en Producción]]="","",Backlog[[#This Row],[Fecha Requerida en Producción]])</f>
        <v>#VALUE!</v>
      </c>
      <c r="J791" s="207"/>
      <c r="K791" s="207"/>
      <c r="L791" s="207"/>
      <c r="M791" s="207"/>
      <c r="N791" s="248"/>
      <c r="O791" s="248"/>
      <c r="P791" s="248"/>
      <c r="Q791" s="248"/>
    </row>
    <row r="792" spans="1:17" ht="15.75" hidden="1" customHeight="1">
      <c r="A792" s="274"/>
      <c r="B792" s="212"/>
      <c r="C792" s="202" t="e">
        <f>#REF!</f>
        <v>#REF!</v>
      </c>
      <c r="D792" s="202"/>
      <c r="E792" s="214"/>
      <c r="F792" s="202"/>
      <c r="G792" s="234" t="e">
        <f>Backlog[[#This Row],[OP]]</f>
        <v>#VALUE!</v>
      </c>
      <c r="H792" s="202"/>
      <c r="I792" s="316" t="e">
        <f>IF(Backlog[[#This Row],[Fecha Requerida en Producción]]="","",Backlog[[#This Row],[Fecha Requerida en Producción]])</f>
        <v>#VALUE!</v>
      </c>
      <c r="J792" s="207"/>
      <c r="K792" s="207"/>
      <c r="L792" s="207"/>
      <c r="M792" s="207"/>
      <c r="N792" s="248"/>
      <c r="O792" s="248"/>
      <c r="P792" s="248"/>
      <c r="Q792" s="248"/>
    </row>
    <row r="793" spans="1:17" ht="15.75" hidden="1" customHeight="1">
      <c r="A793" s="274"/>
      <c r="B793" s="212"/>
      <c r="C793" s="202" t="e">
        <f>#REF!</f>
        <v>#REF!</v>
      </c>
      <c r="D793" s="202"/>
      <c r="E793" s="214"/>
      <c r="F793" s="202"/>
      <c r="G793" s="234" t="e">
        <f>Backlog[[#This Row],[OP]]</f>
        <v>#VALUE!</v>
      </c>
      <c r="H793" s="202"/>
      <c r="I793" s="316" t="e">
        <f>IF(Backlog[[#This Row],[Fecha Requerida en Producción]]="","",Backlog[[#This Row],[Fecha Requerida en Producción]])</f>
        <v>#VALUE!</v>
      </c>
      <c r="J793" s="207"/>
      <c r="K793" s="207"/>
      <c r="L793" s="207"/>
      <c r="M793" s="207"/>
      <c r="N793" s="248"/>
      <c r="O793" s="248"/>
      <c r="P793" s="248"/>
      <c r="Q793" s="248"/>
    </row>
    <row r="794" spans="1:17" ht="15.75" hidden="1" customHeight="1">
      <c r="A794" s="274"/>
      <c r="B794" s="212"/>
      <c r="C794" s="202" t="e">
        <f>#REF!</f>
        <v>#REF!</v>
      </c>
      <c r="D794" s="202"/>
      <c r="E794" s="214"/>
      <c r="F794" s="202"/>
      <c r="G794" s="234" t="e">
        <f>Backlog[[#This Row],[OP]]</f>
        <v>#VALUE!</v>
      </c>
      <c r="H794" s="202"/>
      <c r="I794" s="316" t="e">
        <f>IF(Backlog[[#This Row],[Fecha Requerida en Producción]]="","",Backlog[[#This Row],[Fecha Requerida en Producción]])</f>
        <v>#VALUE!</v>
      </c>
      <c r="J794" s="207"/>
      <c r="K794" s="207"/>
      <c r="L794" s="207"/>
      <c r="M794" s="207"/>
      <c r="N794" s="248"/>
      <c r="O794" s="248"/>
      <c r="P794" s="248"/>
      <c r="Q794" s="248"/>
    </row>
    <row r="795" spans="1:17" ht="15.75" hidden="1" customHeight="1">
      <c r="A795" s="274"/>
      <c r="B795" s="212"/>
      <c r="C795" s="202" t="e">
        <f>#REF!</f>
        <v>#REF!</v>
      </c>
      <c r="D795" s="202"/>
      <c r="E795" s="214"/>
      <c r="F795" s="202"/>
      <c r="G795" s="234" t="e">
        <f>Backlog[[#This Row],[OP]]</f>
        <v>#VALUE!</v>
      </c>
      <c r="H795" s="202"/>
      <c r="I795" s="316" t="e">
        <f>IF(Backlog[[#This Row],[Fecha Requerida en Producción]]="","",Backlog[[#This Row],[Fecha Requerida en Producción]])</f>
        <v>#VALUE!</v>
      </c>
      <c r="J795" s="207"/>
      <c r="K795" s="207"/>
      <c r="L795" s="207"/>
      <c r="M795" s="207"/>
      <c r="N795" s="248"/>
      <c r="O795" s="248"/>
      <c r="P795" s="248"/>
      <c r="Q795" s="248"/>
    </row>
    <row r="796" spans="1:17" ht="15.75" hidden="1" customHeight="1">
      <c r="A796" s="274"/>
      <c r="B796" s="212"/>
      <c r="C796" s="202" t="e">
        <f>#REF!</f>
        <v>#REF!</v>
      </c>
      <c r="D796" s="202"/>
      <c r="E796" s="214"/>
      <c r="F796" s="202"/>
      <c r="G796" s="234" t="e">
        <f>Backlog[[#This Row],[OP]]</f>
        <v>#VALUE!</v>
      </c>
      <c r="H796" s="202"/>
      <c r="I796" s="316" t="e">
        <f>IF(Backlog[[#This Row],[Fecha Requerida en Producción]]="","",Backlog[[#This Row],[Fecha Requerida en Producción]])</f>
        <v>#VALUE!</v>
      </c>
      <c r="J796" s="207"/>
      <c r="K796" s="207"/>
      <c r="L796" s="207"/>
      <c r="M796" s="207"/>
      <c r="N796" s="248"/>
      <c r="O796" s="248"/>
      <c r="P796" s="248"/>
      <c r="Q796" s="248"/>
    </row>
    <row r="797" spans="1:17" ht="15.75" hidden="1" customHeight="1">
      <c r="A797" s="274"/>
      <c r="B797" s="212"/>
      <c r="C797" s="202" t="e">
        <f>#REF!</f>
        <v>#REF!</v>
      </c>
      <c r="D797" s="202"/>
      <c r="E797" s="214"/>
      <c r="F797" s="202"/>
      <c r="G797" s="234" t="e">
        <f>Backlog[[#This Row],[OP]]</f>
        <v>#VALUE!</v>
      </c>
      <c r="H797" s="202"/>
      <c r="I797" s="316" t="e">
        <f>IF(Backlog[[#This Row],[Fecha Requerida en Producción]]="","",Backlog[[#This Row],[Fecha Requerida en Producción]])</f>
        <v>#VALUE!</v>
      </c>
      <c r="J797" s="207"/>
      <c r="K797" s="207"/>
      <c r="L797" s="207"/>
      <c r="M797" s="207"/>
      <c r="N797" s="248"/>
      <c r="O797" s="248"/>
      <c r="P797" s="248"/>
      <c r="Q797" s="248"/>
    </row>
    <row r="798" spans="1:17" ht="15.75" hidden="1" customHeight="1">
      <c r="A798" s="274"/>
      <c r="B798" s="212"/>
      <c r="C798" s="202" t="e">
        <f>#REF!</f>
        <v>#REF!</v>
      </c>
      <c r="D798" s="202"/>
      <c r="E798" s="214"/>
      <c r="F798" s="202"/>
      <c r="G798" s="234" t="e">
        <f>Backlog[[#This Row],[OP]]</f>
        <v>#VALUE!</v>
      </c>
      <c r="H798" s="202"/>
      <c r="I798" s="316" t="e">
        <f>IF(Backlog[[#This Row],[Fecha Requerida en Producción]]="","",Backlog[[#This Row],[Fecha Requerida en Producción]])</f>
        <v>#VALUE!</v>
      </c>
      <c r="J798" s="207"/>
      <c r="K798" s="207"/>
      <c r="L798" s="207"/>
      <c r="M798" s="207"/>
      <c r="N798" s="248"/>
      <c r="O798" s="248"/>
      <c r="P798" s="248"/>
      <c r="Q798" s="248"/>
    </row>
    <row r="799" spans="1:17" ht="15.75" hidden="1" customHeight="1">
      <c r="A799" s="274"/>
      <c r="B799" s="212"/>
      <c r="C799" s="202" t="e">
        <f>#REF!</f>
        <v>#REF!</v>
      </c>
      <c r="D799" s="202"/>
      <c r="E799" s="214"/>
      <c r="F799" s="202"/>
      <c r="G799" s="234" t="e">
        <f>Backlog[[#This Row],[OP]]</f>
        <v>#VALUE!</v>
      </c>
      <c r="H799" s="202"/>
      <c r="I799" s="316" t="e">
        <f>IF(Backlog[[#This Row],[Fecha Requerida en Producción]]="","",Backlog[[#This Row],[Fecha Requerida en Producción]])</f>
        <v>#VALUE!</v>
      </c>
      <c r="J799" s="207"/>
      <c r="K799" s="207"/>
      <c r="L799" s="207"/>
      <c r="M799" s="207"/>
      <c r="N799" s="248"/>
      <c r="O799" s="248"/>
      <c r="P799" s="248"/>
      <c r="Q799" s="248"/>
    </row>
    <row r="800" spans="1:17" ht="15.75" hidden="1" customHeight="1">
      <c r="A800" s="274"/>
      <c r="B800" s="212"/>
      <c r="C800" s="202" t="e">
        <f>#REF!</f>
        <v>#REF!</v>
      </c>
      <c r="D800" s="202"/>
      <c r="E800" s="214"/>
      <c r="F800" s="202"/>
      <c r="G800" s="234" t="e">
        <f>Backlog[[#This Row],[OP]]</f>
        <v>#VALUE!</v>
      </c>
      <c r="H800" s="202"/>
      <c r="I800" s="316" t="e">
        <f>IF(Backlog[[#This Row],[Fecha Requerida en Producción]]="","",Backlog[[#This Row],[Fecha Requerida en Producción]])</f>
        <v>#VALUE!</v>
      </c>
      <c r="J800" s="207"/>
      <c r="K800" s="207"/>
      <c r="L800" s="207"/>
      <c r="M800" s="207"/>
      <c r="N800" s="248"/>
      <c r="O800" s="248"/>
      <c r="P800" s="248"/>
      <c r="Q800" s="248"/>
    </row>
    <row r="801" spans="1:17" ht="15.75" hidden="1" customHeight="1">
      <c r="A801" s="274"/>
      <c r="B801" s="212"/>
      <c r="C801" s="202" t="e">
        <f>#REF!</f>
        <v>#REF!</v>
      </c>
      <c r="D801" s="202"/>
      <c r="E801" s="214"/>
      <c r="F801" s="202"/>
      <c r="G801" s="234" t="e">
        <f>Backlog[[#This Row],[OP]]</f>
        <v>#VALUE!</v>
      </c>
      <c r="H801" s="202"/>
      <c r="I801" s="316" t="e">
        <f>IF(Backlog[[#This Row],[Fecha Requerida en Producción]]="","",Backlog[[#This Row],[Fecha Requerida en Producción]])</f>
        <v>#VALUE!</v>
      </c>
      <c r="J801" s="207"/>
      <c r="K801" s="207"/>
      <c r="L801" s="207"/>
      <c r="M801" s="207"/>
      <c r="N801" s="248"/>
      <c r="O801" s="248"/>
      <c r="P801" s="248"/>
      <c r="Q801" s="248"/>
    </row>
    <row r="802" spans="1:17" ht="15.75" hidden="1" customHeight="1">
      <c r="A802" s="274"/>
      <c r="B802" s="212"/>
      <c r="C802" s="202" t="e">
        <f>#REF!</f>
        <v>#REF!</v>
      </c>
      <c r="D802" s="202"/>
      <c r="E802" s="214"/>
      <c r="F802" s="202"/>
      <c r="G802" s="234" t="e">
        <f>Backlog[[#This Row],[OP]]</f>
        <v>#VALUE!</v>
      </c>
      <c r="H802" s="202"/>
      <c r="I802" s="316" t="e">
        <f>IF(Backlog[[#This Row],[Fecha Requerida en Producción]]="","",Backlog[[#This Row],[Fecha Requerida en Producción]])</f>
        <v>#VALUE!</v>
      </c>
      <c r="J802" s="207"/>
      <c r="K802" s="207"/>
      <c r="L802" s="207"/>
      <c r="M802" s="207"/>
      <c r="N802" s="248"/>
      <c r="O802" s="248"/>
      <c r="P802" s="248"/>
      <c r="Q802" s="248"/>
    </row>
    <row r="803" spans="1:17" ht="15.75" hidden="1" customHeight="1">
      <c r="A803" s="274"/>
      <c r="B803" s="212"/>
      <c r="C803" s="202" t="e">
        <f>#REF!</f>
        <v>#REF!</v>
      </c>
      <c r="D803" s="202"/>
      <c r="E803" s="214"/>
      <c r="F803" s="202"/>
      <c r="G803" s="234" t="e">
        <f>Backlog[[#This Row],[OP]]</f>
        <v>#VALUE!</v>
      </c>
      <c r="H803" s="202"/>
      <c r="I803" s="316" t="e">
        <f>IF(Backlog[[#This Row],[Fecha Requerida en Producción]]="","",Backlog[[#This Row],[Fecha Requerida en Producción]])</f>
        <v>#VALUE!</v>
      </c>
      <c r="J803" s="207"/>
      <c r="K803" s="207"/>
      <c r="L803" s="207"/>
      <c r="M803" s="207"/>
      <c r="N803" s="248"/>
      <c r="O803" s="248"/>
      <c r="P803" s="248"/>
      <c r="Q803" s="248"/>
    </row>
    <row r="804" spans="1:17" ht="15.75" hidden="1" customHeight="1">
      <c r="A804" s="274"/>
      <c r="B804" s="212"/>
      <c r="C804" s="202" t="e">
        <f>#REF!</f>
        <v>#REF!</v>
      </c>
      <c r="D804" s="202"/>
      <c r="E804" s="214"/>
      <c r="F804" s="202"/>
      <c r="G804" s="234" t="e">
        <f>Backlog[[#This Row],[OP]]</f>
        <v>#VALUE!</v>
      </c>
      <c r="H804" s="202"/>
      <c r="I804" s="316" t="e">
        <f>IF(Backlog[[#This Row],[Fecha Requerida en Producción]]="","",Backlog[[#This Row],[Fecha Requerida en Producción]])</f>
        <v>#VALUE!</v>
      </c>
      <c r="J804" s="207"/>
      <c r="K804" s="207"/>
      <c r="L804" s="207"/>
      <c r="M804" s="207"/>
      <c r="N804" s="248"/>
      <c r="O804" s="248"/>
      <c r="P804" s="248"/>
      <c r="Q804" s="248"/>
    </row>
    <row r="805" spans="1:17" ht="15.75" hidden="1" customHeight="1">
      <c r="A805" s="274"/>
      <c r="B805" s="212"/>
      <c r="C805" s="202" t="e">
        <f>#REF!</f>
        <v>#REF!</v>
      </c>
      <c r="D805" s="202"/>
      <c r="E805" s="214"/>
      <c r="F805" s="202"/>
      <c r="G805" s="234" t="e">
        <f>Backlog[[#This Row],[OP]]</f>
        <v>#VALUE!</v>
      </c>
      <c r="H805" s="202"/>
      <c r="I805" s="316" t="e">
        <f>IF(Backlog[[#This Row],[Fecha Requerida en Producción]]="","",Backlog[[#This Row],[Fecha Requerida en Producción]])</f>
        <v>#VALUE!</v>
      </c>
      <c r="J805" s="207"/>
      <c r="K805" s="207"/>
      <c r="L805" s="207"/>
      <c r="M805" s="207"/>
      <c r="N805" s="248"/>
      <c r="O805" s="248"/>
      <c r="P805" s="248"/>
      <c r="Q805" s="248"/>
    </row>
    <row r="806" spans="1:17" ht="15.75" hidden="1" customHeight="1">
      <c r="A806" s="274"/>
      <c r="B806" s="212"/>
      <c r="C806" s="202" t="e">
        <f>#REF!</f>
        <v>#REF!</v>
      </c>
      <c r="D806" s="202"/>
      <c r="E806" s="214"/>
      <c r="F806" s="202"/>
      <c r="G806" s="234" t="e">
        <f>Backlog[[#This Row],[OP]]</f>
        <v>#VALUE!</v>
      </c>
      <c r="H806" s="202"/>
      <c r="I806" s="316" t="e">
        <f>IF(Backlog[[#This Row],[Fecha Requerida en Producción]]="","",Backlog[[#This Row],[Fecha Requerida en Producción]])</f>
        <v>#VALUE!</v>
      </c>
      <c r="J806" s="207"/>
      <c r="K806" s="207"/>
      <c r="L806" s="207"/>
      <c r="M806" s="207"/>
      <c r="N806" s="248"/>
      <c r="O806" s="248"/>
      <c r="P806" s="248"/>
      <c r="Q806" s="248"/>
    </row>
    <row r="807" spans="1:17" ht="15.75" hidden="1" customHeight="1">
      <c r="A807" s="274"/>
      <c r="B807" s="212"/>
      <c r="C807" s="202" t="e">
        <f>#REF!</f>
        <v>#REF!</v>
      </c>
      <c r="D807" s="202"/>
      <c r="E807" s="214"/>
      <c r="F807" s="202"/>
      <c r="G807" s="234" t="e">
        <f>Backlog[[#This Row],[OP]]</f>
        <v>#VALUE!</v>
      </c>
      <c r="H807" s="202"/>
      <c r="I807" s="316" t="e">
        <f>IF(Backlog[[#This Row],[Fecha Requerida en Producción]]="","",Backlog[[#This Row],[Fecha Requerida en Producción]])</f>
        <v>#VALUE!</v>
      </c>
      <c r="J807" s="207"/>
      <c r="K807" s="207"/>
      <c r="L807" s="207"/>
      <c r="M807" s="207"/>
      <c r="N807" s="248"/>
      <c r="O807" s="248"/>
      <c r="P807" s="248"/>
      <c r="Q807" s="248"/>
    </row>
    <row r="808" spans="1:17" ht="15.75" hidden="1" customHeight="1">
      <c r="A808" s="274"/>
      <c r="B808" s="212"/>
      <c r="C808" s="202" t="e">
        <f>#REF!</f>
        <v>#REF!</v>
      </c>
      <c r="D808" s="202"/>
      <c r="E808" s="214"/>
      <c r="F808" s="202"/>
      <c r="G808" s="234" t="e">
        <f>Backlog[[#This Row],[OP]]</f>
        <v>#VALUE!</v>
      </c>
      <c r="H808" s="202"/>
      <c r="I808" s="316" t="e">
        <f>IF(Backlog[[#This Row],[Fecha Requerida en Producción]]="","",Backlog[[#This Row],[Fecha Requerida en Producción]])</f>
        <v>#VALUE!</v>
      </c>
      <c r="J808" s="207"/>
      <c r="K808" s="207"/>
      <c r="L808" s="207"/>
      <c r="M808" s="207"/>
      <c r="N808" s="248"/>
      <c r="O808" s="248"/>
      <c r="P808" s="248"/>
      <c r="Q808" s="248"/>
    </row>
    <row r="809" spans="1:17" ht="15.75" hidden="1" customHeight="1">
      <c r="A809" s="274"/>
      <c r="B809" s="212"/>
      <c r="C809" s="202" t="e">
        <f>#REF!</f>
        <v>#REF!</v>
      </c>
      <c r="D809" s="202"/>
      <c r="E809" s="214"/>
      <c r="F809" s="202"/>
      <c r="G809" s="234" t="e">
        <f>Backlog[[#This Row],[OP]]</f>
        <v>#VALUE!</v>
      </c>
      <c r="H809" s="202"/>
      <c r="I809" s="316" t="e">
        <f>IF(Backlog[[#This Row],[Fecha Requerida en Producción]]="","",Backlog[[#This Row],[Fecha Requerida en Producción]])</f>
        <v>#VALUE!</v>
      </c>
      <c r="J809" s="207"/>
      <c r="K809" s="207"/>
      <c r="L809" s="207"/>
      <c r="M809" s="207"/>
      <c r="N809" s="248"/>
      <c r="O809" s="248"/>
      <c r="P809" s="248"/>
      <c r="Q809" s="248"/>
    </row>
    <row r="810" spans="1:17" ht="15.75" hidden="1" customHeight="1">
      <c r="A810" s="274"/>
      <c r="B810" s="212"/>
      <c r="C810" s="202" t="e">
        <f>#REF!</f>
        <v>#REF!</v>
      </c>
      <c r="D810" s="202"/>
      <c r="E810" s="214"/>
      <c r="F810" s="202"/>
      <c r="G810" s="234" t="e">
        <f>Backlog[[#This Row],[OP]]</f>
        <v>#VALUE!</v>
      </c>
      <c r="H810" s="202"/>
      <c r="I810" s="316" t="e">
        <f>IF(Backlog[[#This Row],[Fecha Requerida en Producción]]="","",Backlog[[#This Row],[Fecha Requerida en Producción]])</f>
        <v>#VALUE!</v>
      </c>
      <c r="J810" s="207"/>
      <c r="K810" s="207"/>
      <c r="L810" s="207"/>
      <c r="M810" s="207"/>
      <c r="N810" s="248"/>
      <c r="O810" s="248"/>
      <c r="P810" s="248"/>
      <c r="Q810" s="248"/>
    </row>
    <row r="811" spans="1:17" ht="15.75" hidden="1" customHeight="1">
      <c r="A811" s="274"/>
      <c r="B811" s="212"/>
      <c r="C811" s="202" t="e">
        <f>#REF!</f>
        <v>#REF!</v>
      </c>
      <c r="D811" s="202"/>
      <c r="E811" s="214"/>
      <c r="F811" s="202"/>
      <c r="G811" s="234" t="e">
        <f>Backlog[[#This Row],[OP]]</f>
        <v>#VALUE!</v>
      </c>
      <c r="H811" s="202"/>
      <c r="I811" s="316" t="e">
        <f>IF(Backlog[[#This Row],[Fecha Requerida en Producción]]="","",Backlog[[#This Row],[Fecha Requerida en Producción]])</f>
        <v>#VALUE!</v>
      </c>
      <c r="J811" s="207"/>
      <c r="K811" s="207"/>
      <c r="L811" s="207"/>
      <c r="M811" s="207"/>
      <c r="N811" s="248"/>
      <c r="O811" s="248"/>
      <c r="P811" s="248"/>
      <c r="Q811" s="248"/>
    </row>
    <row r="812" spans="1:17" ht="15.75" hidden="1" customHeight="1">
      <c r="A812" s="274"/>
      <c r="B812" s="212"/>
      <c r="C812" s="202" t="e">
        <f>#REF!</f>
        <v>#REF!</v>
      </c>
      <c r="D812" s="202"/>
      <c r="E812" s="214"/>
      <c r="F812" s="202"/>
      <c r="G812" s="234" t="e">
        <f>Backlog[[#This Row],[OP]]</f>
        <v>#VALUE!</v>
      </c>
      <c r="H812" s="202"/>
      <c r="I812" s="316" t="e">
        <f>IF(Backlog[[#This Row],[Fecha Requerida en Producción]]="","",Backlog[[#This Row],[Fecha Requerida en Producción]])</f>
        <v>#VALUE!</v>
      </c>
      <c r="J812" s="207"/>
      <c r="K812" s="207"/>
      <c r="L812" s="207"/>
      <c r="M812" s="207"/>
      <c r="N812" s="248"/>
      <c r="O812" s="248"/>
      <c r="P812" s="248"/>
      <c r="Q812" s="248"/>
    </row>
    <row r="813" spans="1:17" ht="15.75" hidden="1" customHeight="1">
      <c r="A813" s="274"/>
      <c r="B813" s="212"/>
      <c r="C813" s="202" t="e">
        <f>#REF!</f>
        <v>#REF!</v>
      </c>
      <c r="D813" s="202"/>
      <c r="E813" s="214"/>
      <c r="F813" s="202"/>
      <c r="G813" s="234" t="e">
        <f>Backlog[[#This Row],[OP]]</f>
        <v>#VALUE!</v>
      </c>
      <c r="H813" s="202"/>
      <c r="I813" s="316" t="e">
        <f>IF(Backlog[[#This Row],[Fecha Requerida en Producción]]="","",Backlog[[#This Row],[Fecha Requerida en Producción]])</f>
        <v>#VALUE!</v>
      </c>
      <c r="J813" s="207"/>
      <c r="K813" s="207"/>
      <c r="L813" s="207"/>
      <c r="M813" s="207"/>
      <c r="N813" s="248"/>
      <c r="O813" s="248"/>
      <c r="P813" s="248"/>
      <c r="Q813" s="248"/>
    </row>
    <row r="814" spans="1:17" ht="15.75" hidden="1" customHeight="1">
      <c r="A814" s="274"/>
      <c r="B814" s="212"/>
      <c r="C814" s="202" t="e">
        <f>#REF!</f>
        <v>#REF!</v>
      </c>
      <c r="D814" s="202"/>
      <c r="E814" s="214"/>
      <c r="F814" s="202"/>
      <c r="G814" s="234" t="e">
        <f>Backlog[[#This Row],[OP]]</f>
        <v>#VALUE!</v>
      </c>
      <c r="H814" s="202"/>
      <c r="I814" s="316" t="e">
        <f>IF(Backlog[[#This Row],[Fecha Requerida en Producción]]="","",Backlog[[#This Row],[Fecha Requerida en Producción]])</f>
        <v>#VALUE!</v>
      </c>
      <c r="J814" s="207"/>
      <c r="K814" s="207"/>
      <c r="L814" s="207"/>
      <c r="M814" s="207"/>
      <c r="N814" s="248"/>
      <c r="O814" s="248"/>
      <c r="P814" s="248"/>
      <c r="Q814" s="248"/>
    </row>
    <row r="815" spans="1:17" ht="15.75" hidden="1" customHeight="1">
      <c r="A815" s="274"/>
      <c r="B815" s="212"/>
      <c r="C815" s="202" t="e">
        <f>#REF!</f>
        <v>#REF!</v>
      </c>
      <c r="D815" s="202"/>
      <c r="E815" s="214"/>
      <c r="F815" s="202"/>
      <c r="G815" s="234" t="e">
        <f>Backlog[[#This Row],[OP]]</f>
        <v>#VALUE!</v>
      </c>
      <c r="H815" s="202"/>
      <c r="I815" s="316" t="e">
        <f>IF(Backlog[[#This Row],[Fecha Requerida en Producción]]="","",Backlog[[#This Row],[Fecha Requerida en Producción]])</f>
        <v>#VALUE!</v>
      </c>
      <c r="J815" s="207"/>
      <c r="K815" s="207"/>
      <c r="L815" s="207"/>
      <c r="M815" s="207"/>
      <c r="N815" s="248"/>
      <c r="O815" s="248"/>
      <c r="P815" s="248"/>
      <c r="Q815" s="248"/>
    </row>
    <row r="816" spans="1:17" ht="15.75" hidden="1" customHeight="1">
      <c r="A816" s="274"/>
      <c r="B816" s="212"/>
      <c r="C816" s="202" t="e">
        <f>#REF!</f>
        <v>#REF!</v>
      </c>
      <c r="D816" s="202"/>
      <c r="E816" s="214"/>
      <c r="F816" s="202"/>
      <c r="G816" s="234" t="e">
        <f>Backlog[[#This Row],[OP]]</f>
        <v>#VALUE!</v>
      </c>
      <c r="H816" s="202"/>
      <c r="I816" s="316" t="e">
        <f>IF(Backlog[[#This Row],[Fecha Requerida en Producción]]="","",Backlog[[#This Row],[Fecha Requerida en Producción]])</f>
        <v>#VALUE!</v>
      </c>
      <c r="J816" s="207"/>
      <c r="K816" s="207"/>
      <c r="L816" s="207"/>
      <c r="M816" s="207"/>
      <c r="N816" s="248"/>
      <c r="O816" s="248"/>
      <c r="P816" s="248"/>
      <c r="Q816" s="248"/>
    </row>
    <row r="817" spans="1:17" ht="15.75" hidden="1" customHeight="1">
      <c r="A817" s="274"/>
      <c r="B817" s="212"/>
      <c r="C817" s="202" t="e">
        <f>#REF!</f>
        <v>#REF!</v>
      </c>
      <c r="D817" s="202"/>
      <c r="E817" s="214"/>
      <c r="F817" s="202"/>
      <c r="G817" s="234" t="e">
        <f>Backlog[[#This Row],[OP]]</f>
        <v>#VALUE!</v>
      </c>
      <c r="H817" s="202"/>
      <c r="I817" s="316" t="e">
        <f>IF(Backlog[[#This Row],[Fecha Requerida en Producción]]="","",Backlog[[#This Row],[Fecha Requerida en Producción]])</f>
        <v>#VALUE!</v>
      </c>
      <c r="J817" s="207"/>
      <c r="K817" s="207"/>
      <c r="L817" s="207"/>
      <c r="M817" s="207"/>
      <c r="N817" s="248"/>
      <c r="O817" s="248"/>
      <c r="P817" s="248"/>
      <c r="Q817" s="248"/>
    </row>
    <row r="818" spans="1:17" ht="15.75" hidden="1" customHeight="1">
      <c r="A818" s="274"/>
      <c r="B818" s="212"/>
      <c r="C818" s="202" t="e">
        <f>#REF!</f>
        <v>#REF!</v>
      </c>
      <c r="D818" s="202"/>
      <c r="E818" s="214"/>
      <c r="F818" s="202"/>
      <c r="G818" s="234" t="e">
        <f>Backlog[[#This Row],[OP]]</f>
        <v>#VALUE!</v>
      </c>
      <c r="H818" s="202"/>
      <c r="I818" s="316" t="e">
        <f>IF(Backlog[[#This Row],[Fecha Requerida en Producción]]="","",Backlog[[#This Row],[Fecha Requerida en Producción]])</f>
        <v>#VALUE!</v>
      </c>
      <c r="J818" s="207"/>
      <c r="K818" s="207"/>
      <c r="L818" s="207"/>
      <c r="M818" s="207"/>
      <c r="N818" s="248"/>
      <c r="O818" s="248"/>
      <c r="P818" s="248"/>
      <c r="Q818" s="248"/>
    </row>
    <row r="819" spans="1:17" ht="15.75" hidden="1" customHeight="1">
      <c r="A819" s="274"/>
      <c r="B819" s="212"/>
      <c r="C819" s="202" t="e">
        <f>#REF!</f>
        <v>#REF!</v>
      </c>
      <c r="D819" s="202"/>
      <c r="E819" s="214"/>
      <c r="F819" s="202"/>
      <c r="G819" s="234" t="e">
        <f>Backlog[[#This Row],[OP]]</f>
        <v>#VALUE!</v>
      </c>
      <c r="H819" s="202"/>
      <c r="I819" s="316" t="e">
        <f>IF(Backlog[[#This Row],[Fecha Requerida en Producción]]="","",Backlog[[#This Row],[Fecha Requerida en Producción]])</f>
        <v>#VALUE!</v>
      </c>
      <c r="J819" s="207"/>
      <c r="K819" s="207"/>
      <c r="L819" s="207"/>
      <c r="M819" s="207"/>
      <c r="N819" s="248"/>
      <c r="O819" s="248"/>
      <c r="P819" s="248"/>
      <c r="Q819" s="248"/>
    </row>
    <row r="820" spans="1:17" ht="15.75" hidden="1" customHeight="1">
      <c r="A820" s="274"/>
      <c r="B820" s="212"/>
      <c r="C820" s="202" t="e">
        <f>#REF!</f>
        <v>#REF!</v>
      </c>
      <c r="D820" s="202"/>
      <c r="E820" s="214"/>
      <c r="F820" s="202"/>
      <c r="G820" s="234" t="e">
        <f>Backlog[[#This Row],[OP]]</f>
        <v>#VALUE!</v>
      </c>
      <c r="H820" s="202"/>
      <c r="I820" s="316" t="e">
        <f>IF(Backlog[[#This Row],[Fecha Requerida en Producción]]="","",Backlog[[#This Row],[Fecha Requerida en Producción]])</f>
        <v>#VALUE!</v>
      </c>
      <c r="J820" s="207"/>
      <c r="K820" s="207"/>
      <c r="L820" s="207"/>
      <c r="M820" s="207"/>
      <c r="N820" s="248"/>
      <c r="O820" s="248"/>
      <c r="P820" s="248"/>
      <c r="Q820" s="248"/>
    </row>
    <row r="821" spans="1:17" ht="15.75" hidden="1" customHeight="1">
      <c r="A821" s="274"/>
      <c r="B821" s="212"/>
      <c r="C821" s="202" t="e">
        <f>#REF!</f>
        <v>#REF!</v>
      </c>
      <c r="D821" s="202"/>
      <c r="E821" s="214"/>
      <c r="F821" s="202"/>
      <c r="G821" s="234" t="e">
        <f>Backlog[[#This Row],[OP]]</f>
        <v>#VALUE!</v>
      </c>
      <c r="H821" s="202"/>
      <c r="I821" s="316" t="e">
        <f>IF(Backlog[[#This Row],[Fecha Requerida en Producción]]="","",Backlog[[#This Row],[Fecha Requerida en Producción]])</f>
        <v>#VALUE!</v>
      </c>
      <c r="J821" s="207"/>
      <c r="K821" s="207"/>
      <c r="L821" s="207"/>
      <c r="M821" s="207"/>
      <c r="N821" s="248"/>
      <c r="O821" s="248"/>
      <c r="P821" s="248"/>
      <c r="Q821" s="248"/>
    </row>
    <row r="822" spans="1:17" ht="15.75" hidden="1" customHeight="1">
      <c r="A822" s="274"/>
      <c r="B822" s="212"/>
      <c r="C822" s="202" t="e">
        <f>#REF!</f>
        <v>#REF!</v>
      </c>
      <c r="D822" s="202"/>
      <c r="E822" s="214"/>
      <c r="F822" s="202"/>
      <c r="G822" s="234" t="e">
        <f>Backlog[[#This Row],[OP]]</f>
        <v>#VALUE!</v>
      </c>
      <c r="H822" s="202"/>
      <c r="I822" s="316" t="e">
        <f>IF(Backlog[[#This Row],[Fecha Requerida en Producción]]="","",Backlog[[#This Row],[Fecha Requerida en Producción]])</f>
        <v>#VALUE!</v>
      </c>
      <c r="J822" s="207"/>
      <c r="K822" s="207"/>
      <c r="L822" s="207"/>
      <c r="M822" s="207"/>
      <c r="N822" s="248"/>
      <c r="O822" s="248"/>
      <c r="P822" s="248"/>
      <c r="Q822" s="248"/>
    </row>
    <row r="823" spans="1:17" ht="15.75" hidden="1" customHeight="1">
      <c r="A823" s="274"/>
      <c r="B823" s="212"/>
      <c r="C823" s="202" t="e">
        <f>#REF!</f>
        <v>#REF!</v>
      </c>
      <c r="D823" s="202"/>
      <c r="E823" s="214"/>
      <c r="F823" s="202"/>
      <c r="G823" s="234" t="e">
        <f>Backlog[[#This Row],[OP]]</f>
        <v>#VALUE!</v>
      </c>
      <c r="H823" s="202"/>
      <c r="I823" s="316" t="e">
        <f>IF(Backlog[[#This Row],[Fecha Requerida en Producción]]="","",Backlog[[#This Row],[Fecha Requerida en Producción]])</f>
        <v>#VALUE!</v>
      </c>
      <c r="J823" s="207"/>
      <c r="K823" s="207"/>
      <c r="L823" s="207"/>
      <c r="M823" s="207"/>
      <c r="N823" s="248"/>
      <c r="O823" s="248"/>
      <c r="P823" s="248"/>
      <c r="Q823" s="248"/>
    </row>
    <row r="824" spans="1:17" ht="15.75" hidden="1" customHeight="1">
      <c r="A824" s="274"/>
      <c r="B824" s="212"/>
      <c r="C824" s="202" t="e">
        <f>#REF!</f>
        <v>#REF!</v>
      </c>
      <c r="D824" s="202"/>
      <c r="E824" s="214"/>
      <c r="F824" s="202"/>
      <c r="G824" s="234" t="e">
        <f>Backlog[[#This Row],[OP]]</f>
        <v>#VALUE!</v>
      </c>
      <c r="H824" s="202"/>
      <c r="I824" s="316" t="e">
        <f>IF(Backlog[[#This Row],[Fecha Requerida en Producción]]="","",Backlog[[#This Row],[Fecha Requerida en Producción]])</f>
        <v>#VALUE!</v>
      </c>
      <c r="J824" s="207"/>
      <c r="K824" s="207"/>
      <c r="L824" s="207"/>
      <c r="M824" s="207"/>
      <c r="N824" s="248"/>
      <c r="O824" s="248"/>
      <c r="P824" s="248"/>
      <c r="Q824" s="248"/>
    </row>
    <row r="825" spans="1:17" ht="15.75" hidden="1" customHeight="1">
      <c r="A825" s="274"/>
      <c r="B825" s="212"/>
      <c r="C825" s="202" t="e">
        <f>#REF!</f>
        <v>#REF!</v>
      </c>
      <c r="D825" s="202"/>
      <c r="E825" s="214"/>
      <c r="F825" s="202"/>
      <c r="G825" s="234" t="e">
        <f>Backlog[[#This Row],[OP]]</f>
        <v>#VALUE!</v>
      </c>
      <c r="H825" s="202"/>
      <c r="I825" s="316" t="e">
        <f>IF(Backlog[[#This Row],[Fecha Requerida en Producción]]="","",Backlog[[#This Row],[Fecha Requerida en Producción]])</f>
        <v>#VALUE!</v>
      </c>
      <c r="J825" s="207"/>
      <c r="K825" s="207"/>
      <c r="L825" s="207"/>
      <c r="M825" s="207"/>
      <c r="N825" s="248"/>
      <c r="O825" s="248"/>
      <c r="P825" s="248"/>
      <c r="Q825" s="248"/>
    </row>
    <row r="826" spans="1:17" ht="15.75" hidden="1" customHeight="1">
      <c r="A826" s="274"/>
      <c r="B826" s="212"/>
      <c r="C826" s="202" t="e">
        <f>#REF!</f>
        <v>#REF!</v>
      </c>
      <c r="D826" s="202"/>
      <c r="E826" s="214"/>
      <c r="F826" s="202"/>
      <c r="G826" s="234" t="e">
        <f>Backlog[[#This Row],[OP]]</f>
        <v>#VALUE!</v>
      </c>
      <c r="H826" s="202"/>
      <c r="I826" s="316" t="e">
        <f>IF(Backlog[[#This Row],[Fecha Requerida en Producción]]="","",Backlog[[#This Row],[Fecha Requerida en Producción]])</f>
        <v>#VALUE!</v>
      </c>
      <c r="J826" s="207"/>
      <c r="K826" s="207"/>
      <c r="L826" s="207"/>
      <c r="M826" s="207"/>
      <c r="N826" s="248"/>
      <c r="O826" s="248"/>
      <c r="P826" s="248"/>
      <c r="Q826" s="248"/>
    </row>
    <row r="827" spans="1:17" ht="15.75" hidden="1" customHeight="1">
      <c r="A827" s="274"/>
      <c r="B827" s="212"/>
      <c r="C827" s="202" t="e">
        <f>#REF!</f>
        <v>#REF!</v>
      </c>
      <c r="D827" s="202"/>
      <c r="E827" s="214"/>
      <c r="F827" s="202"/>
      <c r="G827" s="234" t="e">
        <f>Backlog[[#This Row],[OP]]</f>
        <v>#VALUE!</v>
      </c>
      <c r="H827" s="202"/>
      <c r="I827" s="316" t="e">
        <f>IF(Backlog[[#This Row],[Fecha Requerida en Producción]]="","",Backlog[[#This Row],[Fecha Requerida en Producción]])</f>
        <v>#VALUE!</v>
      </c>
      <c r="J827" s="207"/>
      <c r="K827" s="207"/>
      <c r="L827" s="207"/>
      <c r="M827" s="207"/>
      <c r="N827" s="248"/>
      <c r="O827" s="248"/>
      <c r="P827" s="248"/>
      <c r="Q827" s="248"/>
    </row>
    <row r="828" spans="1:17" ht="15.75" hidden="1" customHeight="1">
      <c r="A828" s="274"/>
      <c r="B828" s="212"/>
      <c r="C828" s="202" t="e">
        <f>#REF!</f>
        <v>#REF!</v>
      </c>
      <c r="D828" s="202"/>
      <c r="E828" s="214"/>
      <c r="F828" s="202"/>
      <c r="G828" s="234" t="e">
        <f>Backlog[[#This Row],[OP]]</f>
        <v>#VALUE!</v>
      </c>
      <c r="H828" s="202"/>
      <c r="I828" s="316" t="e">
        <f>IF(Backlog[[#This Row],[Fecha Requerida en Producción]]="","",Backlog[[#This Row],[Fecha Requerida en Producción]])</f>
        <v>#VALUE!</v>
      </c>
      <c r="J828" s="207"/>
      <c r="K828" s="207"/>
      <c r="L828" s="207"/>
      <c r="M828" s="207"/>
      <c r="N828" s="248"/>
      <c r="O828" s="248"/>
      <c r="P828" s="248"/>
      <c r="Q828" s="248"/>
    </row>
    <row r="829" spans="1:17" ht="15.75" hidden="1" customHeight="1">
      <c r="A829" s="274"/>
      <c r="B829" s="212"/>
      <c r="C829" s="202" t="e">
        <f>#REF!</f>
        <v>#REF!</v>
      </c>
      <c r="D829" s="202"/>
      <c r="E829" s="214"/>
      <c r="F829" s="202"/>
      <c r="G829" s="234" t="e">
        <f>Backlog[[#This Row],[OP]]</f>
        <v>#VALUE!</v>
      </c>
      <c r="H829" s="202"/>
      <c r="I829" s="316" t="e">
        <f>IF(Backlog[[#This Row],[Fecha Requerida en Producción]]="","",Backlog[[#This Row],[Fecha Requerida en Producción]])</f>
        <v>#VALUE!</v>
      </c>
      <c r="J829" s="207"/>
      <c r="K829" s="207"/>
      <c r="L829" s="207"/>
      <c r="M829" s="207"/>
      <c r="N829" s="248"/>
      <c r="O829" s="248"/>
      <c r="P829" s="248"/>
      <c r="Q829" s="248"/>
    </row>
    <row r="830" spans="1:17" ht="15.75" hidden="1" customHeight="1">
      <c r="A830" s="274"/>
      <c r="B830" s="212"/>
      <c r="C830" s="202" t="e">
        <f>#REF!</f>
        <v>#REF!</v>
      </c>
      <c r="D830" s="202"/>
      <c r="E830" s="214"/>
      <c r="F830" s="202"/>
      <c r="G830" s="234" t="e">
        <f>Backlog[[#This Row],[OP]]</f>
        <v>#VALUE!</v>
      </c>
      <c r="H830" s="202"/>
      <c r="I830" s="316" t="e">
        <f>IF(Backlog[[#This Row],[Fecha Requerida en Producción]]="","",Backlog[[#This Row],[Fecha Requerida en Producción]])</f>
        <v>#VALUE!</v>
      </c>
      <c r="J830" s="207"/>
      <c r="K830" s="207"/>
      <c r="L830" s="207"/>
      <c r="M830" s="207"/>
      <c r="N830" s="248"/>
      <c r="O830" s="248"/>
      <c r="P830" s="248"/>
      <c r="Q830" s="248"/>
    </row>
    <row r="831" spans="1:17" ht="15.75" hidden="1" customHeight="1">
      <c r="A831" s="274"/>
      <c r="B831" s="212"/>
      <c r="C831" s="202" t="e">
        <f>#REF!</f>
        <v>#REF!</v>
      </c>
      <c r="D831" s="202"/>
      <c r="E831" s="214"/>
      <c r="F831" s="202"/>
      <c r="G831" s="234" t="e">
        <f>Backlog[[#This Row],[OP]]</f>
        <v>#VALUE!</v>
      </c>
      <c r="H831" s="202"/>
      <c r="I831" s="316" t="e">
        <f>IF(Backlog[[#This Row],[Fecha Requerida en Producción]]="","",Backlog[[#This Row],[Fecha Requerida en Producción]])</f>
        <v>#VALUE!</v>
      </c>
      <c r="J831" s="207"/>
      <c r="K831" s="207"/>
      <c r="L831" s="207"/>
      <c r="M831" s="207"/>
      <c r="N831" s="248"/>
      <c r="O831" s="248"/>
      <c r="P831" s="248"/>
      <c r="Q831" s="248"/>
    </row>
    <row r="832" spans="1:17" ht="15.75" hidden="1" customHeight="1">
      <c r="A832" s="274"/>
      <c r="B832" s="212"/>
      <c r="C832" s="202" t="e">
        <f>#REF!</f>
        <v>#REF!</v>
      </c>
      <c r="D832" s="202"/>
      <c r="E832" s="214"/>
      <c r="F832" s="202"/>
      <c r="G832" s="234" t="e">
        <f>Backlog[[#This Row],[OP]]</f>
        <v>#VALUE!</v>
      </c>
      <c r="H832" s="202"/>
      <c r="I832" s="316" t="e">
        <f>IF(Backlog[[#This Row],[Fecha Requerida en Producción]]="","",Backlog[[#This Row],[Fecha Requerida en Producción]])</f>
        <v>#VALUE!</v>
      </c>
      <c r="J832" s="207"/>
      <c r="K832" s="207"/>
      <c r="L832" s="207"/>
      <c r="M832" s="207"/>
      <c r="N832" s="248"/>
      <c r="O832" s="248"/>
      <c r="P832" s="248"/>
      <c r="Q832" s="248"/>
    </row>
    <row r="833" spans="1:17" ht="15.75" hidden="1" customHeight="1">
      <c r="A833" s="274"/>
      <c r="B833" s="212"/>
      <c r="C833" s="202" t="e">
        <f>#REF!</f>
        <v>#REF!</v>
      </c>
      <c r="D833" s="202"/>
      <c r="E833" s="214"/>
      <c r="F833" s="202"/>
      <c r="G833" s="234" t="e">
        <f>Backlog[[#This Row],[OP]]</f>
        <v>#VALUE!</v>
      </c>
      <c r="H833" s="202"/>
      <c r="I833" s="316" t="e">
        <f>IF(Backlog[[#This Row],[Fecha Requerida en Producción]]="","",Backlog[[#This Row],[Fecha Requerida en Producción]])</f>
        <v>#VALUE!</v>
      </c>
      <c r="J833" s="207"/>
      <c r="K833" s="207"/>
      <c r="L833" s="207"/>
      <c r="M833" s="207"/>
      <c r="N833" s="248"/>
      <c r="O833" s="248"/>
      <c r="P833" s="248"/>
      <c r="Q833" s="248"/>
    </row>
    <row r="834" spans="1:17" ht="15.75" hidden="1" customHeight="1">
      <c r="A834" s="274"/>
      <c r="B834" s="212"/>
      <c r="C834" s="202" t="e">
        <f>#REF!</f>
        <v>#REF!</v>
      </c>
      <c r="D834" s="202"/>
      <c r="E834" s="214"/>
      <c r="F834" s="202"/>
      <c r="G834" s="234" t="e">
        <f>Backlog[[#This Row],[OP]]</f>
        <v>#VALUE!</v>
      </c>
      <c r="H834" s="202"/>
      <c r="I834" s="316" t="e">
        <f>IF(Backlog[[#This Row],[Fecha Requerida en Producción]]="","",Backlog[[#This Row],[Fecha Requerida en Producción]])</f>
        <v>#VALUE!</v>
      </c>
      <c r="J834" s="207"/>
      <c r="K834" s="207"/>
      <c r="L834" s="207"/>
      <c r="M834" s="207"/>
      <c r="N834" s="248"/>
      <c r="O834" s="248"/>
      <c r="P834" s="248"/>
      <c r="Q834" s="248"/>
    </row>
    <row r="835" spans="1:17" ht="15.75" hidden="1" customHeight="1">
      <c r="A835" s="274"/>
      <c r="B835" s="212"/>
      <c r="C835" s="202" t="e">
        <f>#REF!</f>
        <v>#REF!</v>
      </c>
      <c r="D835" s="202"/>
      <c r="E835" s="214"/>
      <c r="F835" s="202"/>
      <c r="G835" s="234" t="e">
        <f>Backlog[[#This Row],[OP]]</f>
        <v>#VALUE!</v>
      </c>
      <c r="H835" s="202"/>
      <c r="I835" s="316" t="e">
        <f>IF(Backlog[[#This Row],[Fecha Requerida en Producción]]="","",Backlog[[#This Row],[Fecha Requerida en Producción]])</f>
        <v>#VALUE!</v>
      </c>
      <c r="J835" s="207"/>
      <c r="K835" s="207"/>
      <c r="L835" s="207"/>
      <c r="M835" s="207"/>
      <c r="N835" s="248"/>
      <c r="O835" s="248"/>
      <c r="P835" s="248"/>
      <c r="Q835" s="248"/>
    </row>
    <row r="836" spans="1:17" ht="15.75" hidden="1" customHeight="1">
      <c r="A836" s="274"/>
      <c r="B836" s="212"/>
      <c r="C836" s="202" t="e">
        <f>#REF!</f>
        <v>#REF!</v>
      </c>
      <c r="D836" s="202"/>
      <c r="E836" s="214"/>
      <c r="F836" s="202"/>
      <c r="G836" s="234" t="e">
        <f>Backlog[[#This Row],[OP]]</f>
        <v>#VALUE!</v>
      </c>
      <c r="H836" s="202"/>
      <c r="I836" s="316" t="e">
        <f>IF(Backlog[[#This Row],[Fecha Requerida en Producción]]="","",Backlog[[#This Row],[Fecha Requerida en Producción]])</f>
        <v>#VALUE!</v>
      </c>
      <c r="J836" s="207"/>
      <c r="K836" s="207"/>
      <c r="L836" s="207"/>
      <c r="M836" s="207"/>
      <c r="N836" s="248"/>
      <c r="O836" s="248"/>
      <c r="P836" s="248"/>
      <c r="Q836" s="248"/>
    </row>
    <row r="837" spans="1:17" ht="15.75" hidden="1" customHeight="1">
      <c r="A837" s="274"/>
      <c r="B837" s="212"/>
      <c r="C837" s="202" t="e">
        <f>#REF!</f>
        <v>#REF!</v>
      </c>
      <c r="D837" s="202"/>
      <c r="E837" s="214"/>
      <c r="F837" s="202"/>
      <c r="G837" s="234" t="e">
        <f>Backlog[[#This Row],[OP]]</f>
        <v>#VALUE!</v>
      </c>
      <c r="H837" s="202"/>
      <c r="I837" s="316" t="e">
        <f>IF(Backlog[[#This Row],[Fecha Requerida en Producción]]="","",Backlog[[#This Row],[Fecha Requerida en Producción]])</f>
        <v>#VALUE!</v>
      </c>
      <c r="J837" s="207"/>
      <c r="K837" s="207"/>
      <c r="L837" s="207"/>
      <c r="M837" s="207"/>
      <c r="N837" s="248"/>
      <c r="O837" s="248"/>
      <c r="P837" s="248"/>
      <c r="Q837" s="248"/>
    </row>
    <row r="838" spans="1:17" ht="15.75" hidden="1" customHeight="1">
      <c r="A838" s="274"/>
      <c r="B838" s="212"/>
      <c r="C838" s="202" t="e">
        <f>#REF!</f>
        <v>#REF!</v>
      </c>
      <c r="D838" s="202"/>
      <c r="E838" s="214"/>
      <c r="F838" s="202"/>
      <c r="G838" s="234" t="e">
        <f>Backlog[[#This Row],[OP]]</f>
        <v>#VALUE!</v>
      </c>
      <c r="H838" s="202"/>
      <c r="I838" s="316" t="e">
        <f>IF(Backlog[[#This Row],[Fecha Requerida en Producción]]="","",Backlog[[#This Row],[Fecha Requerida en Producción]])</f>
        <v>#VALUE!</v>
      </c>
      <c r="J838" s="207"/>
      <c r="K838" s="207"/>
      <c r="L838" s="207"/>
      <c r="M838" s="207"/>
      <c r="N838" s="248"/>
      <c r="O838" s="248"/>
      <c r="P838" s="248"/>
      <c r="Q838" s="248"/>
    </row>
    <row r="839" spans="1:17" ht="15.75" hidden="1" customHeight="1">
      <c r="A839" s="274"/>
      <c r="B839" s="212"/>
      <c r="C839" s="202" t="e">
        <f>#REF!</f>
        <v>#REF!</v>
      </c>
      <c r="D839" s="202"/>
      <c r="E839" s="214"/>
      <c r="F839" s="202"/>
      <c r="G839" s="234" t="e">
        <f>Backlog[[#This Row],[OP]]</f>
        <v>#VALUE!</v>
      </c>
      <c r="H839" s="202"/>
      <c r="I839" s="316" t="e">
        <f>IF(Backlog[[#This Row],[Fecha Requerida en Producción]]="","",Backlog[[#This Row],[Fecha Requerida en Producción]])</f>
        <v>#VALUE!</v>
      </c>
      <c r="J839" s="207"/>
      <c r="K839" s="207"/>
      <c r="L839" s="207"/>
      <c r="M839" s="207"/>
      <c r="N839" s="248"/>
      <c r="O839" s="248"/>
      <c r="P839" s="248"/>
      <c r="Q839" s="248"/>
    </row>
    <row r="840" spans="1:17" ht="15.75" hidden="1" customHeight="1">
      <c r="A840" s="274"/>
      <c r="B840" s="212"/>
      <c r="C840" s="202" t="e">
        <f>#REF!</f>
        <v>#REF!</v>
      </c>
      <c r="D840" s="202"/>
      <c r="E840" s="214"/>
      <c r="F840" s="202"/>
      <c r="G840" s="234" t="e">
        <f>Backlog[[#This Row],[OP]]</f>
        <v>#VALUE!</v>
      </c>
      <c r="H840" s="202"/>
      <c r="I840" s="316" t="e">
        <f>IF(Backlog[[#This Row],[Fecha Requerida en Producción]]="","",Backlog[[#This Row],[Fecha Requerida en Producción]])</f>
        <v>#VALUE!</v>
      </c>
      <c r="J840" s="207"/>
      <c r="K840" s="207"/>
      <c r="L840" s="207"/>
      <c r="M840" s="207"/>
      <c r="N840" s="248"/>
      <c r="O840" s="248"/>
      <c r="P840" s="248"/>
      <c r="Q840" s="248"/>
    </row>
    <row r="841" spans="1:17" ht="15.75" hidden="1" customHeight="1">
      <c r="A841" s="274"/>
      <c r="B841" s="212"/>
      <c r="C841" s="202" t="e">
        <f>#REF!</f>
        <v>#REF!</v>
      </c>
      <c r="D841" s="202"/>
      <c r="E841" s="214"/>
      <c r="F841" s="202"/>
      <c r="G841" s="234" t="e">
        <f>Backlog[[#This Row],[OP]]</f>
        <v>#VALUE!</v>
      </c>
      <c r="H841" s="202"/>
      <c r="I841" s="316" t="e">
        <f>IF(Backlog[[#This Row],[Fecha Requerida en Producción]]="","",Backlog[[#This Row],[Fecha Requerida en Producción]])</f>
        <v>#VALUE!</v>
      </c>
      <c r="J841" s="207"/>
      <c r="K841" s="207"/>
      <c r="L841" s="207"/>
      <c r="M841" s="207"/>
      <c r="N841" s="248"/>
      <c r="O841" s="248"/>
      <c r="P841" s="248"/>
      <c r="Q841" s="248"/>
    </row>
    <row r="842" spans="1:17" ht="15.75" hidden="1" customHeight="1">
      <c r="A842" s="274"/>
      <c r="B842" s="212"/>
      <c r="C842" s="202" t="e">
        <f>#REF!</f>
        <v>#REF!</v>
      </c>
      <c r="D842" s="202"/>
      <c r="E842" s="214"/>
      <c r="F842" s="202"/>
      <c r="G842" s="234" t="e">
        <f>Backlog[[#This Row],[OP]]</f>
        <v>#VALUE!</v>
      </c>
      <c r="H842" s="202"/>
      <c r="I842" s="316" t="e">
        <f>IF(Backlog[[#This Row],[Fecha Requerida en Producción]]="","",Backlog[[#This Row],[Fecha Requerida en Producción]])</f>
        <v>#VALUE!</v>
      </c>
      <c r="J842" s="207"/>
      <c r="K842" s="207"/>
      <c r="L842" s="207"/>
      <c r="M842" s="207"/>
      <c r="N842" s="248"/>
      <c r="O842" s="248"/>
      <c r="P842" s="248"/>
      <c r="Q842" s="248"/>
    </row>
    <row r="843" spans="1:17" ht="15.75" hidden="1" customHeight="1">
      <c r="A843" s="274"/>
      <c r="B843" s="212"/>
      <c r="C843" s="202" t="e">
        <f>#REF!</f>
        <v>#REF!</v>
      </c>
      <c r="D843" s="202"/>
      <c r="E843" s="214"/>
      <c r="F843" s="202"/>
      <c r="G843" s="234" t="e">
        <f>Backlog[[#This Row],[OP]]</f>
        <v>#VALUE!</v>
      </c>
      <c r="H843" s="202"/>
      <c r="I843" s="316" t="e">
        <f>IF(Backlog[[#This Row],[Fecha Requerida en Producción]]="","",Backlog[[#This Row],[Fecha Requerida en Producción]])</f>
        <v>#VALUE!</v>
      </c>
      <c r="J843" s="207"/>
      <c r="K843" s="207"/>
      <c r="L843" s="207"/>
      <c r="M843" s="207"/>
      <c r="N843" s="248"/>
      <c r="O843" s="248"/>
      <c r="P843" s="248"/>
      <c r="Q843" s="248"/>
    </row>
    <row r="844" spans="1:17" ht="15.75" hidden="1" customHeight="1">
      <c r="A844" s="274"/>
      <c r="B844" s="212"/>
      <c r="C844" s="202" t="e">
        <f>#REF!</f>
        <v>#REF!</v>
      </c>
      <c r="D844" s="202"/>
      <c r="E844" s="214"/>
      <c r="F844" s="202"/>
      <c r="G844" s="234" t="e">
        <f>Backlog[[#This Row],[OP]]</f>
        <v>#VALUE!</v>
      </c>
      <c r="H844" s="202"/>
      <c r="I844" s="316" t="e">
        <f>IF(Backlog[[#This Row],[Fecha Requerida en Producción]]="","",Backlog[[#This Row],[Fecha Requerida en Producción]])</f>
        <v>#VALUE!</v>
      </c>
      <c r="J844" s="207"/>
      <c r="K844" s="207"/>
      <c r="L844" s="207"/>
      <c r="M844" s="207"/>
      <c r="N844" s="248"/>
      <c r="O844" s="248"/>
      <c r="P844" s="248"/>
      <c r="Q844" s="248"/>
    </row>
    <row r="845" spans="1:17" ht="15.75" hidden="1" customHeight="1">
      <c r="A845" s="274"/>
      <c r="B845" s="212"/>
      <c r="C845" s="202" t="e">
        <f>#REF!</f>
        <v>#REF!</v>
      </c>
      <c r="D845" s="202"/>
      <c r="E845" s="214"/>
      <c r="F845" s="202"/>
      <c r="G845" s="234" t="e">
        <f>Backlog[[#This Row],[OP]]</f>
        <v>#VALUE!</v>
      </c>
      <c r="H845" s="202"/>
      <c r="I845" s="316" t="e">
        <f>IF(Backlog[[#This Row],[Fecha Requerida en Producción]]="","",Backlog[[#This Row],[Fecha Requerida en Producción]])</f>
        <v>#VALUE!</v>
      </c>
      <c r="J845" s="207"/>
      <c r="K845" s="207"/>
      <c r="L845" s="207"/>
      <c r="M845" s="207"/>
      <c r="N845" s="248"/>
      <c r="O845" s="248"/>
      <c r="P845" s="248"/>
      <c r="Q845" s="248"/>
    </row>
    <row r="846" spans="1:17" ht="15.75" hidden="1" customHeight="1">
      <c r="A846" s="274"/>
      <c r="B846" s="212"/>
      <c r="C846" s="202" t="e">
        <f>#REF!</f>
        <v>#REF!</v>
      </c>
      <c r="D846" s="202"/>
      <c r="E846" s="214"/>
      <c r="F846" s="202"/>
      <c r="G846" s="234" t="e">
        <f>Backlog[[#This Row],[OP]]</f>
        <v>#VALUE!</v>
      </c>
      <c r="H846" s="202"/>
      <c r="I846" s="316" t="e">
        <f>IF(Backlog[[#This Row],[Fecha Requerida en Producción]]="","",Backlog[[#This Row],[Fecha Requerida en Producción]])</f>
        <v>#VALUE!</v>
      </c>
      <c r="J846" s="207"/>
      <c r="K846" s="207"/>
      <c r="L846" s="207"/>
      <c r="M846" s="207"/>
      <c r="N846" s="248"/>
      <c r="O846" s="248"/>
      <c r="P846" s="248"/>
      <c r="Q846" s="248"/>
    </row>
    <row r="847" spans="1:17" ht="15.75" hidden="1" customHeight="1">
      <c r="A847" s="274"/>
      <c r="B847" s="212"/>
      <c r="C847" s="202" t="e">
        <f>#REF!</f>
        <v>#REF!</v>
      </c>
      <c r="D847" s="202"/>
      <c r="E847" s="214"/>
      <c r="F847" s="202"/>
      <c r="G847" s="234" t="e">
        <f>Backlog[[#This Row],[OP]]</f>
        <v>#VALUE!</v>
      </c>
      <c r="H847" s="202"/>
      <c r="I847" s="316" t="e">
        <f>IF(Backlog[[#This Row],[Fecha Requerida en Producción]]="","",Backlog[[#This Row],[Fecha Requerida en Producción]])</f>
        <v>#VALUE!</v>
      </c>
      <c r="J847" s="207"/>
      <c r="K847" s="207"/>
      <c r="L847" s="207"/>
      <c r="M847" s="207"/>
      <c r="N847" s="248"/>
      <c r="O847" s="248"/>
      <c r="P847" s="248"/>
      <c r="Q847" s="248"/>
    </row>
    <row r="848" spans="1:17" ht="15.75" hidden="1" customHeight="1">
      <c r="A848" s="274"/>
      <c r="B848" s="212"/>
      <c r="C848" s="202" t="e">
        <f>#REF!</f>
        <v>#REF!</v>
      </c>
      <c r="D848" s="202"/>
      <c r="E848" s="214"/>
      <c r="F848" s="202"/>
      <c r="G848" s="234" t="e">
        <f>Backlog[[#This Row],[OP]]</f>
        <v>#VALUE!</v>
      </c>
      <c r="H848" s="202"/>
      <c r="I848" s="316" t="e">
        <f>IF(Backlog[[#This Row],[Fecha Requerida en Producción]]="","",Backlog[[#This Row],[Fecha Requerida en Producción]])</f>
        <v>#VALUE!</v>
      </c>
      <c r="J848" s="207"/>
      <c r="K848" s="207"/>
      <c r="L848" s="207"/>
      <c r="M848" s="207"/>
      <c r="N848" s="248"/>
      <c r="O848" s="248"/>
      <c r="P848" s="248"/>
      <c r="Q848" s="248"/>
    </row>
    <row r="849" spans="1:17" ht="15.75" hidden="1" customHeight="1">
      <c r="A849" s="274"/>
      <c r="B849" s="212"/>
      <c r="C849" s="202" t="e">
        <f>#REF!</f>
        <v>#REF!</v>
      </c>
      <c r="D849" s="202"/>
      <c r="E849" s="214"/>
      <c r="F849" s="202"/>
      <c r="G849" s="234" t="e">
        <f>Backlog[[#This Row],[OP]]</f>
        <v>#VALUE!</v>
      </c>
      <c r="H849" s="202"/>
      <c r="I849" s="316" t="e">
        <f>IF(Backlog[[#This Row],[Fecha Requerida en Producción]]="","",Backlog[[#This Row],[Fecha Requerida en Producción]])</f>
        <v>#VALUE!</v>
      </c>
      <c r="J849" s="207"/>
      <c r="K849" s="207"/>
      <c r="L849" s="207"/>
      <c r="M849" s="207"/>
      <c r="N849" s="248"/>
      <c r="O849" s="248"/>
      <c r="P849" s="248"/>
      <c r="Q849" s="248"/>
    </row>
    <row r="850" spans="1:17" ht="15.75" hidden="1" customHeight="1">
      <c r="A850" s="274"/>
      <c r="B850" s="212"/>
      <c r="C850" s="202" t="e">
        <f>#REF!</f>
        <v>#REF!</v>
      </c>
      <c r="D850" s="202"/>
      <c r="E850" s="214"/>
      <c r="F850" s="202"/>
      <c r="G850" s="234" t="e">
        <f>Backlog[[#This Row],[OP]]</f>
        <v>#VALUE!</v>
      </c>
      <c r="H850" s="202"/>
      <c r="I850" s="316" t="e">
        <f>IF(Backlog[[#This Row],[Fecha Requerida en Producción]]="","",Backlog[[#This Row],[Fecha Requerida en Producción]])</f>
        <v>#VALUE!</v>
      </c>
      <c r="J850" s="207"/>
      <c r="K850" s="207"/>
      <c r="L850" s="207"/>
      <c r="M850" s="207"/>
      <c r="N850" s="248"/>
      <c r="O850" s="248"/>
      <c r="P850" s="248"/>
      <c r="Q850" s="248"/>
    </row>
    <row r="851" spans="1:17" ht="15.75" hidden="1" customHeight="1">
      <c r="A851" s="274"/>
      <c r="B851" s="212"/>
      <c r="C851" s="202" t="e">
        <f>#REF!</f>
        <v>#REF!</v>
      </c>
      <c r="D851" s="202"/>
      <c r="E851" s="214"/>
      <c r="F851" s="202"/>
      <c r="G851" s="234" t="e">
        <f>Backlog[[#This Row],[OP]]</f>
        <v>#VALUE!</v>
      </c>
      <c r="H851" s="202"/>
      <c r="I851" s="316" t="e">
        <f>IF(Backlog[[#This Row],[Fecha Requerida en Producción]]="","",Backlog[[#This Row],[Fecha Requerida en Producción]])</f>
        <v>#VALUE!</v>
      </c>
      <c r="J851" s="207"/>
      <c r="K851" s="207"/>
      <c r="L851" s="207"/>
      <c r="M851" s="207"/>
      <c r="N851" s="248"/>
      <c r="O851" s="248"/>
      <c r="P851" s="248"/>
      <c r="Q851" s="248"/>
    </row>
    <row r="852" spans="1:17" ht="15.75" hidden="1" customHeight="1">
      <c r="A852" s="274"/>
      <c r="B852" s="212"/>
      <c r="C852" s="202" t="e">
        <f>#REF!</f>
        <v>#REF!</v>
      </c>
      <c r="D852" s="202"/>
      <c r="E852" s="214"/>
      <c r="F852" s="202"/>
      <c r="G852" s="234" t="e">
        <f>Backlog[[#This Row],[OP]]</f>
        <v>#VALUE!</v>
      </c>
      <c r="H852" s="202"/>
      <c r="I852" s="316" t="e">
        <f>IF(Backlog[[#This Row],[Fecha Requerida en Producción]]="","",Backlog[[#This Row],[Fecha Requerida en Producción]])</f>
        <v>#VALUE!</v>
      </c>
      <c r="J852" s="207"/>
      <c r="K852" s="207"/>
      <c r="L852" s="207"/>
      <c r="M852" s="207"/>
      <c r="N852" s="248"/>
      <c r="O852" s="248"/>
      <c r="P852" s="248"/>
      <c r="Q852" s="248"/>
    </row>
    <row r="853" spans="1:17" ht="15.75" hidden="1" customHeight="1">
      <c r="A853" s="274"/>
      <c r="B853" s="212"/>
      <c r="C853" s="202" t="e">
        <f>#REF!</f>
        <v>#REF!</v>
      </c>
      <c r="D853" s="202"/>
      <c r="E853" s="214"/>
      <c r="F853" s="202"/>
      <c r="G853" s="234" t="e">
        <f>Backlog[[#This Row],[OP]]</f>
        <v>#VALUE!</v>
      </c>
      <c r="H853" s="202"/>
      <c r="I853" s="316" t="e">
        <f>IF(Backlog[[#This Row],[Fecha Requerida en Producción]]="","",Backlog[[#This Row],[Fecha Requerida en Producción]])</f>
        <v>#VALUE!</v>
      </c>
      <c r="J853" s="207"/>
      <c r="K853" s="207"/>
      <c r="L853" s="207"/>
      <c r="M853" s="207"/>
      <c r="N853" s="248"/>
      <c r="O853" s="248"/>
      <c r="P853" s="248"/>
      <c r="Q853" s="248"/>
    </row>
    <row r="854" spans="1:17" ht="15.75" hidden="1" customHeight="1">
      <c r="A854" s="274"/>
      <c r="B854" s="212"/>
      <c r="C854" s="202" t="e">
        <f>#REF!</f>
        <v>#REF!</v>
      </c>
      <c r="D854" s="202"/>
      <c r="E854" s="214"/>
      <c r="F854" s="202"/>
      <c r="G854" s="234" t="e">
        <f>Backlog[[#This Row],[OP]]</f>
        <v>#VALUE!</v>
      </c>
      <c r="H854" s="202"/>
      <c r="I854" s="316" t="e">
        <f>IF(Backlog[[#This Row],[Fecha Requerida en Producción]]="","",Backlog[[#This Row],[Fecha Requerida en Producción]])</f>
        <v>#VALUE!</v>
      </c>
      <c r="J854" s="207"/>
      <c r="K854" s="207"/>
      <c r="L854" s="207"/>
      <c r="M854" s="207"/>
      <c r="N854" s="248"/>
      <c r="O854" s="248"/>
      <c r="P854" s="248"/>
      <c r="Q854" s="248"/>
    </row>
    <row r="855" spans="1:17" ht="15.75" hidden="1" customHeight="1">
      <c r="A855" s="274"/>
      <c r="B855" s="212"/>
      <c r="C855" s="202" t="e">
        <f>#REF!</f>
        <v>#REF!</v>
      </c>
      <c r="D855" s="202"/>
      <c r="E855" s="214"/>
      <c r="F855" s="202"/>
      <c r="G855" s="234" t="e">
        <f>Backlog[[#This Row],[OP]]</f>
        <v>#VALUE!</v>
      </c>
      <c r="H855" s="202"/>
      <c r="I855" s="316" t="e">
        <f>IF(Backlog[[#This Row],[Fecha Requerida en Producción]]="","",Backlog[[#This Row],[Fecha Requerida en Producción]])</f>
        <v>#VALUE!</v>
      </c>
      <c r="J855" s="207"/>
      <c r="K855" s="207"/>
      <c r="L855" s="207"/>
      <c r="M855" s="207"/>
      <c r="N855" s="248"/>
      <c r="O855" s="248"/>
      <c r="P855" s="248"/>
      <c r="Q855" s="248"/>
    </row>
    <row r="856" spans="1:17" ht="15.75" hidden="1" customHeight="1">
      <c r="A856" s="274"/>
      <c r="B856" s="212"/>
      <c r="C856" s="202" t="e">
        <f>#REF!</f>
        <v>#REF!</v>
      </c>
      <c r="D856" s="202"/>
      <c r="E856" s="214"/>
      <c r="F856" s="202"/>
      <c r="G856" s="234" t="e">
        <f>Backlog[[#This Row],[OP]]</f>
        <v>#VALUE!</v>
      </c>
      <c r="H856" s="202"/>
      <c r="I856" s="316" t="e">
        <f>IF(Backlog[[#This Row],[Fecha Requerida en Producción]]="","",Backlog[[#This Row],[Fecha Requerida en Producción]])</f>
        <v>#VALUE!</v>
      </c>
      <c r="J856" s="207"/>
      <c r="K856" s="207"/>
      <c r="L856" s="207"/>
      <c r="M856" s="207"/>
      <c r="N856" s="248"/>
      <c r="O856" s="248"/>
      <c r="P856" s="248"/>
      <c r="Q856" s="248"/>
    </row>
    <row r="857" spans="1:17" ht="15.75" hidden="1" customHeight="1">
      <c r="A857" s="274"/>
      <c r="B857" s="212"/>
      <c r="C857" s="202" t="e">
        <f>#REF!</f>
        <v>#REF!</v>
      </c>
      <c r="D857" s="202"/>
      <c r="E857" s="214"/>
      <c r="F857" s="202"/>
      <c r="G857" s="234" t="e">
        <f>Backlog[[#This Row],[OP]]</f>
        <v>#VALUE!</v>
      </c>
      <c r="H857" s="202"/>
      <c r="I857" s="316" t="e">
        <f>IF(Backlog[[#This Row],[Fecha Requerida en Producción]]="","",Backlog[[#This Row],[Fecha Requerida en Producción]])</f>
        <v>#VALUE!</v>
      </c>
      <c r="J857" s="207"/>
      <c r="K857" s="207"/>
      <c r="L857" s="207"/>
      <c r="M857" s="207"/>
      <c r="N857" s="248"/>
      <c r="O857" s="248"/>
      <c r="P857" s="248"/>
      <c r="Q857" s="248"/>
    </row>
    <row r="858" spans="1:17" ht="15.75" hidden="1" customHeight="1">
      <c r="A858" s="274"/>
      <c r="B858" s="212"/>
      <c r="C858" s="202" t="e">
        <f>#REF!</f>
        <v>#REF!</v>
      </c>
      <c r="D858" s="202"/>
      <c r="E858" s="214"/>
      <c r="F858" s="202"/>
      <c r="G858" s="234" t="e">
        <f>Backlog[[#This Row],[OP]]</f>
        <v>#VALUE!</v>
      </c>
      <c r="H858" s="202"/>
      <c r="I858" s="316" t="e">
        <f>IF(Backlog[[#This Row],[Fecha Requerida en Producción]]="","",Backlog[[#This Row],[Fecha Requerida en Producción]])</f>
        <v>#VALUE!</v>
      </c>
      <c r="J858" s="207"/>
      <c r="K858" s="207"/>
      <c r="L858" s="207"/>
      <c r="M858" s="207"/>
      <c r="N858" s="248"/>
      <c r="O858" s="248"/>
      <c r="P858" s="248"/>
      <c r="Q858" s="248"/>
    </row>
    <row r="859" spans="1:17" ht="15.75" hidden="1" customHeight="1">
      <c r="A859" s="274"/>
      <c r="B859" s="212"/>
      <c r="C859" s="202" t="e">
        <f>#REF!</f>
        <v>#REF!</v>
      </c>
      <c r="D859" s="202"/>
      <c r="E859" s="214"/>
      <c r="F859" s="202"/>
      <c r="G859" s="234" t="e">
        <f>Backlog[[#This Row],[OP]]</f>
        <v>#VALUE!</v>
      </c>
      <c r="H859" s="202"/>
      <c r="I859" s="316" t="e">
        <f>IF(Backlog[[#This Row],[Fecha Requerida en Producción]]="","",Backlog[[#This Row],[Fecha Requerida en Producción]])</f>
        <v>#VALUE!</v>
      </c>
      <c r="J859" s="207"/>
      <c r="K859" s="207"/>
      <c r="L859" s="207"/>
      <c r="M859" s="207"/>
      <c r="N859" s="248"/>
      <c r="O859" s="248"/>
      <c r="P859" s="248"/>
      <c r="Q859" s="248"/>
    </row>
    <row r="860" spans="1:17" ht="15.75" hidden="1" customHeight="1">
      <c r="A860" s="274"/>
      <c r="B860" s="212"/>
      <c r="C860" s="202" t="e">
        <f>#REF!</f>
        <v>#REF!</v>
      </c>
      <c r="D860" s="202"/>
      <c r="E860" s="214"/>
      <c r="F860" s="202"/>
      <c r="G860" s="234" t="e">
        <f>Backlog[[#This Row],[OP]]</f>
        <v>#VALUE!</v>
      </c>
      <c r="H860" s="202"/>
      <c r="I860" s="316" t="e">
        <f>IF(Backlog[[#This Row],[Fecha Requerida en Producción]]="","",Backlog[[#This Row],[Fecha Requerida en Producción]])</f>
        <v>#VALUE!</v>
      </c>
      <c r="J860" s="207"/>
      <c r="K860" s="207"/>
      <c r="L860" s="207"/>
      <c r="M860" s="207"/>
      <c r="N860" s="248"/>
      <c r="O860" s="248"/>
      <c r="P860" s="248"/>
      <c r="Q860" s="248"/>
    </row>
    <row r="861" spans="1:17" ht="15.75" hidden="1" customHeight="1">
      <c r="A861" s="274"/>
      <c r="B861" s="212"/>
      <c r="C861" s="202" t="e">
        <f>#REF!</f>
        <v>#REF!</v>
      </c>
      <c r="D861" s="202"/>
      <c r="E861" s="214"/>
      <c r="F861" s="202"/>
      <c r="G861" s="234" t="e">
        <f>Backlog[[#This Row],[OP]]</f>
        <v>#VALUE!</v>
      </c>
      <c r="H861" s="202"/>
      <c r="I861" s="316" t="e">
        <f>IF(Backlog[[#This Row],[Fecha Requerida en Producción]]="","",Backlog[[#This Row],[Fecha Requerida en Producción]])</f>
        <v>#VALUE!</v>
      </c>
      <c r="J861" s="207"/>
      <c r="K861" s="207"/>
      <c r="L861" s="207"/>
      <c r="M861" s="207"/>
      <c r="N861" s="248"/>
      <c r="O861" s="248"/>
      <c r="P861" s="248"/>
      <c r="Q861" s="248"/>
    </row>
    <row r="862" spans="1:17" ht="15.75" hidden="1" customHeight="1">
      <c r="A862" s="274"/>
      <c r="B862" s="212"/>
      <c r="C862" s="202" t="e">
        <f>#REF!</f>
        <v>#REF!</v>
      </c>
      <c r="D862" s="202"/>
      <c r="E862" s="214"/>
      <c r="F862" s="202"/>
      <c r="G862" s="234" t="e">
        <f>Backlog[[#This Row],[OP]]</f>
        <v>#VALUE!</v>
      </c>
      <c r="H862" s="202"/>
      <c r="I862" s="316" t="e">
        <f>IF(Backlog[[#This Row],[Fecha Requerida en Producción]]="","",Backlog[[#This Row],[Fecha Requerida en Producción]])</f>
        <v>#VALUE!</v>
      </c>
      <c r="J862" s="207"/>
      <c r="K862" s="207"/>
      <c r="L862" s="207"/>
      <c r="M862" s="207"/>
      <c r="N862" s="248"/>
      <c r="O862" s="248"/>
      <c r="P862" s="248"/>
      <c r="Q862" s="248"/>
    </row>
    <row r="863" spans="1:17" ht="15.75" hidden="1" customHeight="1">
      <c r="A863" s="274"/>
      <c r="B863" s="212"/>
      <c r="C863" s="202" t="e">
        <f>#REF!</f>
        <v>#REF!</v>
      </c>
      <c r="D863" s="202"/>
      <c r="E863" s="214"/>
      <c r="F863" s="202"/>
      <c r="G863" s="234" t="e">
        <f>Backlog[[#This Row],[OP]]</f>
        <v>#VALUE!</v>
      </c>
      <c r="H863" s="202"/>
      <c r="I863" s="316" t="e">
        <f>IF(Backlog[[#This Row],[Fecha Requerida en Producción]]="","",Backlog[[#This Row],[Fecha Requerida en Producción]])</f>
        <v>#VALUE!</v>
      </c>
      <c r="J863" s="207"/>
      <c r="K863" s="207"/>
      <c r="L863" s="207"/>
      <c r="M863" s="207"/>
      <c r="N863" s="248"/>
      <c r="O863" s="248"/>
      <c r="P863" s="248"/>
      <c r="Q863" s="248"/>
    </row>
    <row r="864" spans="1:17" ht="15.75" hidden="1" customHeight="1">
      <c r="A864" s="274"/>
      <c r="B864" s="212"/>
      <c r="C864" s="202" t="e">
        <f>#REF!</f>
        <v>#REF!</v>
      </c>
      <c r="D864" s="202"/>
      <c r="E864" s="214"/>
      <c r="F864" s="202"/>
      <c r="G864" s="234" t="e">
        <f>Backlog[[#This Row],[OP]]</f>
        <v>#VALUE!</v>
      </c>
      <c r="H864" s="202"/>
      <c r="I864" s="316" t="e">
        <f>IF(Backlog[[#This Row],[Fecha Requerida en Producción]]="","",Backlog[[#This Row],[Fecha Requerida en Producción]])</f>
        <v>#VALUE!</v>
      </c>
      <c r="J864" s="207"/>
      <c r="K864" s="207"/>
      <c r="L864" s="207"/>
      <c r="M864" s="207"/>
      <c r="N864" s="248"/>
      <c r="O864" s="248"/>
      <c r="P864" s="248"/>
      <c r="Q864" s="248"/>
    </row>
    <row r="865" spans="1:17" ht="15.75" hidden="1" customHeight="1">
      <c r="A865" s="274"/>
      <c r="B865" s="212"/>
      <c r="C865" s="202" t="e">
        <f>#REF!</f>
        <v>#REF!</v>
      </c>
      <c r="D865" s="202"/>
      <c r="E865" s="214"/>
      <c r="F865" s="202"/>
      <c r="G865" s="234" t="e">
        <f>Backlog[[#This Row],[OP]]</f>
        <v>#VALUE!</v>
      </c>
      <c r="H865" s="202"/>
      <c r="I865" s="316" t="e">
        <f>IF(Backlog[[#This Row],[Fecha Requerida en Producción]]="","",Backlog[[#This Row],[Fecha Requerida en Producción]])</f>
        <v>#VALUE!</v>
      </c>
      <c r="J865" s="207"/>
      <c r="K865" s="207"/>
      <c r="L865" s="207"/>
      <c r="M865" s="207"/>
      <c r="N865" s="248"/>
      <c r="O865" s="248"/>
      <c r="P865" s="248"/>
      <c r="Q865" s="248"/>
    </row>
    <row r="866" spans="1:17" ht="15.75" hidden="1" customHeight="1">
      <c r="A866" s="274"/>
      <c r="B866" s="212"/>
      <c r="C866" s="202" t="e">
        <f>#REF!</f>
        <v>#REF!</v>
      </c>
      <c r="D866" s="202"/>
      <c r="E866" s="214"/>
      <c r="F866" s="202"/>
      <c r="G866" s="234" t="e">
        <f>Backlog[[#This Row],[OP]]</f>
        <v>#VALUE!</v>
      </c>
      <c r="H866" s="202"/>
      <c r="I866" s="316" t="e">
        <f>IF(Backlog[[#This Row],[Fecha Requerida en Producción]]="","",Backlog[[#This Row],[Fecha Requerida en Producción]])</f>
        <v>#VALUE!</v>
      </c>
      <c r="J866" s="207"/>
      <c r="K866" s="207"/>
      <c r="L866" s="207"/>
      <c r="M866" s="207"/>
      <c r="N866" s="248"/>
      <c r="O866" s="248"/>
      <c r="P866" s="248"/>
      <c r="Q866" s="248"/>
    </row>
    <row r="867" spans="1:17" ht="15.75" hidden="1" customHeight="1">
      <c r="A867" s="274"/>
      <c r="B867" s="212"/>
      <c r="C867" s="202" t="e">
        <f>#REF!</f>
        <v>#REF!</v>
      </c>
      <c r="D867" s="202"/>
      <c r="E867" s="214"/>
      <c r="F867" s="202"/>
      <c r="G867" s="234" t="e">
        <f>Backlog[[#This Row],[OP]]</f>
        <v>#VALUE!</v>
      </c>
      <c r="H867" s="202"/>
      <c r="I867" s="316" t="e">
        <f>IF(Backlog[[#This Row],[Fecha Requerida en Producción]]="","",Backlog[[#This Row],[Fecha Requerida en Producción]])</f>
        <v>#VALUE!</v>
      </c>
      <c r="J867" s="207"/>
      <c r="K867" s="207"/>
      <c r="L867" s="207"/>
      <c r="M867" s="207"/>
      <c r="N867" s="248"/>
      <c r="O867" s="248"/>
      <c r="P867" s="248"/>
      <c r="Q867" s="248"/>
    </row>
    <row r="868" spans="1:17" ht="15.75" hidden="1" customHeight="1">
      <c r="A868" s="274"/>
      <c r="B868" s="212"/>
      <c r="C868" s="202" t="e">
        <f>#REF!</f>
        <v>#REF!</v>
      </c>
      <c r="D868" s="202"/>
      <c r="E868" s="214"/>
      <c r="F868" s="202"/>
      <c r="G868" s="234" t="e">
        <f>Backlog[[#This Row],[OP]]</f>
        <v>#VALUE!</v>
      </c>
      <c r="H868" s="202"/>
      <c r="I868" s="316" t="e">
        <f>IF(Backlog[[#This Row],[Fecha Requerida en Producción]]="","",Backlog[[#This Row],[Fecha Requerida en Producción]])</f>
        <v>#VALUE!</v>
      </c>
      <c r="J868" s="207"/>
      <c r="K868" s="207"/>
      <c r="L868" s="207"/>
      <c r="M868" s="207"/>
      <c r="N868" s="248"/>
      <c r="O868" s="248"/>
      <c r="P868" s="248"/>
      <c r="Q868" s="248"/>
    </row>
    <row r="869" spans="1:17" ht="15.75" hidden="1" customHeight="1">
      <c r="A869" s="274"/>
      <c r="B869" s="212"/>
      <c r="C869" s="202" t="e">
        <f>#REF!</f>
        <v>#REF!</v>
      </c>
      <c r="D869" s="202"/>
      <c r="E869" s="214"/>
      <c r="F869" s="202"/>
      <c r="G869" s="234" t="e">
        <f>Backlog[[#This Row],[OP]]</f>
        <v>#VALUE!</v>
      </c>
      <c r="H869" s="202"/>
      <c r="I869" s="316" t="e">
        <f>IF(Backlog[[#This Row],[Fecha Requerida en Producción]]="","",Backlog[[#This Row],[Fecha Requerida en Producción]])</f>
        <v>#VALUE!</v>
      </c>
      <c r="J869" s="207"/>
      <c r="K869" s="207"/>
      <c r="L869" s="207"/>
      <c r="M869" s="207"/>
      <c r="N869" s="248"/>
      <c r="O869" s="248"/>
      <c r="P869" s="248"/>
      <c r="Q869" s="248"/>
    </row>
    <row r="870" spans="1:17" ht="15.75" hidden="1" customHeight="1">
      <c r="A870" s="274"/>
      <c r="B870" s="212"/>
      <c r="C870" s="202" t="e">
        <f>#REF!</f>
        <v>#REF!</v>
      </c>
      <c r="D870" s="202"/>
      <c r="E870" s="214"/>
      <c r="F870" s="202"/>
      <c r="G870" s="234" t="e">
        <f>Backlog[[#This Row],[OP]]</f>
        <v>#VALUE!</v>
      </c>
      <c r="H870" s="202"/>
      <c r="I870" s="316" t="e">
        <f>IF(Backlog[[#This Row],[Fecha Requerida en Producción]]="","",Backlog[[#This Row],[Fecha Requerida en Producción]])</f>
        <v>#VALUE!</v>
      </c>
      <c r="J870" s="207"/>
      <c r="K870" s="207"/>
      <c r="L870" s="207"/>
      <c r="M870" s="207"/>
      <c r="N870" s="248"/>
      <c r="O870" s="248"/>
      <c r="P870" s="248"/>
      <c r="Q870" s="248"/>
    </row>
    <row r="871" spans="1:17" ht="15.75" hidden="1" customHeight="1">
      <c r="A871" s="274"/>
      <c r="B871" s="212"/>
      <c r="C871" s="202" t="e">
        <f>#REF!</f>
        <v>#REF!</v>
      </c>
      <c r="D871" s="202"/>
      <c r="E871" s="214"/>
      <c r="F871" s="202"/>
      <c r="G871" s="234" t="e">
        <f>Backlog[[#This Row],[OP]]</f>
        <v>#VALUE!</v>
      </c>
      <c r="H871" s="202"/>
      <c r="I871" s="316" t="e">
        <f>IF(Backlog[[#This Row],[Fecha Requerida en Producción]]="","",Backlog[[#This Row],[Fecha Requerida en Producción]])</f>
        <v>#VALUE!</v>
      </c>
      <c r="J871" s="207"/>
      <c r="K871" s="207"/>
      <c r="L871" s="207"/>
      <c r="M871" s="207"/>
      <c r="N871" s="248"/>
      <c r="O871" s="248"/>
      <c r="P871" s="248"/>
      <c r="Q871" s="248"/>
    </row>
    <row r="872" spans="1:17" ht="15.75" hidden="1" customHeight="1">
      <c r="A872" s="274"/>
      <c r="B872" s="212"/>
      <c r="C872" s="202" t="e">
        <f>#REF!</f>
        <v>#REF!</v>
      </c>
      <c r="D872" s="202"/>
      <c r="E872" s="214"/>
      <c r="F872" s="202"/>
      <c r="G872" s="234" t="e">
        <f>Backlog[[#This Row],[OP]]</f>
        <v>#VALUE!</v>
      </c>
      <c r="H872" s="202"/>
      <c r="I872" s="316" t="e">
        <f>IF(Backlog[[#This Row],[Fecha Requerida en Producción]]="","",Backlog[[#This Row],[Fecha Requerida en Producción]])</f>
        <v>#VALUE!</v>
      </c>
      <c r="J872" s="207"/>
      <c r="K872" s="207"/>
      <c r="L872" s="207"/>
      <c r="M872" s="207"/>
      <c r="N872" s="248"/>
      <c r="O872" s="248"/>
      <c r="P872" s="248"/>
      <c r="Q872" s="248"/>
    </row>
    <row r="873" spans="1:17" ht="15.75" hidden="1" customHeight="1">
      <c r="A873" s="274"/>
      <c r="B873" s="212"/>
      <c r="C873" s="202" t="e">
        <f>#REF!</f>
        <v>#REF!</v>
      </c>
      <c r="D873" s="202"/>
      <c r="E873" s="214"/>
      <c r="F873" s="202"/>
      <c r="G873" s="234" t="e">
        <f>Backlog[[#This Row],[OP]]</f>
        <v>#VALUE!</v>
      </c>
      <c r="H873" s="202"/>
      <c r="I873" s="316" t="e">
        <f>IF(Backlog[[#This Row],[Fecha Requerida en Producción]]="","",Backlog[[#This Row],[Fecha Requerida en Producción]])</f>
        <v>#VALUE!</v>
      </c>
      <c r="J873" s="207"/>
      <c r="K873" s="207"/>
      <c r="L873" s="207"/>
      <c r="M873" s="207"/>
      <c r="N873" s="248"/>
      <c r="O873" s="248"/>
      <c r="P873" s="248"/>
      <c r="Q873" s="248"/>
    </row>
    <row r="874" spans="1:17" ht="15.75" hidden="1" customHeight="1">
      <c r="A874" s="274"/>
      <c r="B874" s="212"/>
      <c r="C874" s="202" t="e">
        <f>#REF!</f>
        <v>#REF!</v>
      </c>
      <c r="D874" s="202"/>
      <c r="E874" s="214"/>
      <c r="F874" s="202"/>
      <c r="G874" s="234" t="e">
        <f>Backlog[[#This Row],[OP]]</f>
        <v>#VALUE!</v>
      </c>
      <c r="H874" s="202"/>
      <c r="I874" s="316" t="e">
        <f>IF(Backlog[[#This Row],[Fecha Requerida en Producción]]="","",Backlog[[#This Row],[Fecha Requerida en Producción]])</f>
        <v>#VALUE!</v>
      </c>
      <c r="J874" s="207"/>
      <c r="K874" s="207"/>
      <c r="L874" s="207"/>
      <c r="M874" s="207"/>
      <c r="N874" s="248"/>
      <c r="O874" s="248"/>
      <c r="P874" s="248"/>
      <c r="Q874" s="248"/>
    </row>
    <row r="875" spans="1:17" ht="15.75" hidden="1" customHeight="1">
      <c r="A875" s="274"/>
      <c r="B875" s="212"/>
      <c r="C875" s="202" t="e">
        <f>#REF!</f>
        <v>#REF!</v>
      </c>
      <c r="D875" s="202"/>
      <c r="E875" s="214"/>
      <c r="F875" s="202"/>
      <c r="G875" s="234" t="e">
        <f>Backlog[[#This Row],[OP]]</f>
        <v>#VALUE!</v>
      </c>
      <c r="H875" s="202"/>
      <c r="I875" s="316" t="e">
        <f>IF(Backlog[[#This Row],[Fecha Requerida en Producción]]="","",Backlog[[#This Row],[Fecha Requerida en Producción]])</f>
        <v>#VALUE!</v>
      </c>
      <c r="J875" s="207"/>
      <c r="K875" s="207"/>
      <c r="L875" s="207"/>
      <c r="M875" s="207"/>
      <c r="N875" s="248"/>
      <c r="O875" s="248"/>
      <c r="P875" s="248"/>
      <c r="Q875" s="248"/>
    </row>
    <row r="876" spans="1:17" ht="15.75" hidden="1" customHeight="1">
      <c r="A876" s="274"/>
      <c r="B876" s="212"/>
      <c r="C876" s="202" t="e">
        <f>#REF!</f>
        <v>#REF!</v>
      </c>
      <c r="D876" s="202"/>
      <c r="E876" s="214"/>
      <c r="F876" s="202"/>
      <c r="G876" s="234" t="e">
        <f>Backlog[[#This Row],[OP]]</f>
        <v>#VALUE!</v>
      </c>
      <c r="H876" s="202"/>
      <c r="I876" s="316" t="e">
        <f>IF(Backlog[[#This Row],[Fecha Requerida en Producción]]="","",Backlog[[#This Row],[Fecha Requerida en Producción]])</f>
        <v>#VALUE!</v>
      </c>
      <c r="J876" s="207"/>
      <c r="K876" s="207"/>
      <c r="L876" s="207"/>
      <c r="M876" s="207"/>
      <c r="N876" s="248"/>
      <c r="O876" s="248"/>
      <c r="P876" s="248"/>
      <c r="Q876" s="248"/>
    </row>
    <row r="877" spans="1:17" ht="15.75" hidden="1" customHeight="1">
      <c r="A877" s="274"/>
      <c r="B877" s="212"/>
      <c r="C877" s="202" t="e">
        <f>#REF!</f>
        <v>#REF!</v>
      </c>
      <c r="D877" s="202"/>
      <c r="E877" s="214"/>
      <c r="F877" s="202"/>
      <c r="G877" s="234" t="e">
        <f>Backlog[[#This Row],[OP]]</f>
        <v>#VALUE!</v>
      </c>
      <c r="H877" s="202"/>
      <c r="I877" s="316" t="e">
        <f>IF(Backlog[[#This Row],[Fecha Requerida en Producción]]="","",Backlog[[#This Row],[Fecha Requerida en Producción]])</f>
        <v>#VALUE!</v>
      </c>
      <c r="J877" s="207"/>
      <c r="K877" s="207"/>
      <c r="L877" s="207"/>
      <c r="M877" s="207"/>
      <c r="N877" s="248"/>
      <c r="O877" s="248"/>
      <c r="P877" s="248"/>
      <c r="Q877" s="248"/>
    </row>
    <row r="878" spans="1:17" ht="15.75" hidden="1" customHeight="1">
      <c r="A878" s="274"/>
      <c r="B878" s="212"/>
      <c r="C878" s="202" t="e">
        <f>#REF!</f>
        <v>#REF!</v>
      </c>
      <c r="D878" s="202"/>
      <c r="E878" s="214"/>
      <c r="F878" s="202"/>
      <c r="G878" s="234" t="e">
        <f>Backlog[[#This Row],[OP]]</f>
        <v>#VALUE!</v>
      </c>
      <c r="H878" s="202"/>
      <c r="I878" s="316" t="e">
        <f>IF(Backlog[[#This Row],[Fecha Requerida en Producción]]="","",Backlog[[#This Row],[Fecha Requerida en Producción]])</f>
        <v>#VALUE!</v>
      </c>
      <c r="J878" s="207"/>
      <c r="K878" s="207"/>
      <c r="L878" s="207"/>
      <c r="M878" s="207"/>
      <c r="N878" s="248"/>
      <c r="O878" s="248"/>
      <c r="P878" s="248"/>
      <c r="Q878" s="248"/>
    </row>
    <row r="879" spans="1:17" ht="15.75" hidden="1" customHeight="1">
      <c r="A879" s="274"/>
      <c r="B879" s="212"/>
      <c r="C879" s="202" t="e">
        <f>#REF!</f>
        <v>#REF!</v>
      </c>
      <c r="D879" s="202"/>
      <c r="E879" s="214"/>
      <c r="F879" s="202"/>
      <c r="G879" s="234" t="e">
        <f>Backlog[[#This Row],[OP]]</f>
        <v>#VALUE!</v>
      </c>
      <c r="H879" s="202"/>
      <c r="I879" s="316" t="e">
        <f>IF(Backlog[[#This Row],[Fecha Requerida en Producción]]="","",Backlog[[#This Row],[Fecha Requerida en Producción]])</f>
        <v>#VALUE!</v>
      </c>
      <c r="J879" s="207"/>
      <c r="K879" s="207"/>
      <c r="L879" s="207"/>
      <c r="M879" s="207"/>
      <c r="N879" s="248"/>
      <c r="O879" s="248"/>
      <c r="P879" s="248"/>
      <c r="Q879" s="248"/>
    </row>
    <row r="880" spans="1:17" ht="15.75" hidden="1" customHeight="1">
      <c r="A880" s="274"/>
      <c r="B880" s="212"/>
      <c r="C880" s="202" t="e">
        <f>#REF!</f>
        <v>#REF!</v>
      </c>
      <c r="D880" s="202"/>
      <c r="E880" s="214"/>
      <c r="F880" s="202"/>
      <c r="G880" s="234" t="e">
        <f>Backlog[[#This Row],[OP]]</f>
        <v>#VALUE!</v>
      </c>
      <c r="H880" s="202"/>
      <c r="I880" s="316" t="e">
        <f>IF(Backlog[[#This Row],[Fecha Requerida en Producción]]="","",Backlog[[#This Row],[Fecha Requerida en Producción]])</f>
        <v>#VALUE!</v>
      </c>
      <c r="J880" s="207"/>
      <c r="K880" s="207"/>
      <c r="L880" s="207"/>
      <c r="M880" s="207"/>
      <c r="N880" s="248"/>
      <c r="O880" s="248"/>
      <c r="P880" s="248"/>
      <c r="Q880" s="248"/>
    </row>
    <row r="881" spans="1:17" ht="15.75" hidden="1" customHeight="1">
      <c r="A881" s="274"/>
      <c r="B881" s="212"/>
      <c r="C881" s="202" t="e">
        <f>#REF!</f>
        <v>#REF!</v>
      </c>
      <c r="D881" s="202"/>
      <c r="E881" s="214"/>
      <c r="F881" s="202"/>
      <c r="G881" s="234" t="e">
        <f>Backlog[[#This Row],[OP]]</f>
        <v>#VALUE!</v>
      </c>
      <c r="H881" s="202"/>
      <c r="I881" s="316" t="e">
        <f>IF(Backlog[[#This Row],[Fecha Requerida en Producción]]="","",Backlog[[#This Row],[Fecha Requerida en Producción]])</f>
        <v>#VALUE!</v>
      </c>
      <c r="J881" s="207"/>
      <c r="K881" s="207"/>
      <c r="L881" s="207"/>
      <c r="M881" s="207"/>
      <c r="N881" s="248"/>
      <c r="O881" s="248"/>
      <c r="P881" s="248"/>
      <c r="Q881" s="248"/>
    </row>
    <row r="882" spans="1:17" ht="15.75" hidden="1" customHeight="1">
      <c r="A882" s="274"/>
      <c r="B882" s="212"/>
      <c r="C882" s="202" t="e">
        <f>#REF!</f>
        <v>#REF!</v>
      </c>
      <c r="D882" s="202"/>
      <c r="E882" s="214"/>
      <c r="F882" s="202"/>
      <c r="G882" s="234" t="e">
        <f>Backlog[[#This Row],[OP]]</f>
        <v>#VALUE!</v>
      </c>
      <c r="H882" s="202"/>
      <c r="I882" s="316" t="e">
        <f>IF(Backlog[[#This Row],[Fecha Requerida en Producción]]="","",Backlog[[#This Row],[Fecha Requerida en Producción]])</f>
        <v>#VALUE!</v>
      </c>
      <c r="J882" s="207"/>
      <c r="K882" s="207"/>
      <c r="L882" s="207"/>
      <c r="M882" s="207"/>
      <c r="N882" s="248"/>
      <c r="O882" s="248"/>
      <c r="P882" s="248"/>
      <c r="Q882" s="248"/>
    </row>
    <row r="883" spans="1:17" ht="15.75" hidden="1" customHeight="1">
      <c r="A883" s="274"/>
      <c r="B883" s="212"/>
      <c r="C883" s="202" t="e">
        <f>#REF!</f>
        <v>#REF!</v>
      </c>
      <c r="D883" s="202"/>
      <c r="E883" s="214"/>
      <c r="F883" s="202"/>
      <c r="G883" s="234" t="e">
        <f>Backlog[[#This Row],[OP]]</f>
        <v>#VALUE!</v>
      </c>
      <c r="H883" s="202"/>
      <c r="I883" s="316" t="e">
        <f>IF(Backlog[[#This Row],[Fecha Requerida en Producción]]="","",Backlog[[#This Row],[Fecha Requerida en Producción]])</f>
        <v>#VALUE!</v>
      </c>
      <c r="J883" s="207"/>
      <c r="K883" s="207"/>
      <c r="L883" s="207"/>
      <c r="M883" s="207"/>
      <c r="N883" s="248"/>
      <c r="O883" s="248"/>
      <c r="P883" s="248"/>
      <c r="Q883" s="248"/>
    </row>
    <row r="884" spans="1:17" ht="15.75" hidden="1" customHeight="1">
      <c r="A884" s="274"/>
      <c r="B884" s="212"/>
      <c r="C884" s="202" t="e">
        <f>#REF!</f>
        <v>#REF!</v>
      </c>
      <c r="D884" s="202"/>
      <c r="E884" s="214"/>
      <c r="F884" s="202"/>
      <c r="G884" s="234" t="e">
        <f>Backlog[[#This Row],[OP]]</f>
        <v>#VALUE!</v>
      </c>
      <c r="H884" s="202"/>
      <c r="I884" s="316" t="e">
        <f>IF(Backlog[[#This Row],[Fecha Requerida en Producción]]="","",Backlog[[#This Row],[Fecha Requerida en Producción]])</f>
        <v>#VALUE!</v>
      </c>
      <c r="J884" s="207"/>
      <c r="K884" s="207"/>
      <c r="L884" s="207"/>
      <c r="M884" s="207"/>
      <c r="N884" s="248"/>
      <c r="O884" s="248"/>
      <c r="P884" s="248"/>
      <c r="Q884" s="248"/>
    </row>
    <row r="885" spans="1:17" ht="15.75" hidden="1" customHeight="1">
      <c r="A885" s="274"/>
      <c r="B885" s="212"/>
      <c r="C885" s="202" t="e">
        <f>#REF!</f>
        <v>#REF!</v>
      </c>
      <c r="D885" s="202"/>
      <c r="E885" s="214"/>
      <c r="F885" s="202"/>
      <c r="G885" s="234" t="e">
        <f>Backlog[[#This Row],[OP]]</f>
        <v>#VALUE!</v>
      </c>
      <c r="H885" s="202"/>
      <c r="I885" s="316" t="e">
        <f>IF(Backlog[[#This Row],[Fecha Requerida en Producción]]="","",Backlog[[#This Row],[Fecha Requerida en Producción]])</f>
        <v>#VALUE!</v>
      </c>
      <c r="J885" s="207"/>
      <c r="K885" s="207"/>
      <c r="L885" s="207"/>
      <c r="M885" s="207"/>
      <c r="N885" s="248"/>
      <c r="O885" s="248"/>
      <c r="P885" s="248"/>
      <c r="Q885" s="248"/>
    </row>
    <row r="886" spans="1:17" ht="15.75" hidden="1" customHeight="1">
      <c r="A886" s="274"/>
      <c r="B886" s="212"/>
      <c r="C886" s="202" t="e">
        <f>#REF!</f>
        <v>#REF!</v>
      </c>
      <c r="D886" s="202"/>
      <c r="E886" s="214"/>
      <c r="F886" s="202"/>
      <c r="G886" s="234" t="e">
        <f>Backlog[[#This Row],[OP]]</f>
        <v>#VALUE!</v>
      </c>
      <c r="H886" s="202"/>
      <c r="I886" s="316" t="e">
        <f>IF(Backlog[[#This Row],[Fecha Requerida en Producción]]="","",Backlog[[#This Row],[Fecha Requerida en Producción]])</f>
        <v>#VALUE!</v>
      </c>
      <c r="J886" s="207"/>
      <c r="K886" s="207"/>
      <c r="L886" s="207"/>
      <c r="M886" s="207"/>
      <c r="N886" s="248"/>
      <c r="O886" s="248"/>
      <c r="P886" s="248"/>
      <c r="Q886" s="248"/>
    </row>
    <row r="887" spans="1:17" ht="15.75" hidden="1" customHeight="1">
      <c r="A887" s="274"/>
      <c r="B887" s="212"/>
      <c r="C887" s="202" t="e">
        <f>#REF!</f>
        <v>#REF!</v>
      </c>
      <c r="D887" s="202"/>
      <c r="E887" s="214"/>
      <c r="F887" s="202"/>
      <c r="G887" s="234" t="e">
        <f>Backlog[[#This Row],[OP]]</f>
        <v>#VALUE!</v>
      </c>
      <c r="H887" s="202"/>
      <c r="I887" s="316" t="e">
        <f>IF(Backlog[[#This Row],[Fecha Requerida en Producción]]="","",Backlog[[#This Row],[Fecha Requerida en Producción]])</f>
        <v>#VALUE!</v>
      </c>
      <c r="J887" s="207"/>
      <c r="K887" s="207"/>
      <c r="L887" s="207"/>
      <c r="M887" s="207"/>
      <c r="N887" s="248"/>
      <c r="O887" s="248"/>
      <c r="P887" s="248"/>
      <c r="Q887" s="248"/>
    </row>
    <row r="888" spans="1:17" ht="15.75" hidden="1" customHeight="1">
      <c r="A888" s="274"/>
      <c r="B888" s="212"/>
      <c r="C888" s="202" t="e">
        <f>#REF!</f>
        <v>#REF!</v>
      </c>
      <c r="D888" s="202"/>
      <c r="E888" s="214"/>
      <c r="F888" s="202"/>
      <c r="G888" s="234" t="e">
        <f>Backlog[[#This Row],[OP]]</f>
        <v>#VALUE!</v>
      </c>
      <c r="H888" s="202"/>
      <c r="I888" s="316" t="e">
        <f>IF(Backlog[[#This Row],[Fecha Requerida en Producción]]="","",Backlog[[#This Row],[Fecha Requerida en Producción]])</f>
        <v>#VALUE!</v>
      </c>
      <c r="J888" s="207"/>
      <c r="K888" s="207"/>
      <c r="L888" s="207"/>
      <c r="M888" s="207"/>
      <c r="N888" s="248"/>
      <c r="O888" s="248"/>
      <c r="P888" s="248"/>
      <c r="Q888" s="248"/>
    </row>
    <row r="889" spans="1:17" ht="15.75" hidden="1" customHeight="1">
      <c r="A889" s="274"/>
      <c r="B889" s="212"/>
      <c r="C889" s="202" t="e">
        <f>#REF!</f>
        <v>#REF!</v>
      </c>
      <c r="D889" s="202"/>
      <c r="E889" s="214"/>
      <c r="F889" s="202"/>
      <c r="G889" s="234" t="e">
        <f>Backlog[[#This Row],[OP]]</f>
        <v>#VALUE!</v>
      </c>
      <c r="H889" s="202"/>
      <c r="I889" s="316" t="e">
        <f>IF(Backlog[[#This Row],[Fecha Requerida en Producción]]="","",Backlog[[#This Row],[Fecha Requerida en Producción]])</f>
        <v>#VALUE!</v>
      </c>
      <c r="J889" s="207"/>
      <c r="K889" s="207"/>
      <c r="L889" s="207"/>
      <c r="M889" s="207"/>
      <c r="N889" s="248"/>
      <c r="O889" s="248"/>
      <c r="P889" s="248"/>
      <c r="Q889" s="248"/>
    </row>
    <row r="890" spans="1:17" ht="15.75" hidden="1" customHeight="1">
      <c r="A890" s="274"/>
      <c r="B890" s="212"/>
      <c r="C890" s="202" t="e">
        <f>#REF!</f>
        <v>#REF!</v>
      </c>
      <c r="D890" s="202"/>
      <c r="E890" s="214"/>
      <c r="F890" s="202"/>
      <c r="G890" s="234" t="e">
        <f>Backlog[[#This Row],[OP]]</f>
        <v>#VALUE!</v>
      </c>
      <c r="H890" s="202"/>
      <c r="I890" s="316" t="e">
        <f>IF(Backlog[[#This Row],[Fecha Requerida en Producción]]="","",Backlog[[#This Row],[Fecha Requerida en Producción]])</f>
        <v>#VALUE!</v>
      </c>
      <c r="J890" s="207"/>
      <c r="K890" s="207"/>
      <c r="L890" s="207"/>
      <c r="M890" s="207"/>
      <c r="N890" s="248"/>
      <c r="O890" s="248"/>
      <c r="P890" s="248"/>
      <c r="Q890" s="248"/>
    </row>
    <row r="891" spans="1:17" ht="15.75" hidden="1" customHeight="1">
      <c r="A891" s="274"/>
      <c r="B891" s="212"/>
      <c r="C891" s="202" t="e">
        <f>#REF!</f>
        <v>#REF!</v>
      </c>
      <c r="D891" s="202"/>
      <c r="E891" s="214"/>
      <c r="F891" s="202"/>
      <c r="G891" s="234" t="e">
        <f>Backlog[[#This Row],[OP]]</f>
        <v>#VALUE!</v>
      </c>
      <c r="H891" s="202"/>
      <c r="I891" s="316" t="e">
        <f>IF(Backlog[[#This Row],[Fecha Requerida en Producción]]="","",Backlog[[#This Row],[Fecha Requerida en Producción]])</f>
        <v>#VALUE!</v>
      </c>
      <c r="J891" s="207"/>
      <c r="K891" s="207"/>
      <c r="L891" s="207"/>
      <c r="M891" s="207"/>
      <c r="N891" s="248"/>
      <c r="O891" s="248"/>
      <c r="P891" s="248"/>
      <c r="Q891" s="248"/>
    </row>
    <row r="892" spans="1:17" ht="15.75" hidden="1" customHeight="1">
      <c r="A892" s="274"/>
      <c r="B892" s="212"/>
      <c r="C892" s="202" t="e">
        <f>#REF!</f>
        <v>#REF!</v>
      </c>
      <c r="D892" s="202"/>
      <c r="E892" s="214"/>
      <c r="F892" s="202"/>
      <c r="G892" s="234" t="e">
        <f>Backlog[[#This Row],[OP]]</f>
        <v>#VALUE!</v>
      </c>
      <c r="H892" s="202"/>
      <c r="I892" s="316" t="e">
        <f>IF(Backlog[[#This Row],[Fecha Requerida en Producción]]="","",Backlog[[#This Row],[Fecha Requerida en Producción]])</f>
        <v>#VALUE!</v>
      </c>
      <c r="J892" s="207"/>
      <c r="K892" s="207"/>
      <c r="L892" s="207"/>
      <c r="M892" s="207"/>
      <c r="N892" s="248"/>
      <c r="O892" s="248"/>
      <c r="P892" s="248"/>
      <c r="Q892" s="248"/>
    </row>
    <row r="893" spans="1:17" ht="15.75" hidden="1" customHeight="1">
      <c r="A893" s="274"/>
      <c r="B893" s="212"/>
      <c r="C893" s="202" t="e">
        <f>#REF!</f>
        <v>#REF!</v>
      </c>
      <c r="D893" s="202"/>
      <c r="E893" s="214"/>
      <c r="F893" s="202"/>
      <c r="G893" s="234" t="e">
        <f>Backlog[[#This Row],[OP]]</f>
        <v>#VALUE!</v>
      </c>
      <c r="H893" s="202"/>
      <c r="I893" s="316" t="e">
        <f>IF(Backlog[[#This Row],[Fecha Requerida en Producción]]="","",Backlog[[#This Row],[Fecha Requerida en Producción]])</f>
        <v>#VALUE!</v>
      </c>
      <c r="J893" s="207"/>
      <c r="K893" s="207"/>
      <c r="L893" s="207"/>
      <c r="M893" s="207"/>
      <c r="N893" s="248"/>
      <c r="O893" s="248"/>
      <c r="P893" s="248"/>
      <c r="Q893" s="248"/>
    </row>
    <row r="894" spans="1:17" ht="15.75" hidden="1" customHeight="1">
      <c r="A894" s="274"/>
      <c r="B894" s="212"/>
      <c r="C894" s="202" t="e">
        <f>#REF!</f>
        <v>#REF!</v>
      </c>
      <c r="D894" s="202"/>
      <c r="E894" s="214"/>
      <c r="F894" s="202"/>
      <c r="G894" s="234" t="e">
        <f>Backlog[[#This Row],[OP]]</f>
        <v>#VALUE!</v>
      </c>
      <c r="H894" s="202"/>
      <c r="I894" s="316" t="e">
        <f>IF(Backlog[[#This Row],[Fecha Requerida en Producción]]="","",Backlog[[#This Row],[Fecha Requerida en Producción]])</f>
        <v>#VALUE!</v>
      </c>
      <c r="J894" s="207"/>
      <c r="K894" s="207"/>
      <c r="L894" s="207"/>
      <c r="M894" s="207"/>
      <c r="N894" s="248"/>
      <c r="O894" s="248"/>
      <c r="P894" s="248"/>
      <c r="Q894" s="248"/>
    </row>
    <row r="895" spans="1:17" ht="15.75" hidden="1" customHeight="1">
      <c r="A895" s="274"/>
      <c r="B895" s="212"/>
      <c r="C895" s="202" t="e">
        <f>#REF!</f>
        <v>#REF!</v>
      </c>
      <c r="D895" s="202"/>
      <c r="E895" s="214"/>
      <c r="F895" s="202"/>
      <c r="G895" s="234" t="e">
        <f>Backlog[[#This Row],[OP]]</f>
        <v>#VALUE!</v>
      </c>
      <c r="H895" s="202"/>
      <c r="I895" s="316" t="e">
        <f>IF(Backlog[[#This Row],[Fecha Requerida en Producción]]="","",Backlog[[#This Row],[Fecha Requerida en Producción]])</f>
        <v>#VALUE!</v>
      </c>
      <c r="J895" s="207"/>
      <c r="K895" s="207"/>
      <c r="L895" s="207"/>
      <c r="M895" s="207"/>
      <c r="N895" s="248"/>
      <c r="O895" s="248"/>
      <c r="P895" s="248"/>
      <c r="Q895" s="248"/>
    </row>
    <row r="896" spans="1:17" ht="15.75" hidden="1" customHeight="1">
      <c r="A896" s="274"/>
      <c r="B896" s="212"/>
      <c r="C896" s="202" t="e">
        <f>#REF!</f>
        <v>#REF!</v>
      </c>
      <c r="D896" s="202"/>
      <c r="E896" s="214"/>
      <c r="F896" s="202"/>
      <c r="G896" s="234" t="e">
        <f>Backlog[[#This Row],[OP]]</f>
        <v>#VALUE!</v>
      </c>
      <c r="H896" s="202"/>
      <c r="I896" s="316" t="e">
        <f>IF(Backlog[[#This Row],[Fecha Requerida en Producción]]="","",Backlog[[#This Row],[Fecha Requerida en Producción]])</f>
        <v>#VALUE!</v>
      </c>
      <c r="J896" s="207"/>
      <c r="K896" s="207"/>
      <c r="L896" s="207"/>
      <c r="M896" s="207"/>
      <c r="N896" s="248"/>
      <c r="O896" s="248"/>
      <c r="P896" s="248"/>
      <c r="Q896" s="248"/>
    </row>
    <row r="897" spans="1:17" ht="15.75" hidden="1" customHeight="1">
      <c r="A897" s="274"/>
      <c r="B897" s="212"/>
      <c r="C897" s="202" t="e">
        <f>#REF!</f>
        <v>#REF!</v>
      </c>
      <c r="D897" s="202"/>
      <c r="E897" s="214"/>
      <c r="F897" s="202"/>
      <c r="G897" s="234" t="e">
        <f>Backlog[[#This Row],[OP]]</f>
        <v>#VALUE!</v>
      </c>
      <c r="H897" s="202"/>
      <c r="I897" s="316" t="e">
        <f>IF(Backlog[[#This Row],[Fecha Requerida en Producción]]="","",Backlog[[#This Row],[Fecha Requerida en Producción]])</f>
        <v>#VALUE!</v>
      </c>
      <c r="J897" s="207"/>
      <c r="K897" s="207"/>
      <c r="L897" s="207"/>
      <c r="M897" s="207"/>
      <c r="N897" s="248"/>
      <c r="O897" s="248"/>
      <c r="P897" s="248"/>
      <c r="Q897" s="248"/>
    </row>
    <row r="898" spans="1:17" ht="15.75" hidden="1" customHeight="1">
      <c r="A898" s="274"/>
      <c r="B898" s="212"/>
      <c r="C898" s="202" t="e">
        <f>#REF!</f>
        <v>#REF!</v>
      </c>
      <c r="D898" s="202"/>
      <c r="E898" s="214"/>
      <c r="F898" s="202"/>
      <c r="G898" s="234" t="e">
        <f>Backlog[[#This Row],[OP]]</f>
        <v>#VALUE!</v>
      </c>
      <c r="H898" s="202"/>
      <c r="I898" s="316" t="e">
        <f>IF(Backlog[[#This Row],[Fecha Requerida en Producción]]="","",Backlog[[#This Row],[Fecha Requerida en Producción]])</f>
        <v>#VALUE!</v>
      </c>
      <c r="J898" s="207"/>
      <c r="K898" s="207"/>
      <c r="L898" s="207"/>
      <c r="M898" s="207"/>
      <c r="N898" s="248"/>
      <c r="O898" s="248"/>
      <c r="P898" s="248"/>
      <c r="Q898" s="248"/>
    </row>
    <row r="899" spans="1:17" ht="15.75" hidden="1" customHeight="1">
      <c r="A899" s="274"/>
      <c r="B899" s="212"/>
      <c r="C899" s="202" t="e">
        <f>#REF!</f>
        <v>#REF!</v>
      </c>
      <c r="D899" s="202"/>
      <c r="E899" s="214"/>
      <c r="F899" s="202"/>
      <c r="G899" s="234" t="e">
        <f>Backlog[[#This Row],[OP]]</f>
        <v>#VALUE!</v>
      </c>
      <c r="H899" s="202"/>
      <c r="I899" s="316" t="e">
        <f>IF(Backlog[[#This Row],[Fecha Requerida en Producción]]="","",Backlog[[#This Row],[Fecha Requerida en Producción]])</f>
        <v>#VALUE!</v>
      </c>
      <c r="J899" s="207"/>
      <c r="K899" s="207"/>
      <c r="L899" s="207"/>
      <c r="M899" s="207"/>
      <c r="N899" s="248"/>
      <c r="O899" s="248"/>
      <c r="P899" s="248"/>
      <c r="Q899" s="248"/>
    </row>
    <row r="900" spans="1:17" ht="15.75" hidden="1" customHeight="1">
      <c r="A900" s="274"/>
      <c r="B900" s="212"/>
      <c r="C900" s="202" t="e">
        <f>#REF!</f>
        <v>#REF!</v>
      </c>
      <c r="D900" s="202"/>
      <c r="E900" s="214"/>
      <c r="F900" s="202"/>
      <c r="G900" s="234" t="e">
        <f>Backlog[[#This Row],[OP]]</f>
        <v>#VALUE!</v>
      </c>
      <c r="H900" s="202"/>
      <c r="I900" s="316" t="e">
        <f>IF(Backlog[[#This Row],[Fecha Requerida en Producción]]="","",Backlog[[#This Row],[Fecha Requerida en Producción]])</f>
        <v>#VALUE!</v>
      </c>
      <c r="J900" s="207"/>
      <c r="K900" s="207"/>
      <c r="L900" s="207"/>
      <c r="M900" s="207"/>
      <c r="N900" s="248"/>
      <c r="O900" s="248"/>
      <c r="P900" s="248"/>
      <c r="Q900" s="248"/>
    </row>
    <row r="901" spans="1:17" ht="15.75" hidden="1" customHeight="1">
      <c r="A901" s="274"/>
      <c r="B901" s="212"/>
      <c r="C901" s="202" t="e">
        <f>#REF!</f>
        <v>#REF!</v>
      </c>
      <c r="D901" s="202"/>
      <c r="E901" s="214"/>
      <c r="F901" s="202"/>
      <c r="G901" s="234" t="e">
        <f>Backlog[[#This Row],[OP]]</f>
        <v>#VALUE!</v>
      </c>
      <c r="H901" s="202"/>
      <c r="I901" s="316" t="e">
        <f>IF(Backlog[[#This Row],[Fecha Requerida en Producción]]="","",Backlog[[#This Row],[Fecha Requerida en Producción]])</f>
        <v>#VALUE!</v>
      </c>
      <c r="J901" s="207"/>
      <c r="K901" s="207"/>
      <c r="L901" s="207"/>
      <c r="M901" s="207"/>
      <c r="N901" s="248"/>
      <c r="O901" s="248"/>
      <c r="P901" s="248"/>
      <c r="Q901" s="248"/>
    </row>
    <row r="902" spans="1:17" ht="15.75" hidden="1" customHeight="1">
      <c r="A902" s="274"/>
      <c r="B902" s="212"/>
      <c r="C902" s="202" t="e">
        <f>#REF!</f>
        <v>#REF!</v>
      </c>
      <c r="D902" s="202"/>
      <c r="E902" s="214"/>
      <c r="F902" s="202"/>
      <c r="G902" s="234" t="e">
        <f>Backlog[[#This Row],[OP]]</f>
        <v>#VALUE!</v>
      </c>
      <c r="H902" s="202"/>
      <c r="I902" s="316" t="e">
        <f>IF(Backlog[[#This Row],[Fecha Requerida en Producción]]="","",Backlog[[#This Row],[Fecha Requerida en Producción]])</f>
        <v>#VALUE!</v>
      </c>
      <c r="J902" s="207"/>
      <c r="K902" s="207"/>
      <c r="L902" s="207"/>
      <c r="M902" s="207"/>
      <c r="N902" s="248"/>
      <c r="O902" s="248"/>
      <c r="P902" s="248"/>
      <c r="Q902" s="248"/>
    </row>
    <row r="903" spans="1:17" ht="15.75" hidden="1" customHeight="1">
      <c r="A903" s="274"/>
      <c r="B903" s="212"/>
      <c r="C903" s="202" t="e">
        <f>#REF!</f>
        <v>#REF!</v>
      </c>
      <c r="D903" s="202"/>
      <c r="E903" s="214"/>
      <c r="F903" s="202"/>
      <c r="G903" s="234" t="e">
        <f>Backlog[[#This Row],[OP]]</f>
        <v>#VALUE!</v>
      </c>
      <c r="H903" s="202"/>
      <c r="I903" s="316" t="e">
        <f>IF(Backlog[[#This Row],[Fecha Requerida en Producción]]="","",Backlog[[#This Row],[Fecha Requerida en Producción]])</f>
        <v>#VALUE!</v>
      </c>
      <c r="J903" s="207"/>
      <c r="K903" s="207"/>
      <c r="L903" s="207"/>
      <c r="M903" s="207"/>
      <c r="N903" s="248"/>
      <c r="O903" s="248"/>
      <c r="P903" s="248"/>
      <c r="Q903" s="248"/>
    </row>
    <row r="904" spans="1:17" ht="15.75" hidden="1" customHeight="1">
      <c r="A904" s="274"/>
      <c r="B904" s="212"/>
      <c r="C904" s="202" t="e">
        <f>#REF!</f>
        <v>#REF!</v>
      </c>
      <c r="D904" s="202"/>
      <c r="E904" s="214"/>
      <c r="F904" s="202"/>
      <c r="G904" s="234" t="e">
        <f>Backlog[[#This Row],[OP]]</f>
        <v>#VALUE!</v>
      </c>
      <c r="H904" s="202"/>
      <c r="I904" s="316" t="e">
        <f>IF(Backlog[[#This Row],[Fecha Requerida en Producción]]="","",Backlog[[#This Row],[Fecha Requerida en Producción]])</f>
        <v>#VALUE!</v>
      </c>
      <c r="J904" s="207"/>
      <c r="K904" s="207"/>
      <c r="L904" s="207"/>
      <c r="M904" s="207"/>
      <c r="N904" s="248"/>
      <c r="O904" s="248"/>
      <c r="P904" s="248"/>
      <c r="Q904" s="248"/>
    </row>
    <row r="905" spans="1:17" ht="15.75" hidden="1" customHeight="1">
      <c r="A905" s="274"/>
      <c r="B905" s="212"/>
      <c r="C905" s="202" t="e">
        <f>#REF!</f>
        <v>#REF!</v>
      </c>
      <c r="D905" s="202"/>
      <c r="E905" s="214"/>
      <c r="F905" s="202"/>
      <c r="G905" s="234" t="e">
        <f>Backlog[[#This Row],[OP]]</f>
        <v>#VALUE!</v>
      </c>
      <c r="H905" s="202"/>
      <c r="I905" s="316" t="e">
        <f>IF(Backlog[[#This Row],[Fecha Requerida en Producción]]="","",Backlog[[#This Row],[Fecha Requerida en Producción]])</f>
        <v>#VALUE!</v>
      </c>
      <c r="J905" s="207"/>
      <c r="K905" s="207"/>
      <c r="L905" s="207"/>
      <c r="M905" s="207"/>
      <c r="N905" s="248"/>
      <c r="O905" s="248"/>
      <c r="P905" s="248"/>
      <c r="Q905" s="248"/>
    </row>
    <row r="906" spans="1:17" ht="15.75" hidden="1" customHeight="1">
      <c r="A906" s="274"/>
      <c r="B906" s="212"/>
      <c r="C906" s="202" t="e">
        <f>#REF!</f>
        <v>#REF!</v>
      </c>
      <c r="D906" s="202"/>
      <c r="E906" s="214"/>
      <c r="F906" s="202"/>
      <c r="G906" s="234" t="e">
        <f>Backlog[[#This Row],[OP]]</f>
        <v>#VALUE!</v>
      </c>
      <c r="H906" s="202"/>
      <c r="I906" s="316" t="e">
        <f>IF(Backlog[[#This Row],[Fecha Requerida en Producción]]="","",Backlog[[#This Row],[Fecha Requerida en Producción]])</f>
        <v>#VALUE!</v>
      </c>
      <c r="J906" s="207"/>
      <c r="K906" s="207"/>
      <c r="L906" s="207"/>
      <c r="M906" s="207"/>
      <c r="N906" s="248"/>
      <c r="O906" s="248"/>
      <c r="P906" s="248"/>
      <c r="Q906" s="248"/>
    </row>
    <row r="907" spans="1:17" ht="15.75" hidden="1" customHeight="1">
      <c r="A907" s="274"/>
      <c r="B907" s="212"/>
      <c r="C907" s="202" t="e">
        <f>#REF!</f>
        <v>#REF!</v>
      </c>
      <c r="D907" s="202"/>
      <c r="E907" s="214"/>
      <c r="F907" s="202"/>
      <c r="G907" s="234" t="e">
        <f>Backlog[[#This Row],[OP]]</f>
        <v>#VALUE!</v>
      </c>
      <c r="H907" s="202"/>
      <c r="I907" s="316" t="e">
        <f>IF(Backlog[[#This Row],[Fecha Requerida en Producción]]="","",Backlog[[#This Row],[Fecha Requerida en Producción]])</f>
        <v>#VALUE!</v>
      </c>
      <c r="J907" s="207"/>
      <c r="K907" s="207"/>
      <c r="L907" s="207"/>
      <c r="M907" s="207"/>
      <c r="N907" s="248"/>
      <c r="O907" s="248"/>
      <c r="P907" s="248"/>
      <c r="Q907" s="248"/>
    </row>
    <row r="908" spans="1:17" ht="15.75" hidden="1" customHeight="1">
      <c r="A908" s="274"/>
      <c r="B908" s="212"/>
      <c r="C908" s="202" t="e">
        <f>#REF!</f>
        <v>#REF!</v>
      </c>
      <c r="D908" s="202"/>
      <c r="E908" s="214"/>
      <c r="F908" s="202"/>
      <c r="G908" s="234" t="e">
        <f>Backlog[[#This Row],[OP]]</f>
        <v>#VALUE!</v>
      </c>
      <c r="H908" s="202"/>
      <c r="I908" s="316" t="e">
        <f>IF(Backlog[[#This Row],[Fecha Requerida en Producción]]="","",Backlog[[#This Row],[Fecha Requerida en Producción]])</f>
        <v>#VALUE!</v>
      </c>
      <c r="J908" s="207"/>
      <c r="K908" s="207"/>
      <c r="L908" s="207"/>
      <c r="M908" s="207"/>
      <c r="N908" s="248"/>
      <c r="O908" s="248"/>
      <c r="P908" s="248"/>
      <c r="Q908" s="248"/>
    </row>
    <row r="909" spans="1:17" ht="15.75" hidden="1" customHeight="1">
      <c r="A909" s="274"/>
      <c r="B909" s="212"/>
      <c r="C909" s="202" t="e">
        <f>#REF!</f>
        <v>#REF!</v>
      </c>
      <c r="D909" s="202"/>
      <c r="E909" s="214"/>
      <c r="F909" s="202"/>
      <c r="G909" s="234" t="e">
        <f>Backlog[[#This Row],[OP]]</f>
        <v>#VALUE!</v>
      </c>
      <c r="H909" s="202"/>
      <c r="I909" s="316" t="e">
        <f>IF(Backlog[[#This Row],[Fecha Requerida en Producción]]="","",Backlog[[#This Row],[Fecha Requerida en Producción]])</f>
        <v>#VALUE!</v>
      </c>
      <c r="J909" s="207"/>
      <c r="K909" s="207"/>
      <c r="L909" s="207"/>
      <c r="M909" s="207"/>
      <c r="N909" s="248"/>
      <c r="O909" s="248"/>
      <c r="P909" s="248"/>
      <c r="Q909" s="248"/>
    </row>
    <row r="910" spans="1:17" ht="15.75" hidden="1" customHeight="1">
      <c r="A910" s="274"/>
      <c r="B910" s="212"/>
      <c r="C910" s="202" t="e">
        <f>#REF!</f>
        <v>#REF!</v>
      </c>
      <c r="D910" s="202"/>
      <c r="E910" s="214"/>
      <c r="F910" s="202"/>
      <c r="G910" s="234" t="e">
        <f>Backlog[[#This Row],[OP]]</f>
        <v>#VALUE!</v>
      </c>
      <c r="H910" s="202"/>
      <c r="I910" s="316" t="e">
        <f>IF(Backlog[[#This Row],[Fecha Requerida en Producción]]="","",Backlog[[#This Row],[Fecha Requerida en Producción]])</f>
        <v>#VALUE!</v>
      </c>
      <c r="J910" s="207"/>
      <c r="K910" s="207"/>
      <c r="L910" s="207"/>
      <c r="M910" s="207"/>
      <c r="N910" s="248"/>
      <c r="O910" s="248"/>
      <c r="P910" s="248"/>
      <c r="Q910" s="248"/>
    </row>
    <row r="911" spans="1:17" ht="15.75" hidden="1" customHeight="1">
      <c r="A911" s="274"/>
      <c r="B911" s="212"/>
      <c r="C911" s="202" t="e">
        <f>#REF!</f>
        <v>#REF!</v>
      </c>
      <c r="D911" s="202"/>
      <c r="E911" s="214"/>
      <c r="F911" s="202"/>
      <c r="G911" s="234" t="e">
        <f>Backlog[[#This Row],[OP]]</f>
        <v>#VALUE!</v>
      </c>
      <c r="H911" s="202"/>
      <c r="I911" s="316" t="e">
        <f>IF(Backlog[[#This Row],[Fecha Requerida en Producción]]="","",Backlog[[#This Row],[Fecha Requerida en Producción]])</f>
        <v>#VALUE!</v>
      </c>
      <c r="J911" s="207"/>
      <c r="K911" s="207"/>
      <c r="L911" s="207"/>
      <c r="M911" s="207"/>
      <c r="N911" s="248"/>
      <c r="O911" s="248"/>
      <c r="P911" s="248"/>
      <c r="Q911" s="248"/>
    </row>
    <row r="912" spans="1:17" ht="15.75" hidden="1" customHeight="1">
      <c r="A912" s="274"/>
      <c r="B912" s="212"/>
      <c r="C912" s="202" t="e">
        <f>#REF!</f>
        <v>#REF!</v>
      </c>
      <c r="D912" s="202"/>
      <c r="E912" s="214"/>
      <c r="F912" s="202"/>
      <c r="G912" s="234" t="e">
        <f>Backlog[[#This Row],[OP]]</f>
        <v>#VALUE!</v>
      </c>
      <c r="H912" s="202"/>
      <c r="I912" s="316" t="e">
        <f>IF(Backlog[[#This Row],[Fecha Requerida en Producción]]="","",Backlog[[#This Row],[Fecha Requerida en Producción]])</f>
        <v>#VALUE!</v>
      </c>
      <c r="J912" s="207"/>
      <c r="K912" s="207"/>
      <c r="L912" s="207"/>
      <c r="M912" s="207"/>
      <c r="N912" s="248"/>
      <c r="O912" s="248"/>
      <c r="P912" s="248"/>
      <c r="Q912" s="248"/>
    </row>
    <row r="913" spans="1:17" ht="15.75" hidden="1" customHeight="1">
      <c r="A913" s="274"/>
      <c r="B913" s="212"/>
      <c r="C913" s="202" t="e">
        <f>#REF!</f>
        <v>#REF!</v>
      </c>
      <c r="D913" s="202"/>
      <c r="E913" s="214"/>
      <c r="F913" s="202"/>
      <c r="G913" s="234" t="e">
        <f>Backlog[[#This Row],[OP]]</f>
        <v>#VALUE!</v>
      </c>
      <c r="H913" s="202"/>
      <c r="I913" s="316" t="e">
        <f>IF(Backlog[[#This Row],[Fecha Requerida en Producción]]="","",Backlog[[#This Row],[Fecha Requerida en Producción]])</f>
        <v>#VALUE!</v>
      </c>
      <c r="J913" s="207"/>
      <c r="K913" s="207"/>
      <c r="L913" s="207"/>
      <c r="M913" s="207"/>
      <c r="N913" s="248"/>
      <c r="O913" s="248"/>
      <c r="P913" s="248"/>
      <c r="Q913" s="248"/>
    </row>
    <row r="914" spans="1:17" ht="15.75" hidden="1" customHeight="1">
      <c r="A914" s="274"/>
      <c r="B914" s="212"/>
      <c r="C914" s="202" t="e">
        <f>#REF!</f>
        <v>#REF!</v>
      </c>
      <c r="D914" s="202"/>
      <c r="E914" s="214"/>
      <c r="F914" s="202"/>
      <c r="G914" s="234" t="e">
        <f>Backlog[[#This Row],[OP]]</f>
        <v>#VALUE!</v>
      </c>
      <c r="H914" s="202"/>
      <c r="I914" s="316" t="e">
        <f>IF(Backlog[[#This Row],[Fecha Requerida en Producción]]="","",Backlog[[#This Row],[Fecha Requerida en Producción]])</f>
        <v>#VALUE!</v>
      </c>
      <c r="J914" s="207"/>
      <c r="K914" s="207"/>
      <c r="L914" s="207"/>
      <c r="M914" s="207"/>
      <c r="N914" s="248"/>
      <c r="O914" s="248"/>
      <c r="P914" s="248"/>
      <c r="Q914" s="248"/>
    </row>
    <row r="915" spans="1:17" ht="15.75" hidden="1" customHeight="1">
      <c r="A915" s="274"/>
      <c r="B915" s="212"/>
      <c r="C915" s="202" t="e">
        <f>#REF!</f>
        <v>#REF!</v>
      </c>
      <c r="D915" s="202"/>
      <c r="E915" s="214"/>
      <c r="F915" s="202"/>
      <c r="G915" s="234" t="e">
        <f>Backlog[[#This Row],[OP]]</f>
        <v>#VALUE!</v>
      </c>
      <c r="H915" s="202"/>
      <c r="I915" s="316" t="e">
        <f>IF(Backlog[[#This Row],[Fecha Requerida en Producción]]="","",Backlog[[#This Row],[Fecha Requerida en Producción]])</f>
        <v>#VALUE!</v>
      </c>
      <c r="J915" s="207"/>
      <c r="K915" s="207"/>
      <c r="L915" s="207"/>
      <c r="M915" s="207"/>
      <c r="N915" s="248"/>
      <c r="O915" s="248"/>
      <c r="P915" s="248"/>
      <c r="Q915" s="248"/>
    </row>
    <row r="916" spans="1:17" ht="15.75" hidden="1" customHeight="1">
      <c r="A916" s="274"/>
      <c r="B916" s="212"/>
      <c r="C916" s="202" t="e">
        <f>#REF!</f>
        <v>#REF!</v>
      </c>
      <c r="D916" s="202"/>
      <c r="E916" s="214"/>
      <c r="F916" s="202"/>
      <c r="G916" s="234" t="e">
        <f>Backlog[[#This Row],[OP]]</f>
        <v>#VALUE!</v>
      </c>
      <c r="H916" s="202"/>
      <c r="I916" s="316" t="e">
        <f>IF(Backlog[[#This Row],[Fecha Requerida en Producción]]="","",Backlog[[#This Row],[Fecha Requerida en Producción]])</f>
        <v>#VALUE!</v>
      </c>
      <c r="J916" s="207"/>
      <c r="K916" s="207"/>
      <c r="L916" s="207"/>
      <c r="M916" s="207"/>
      <c r="N916" s="248"/>
      <c r="O916" s="248"/>
      <c r="P916" s="248"/>
      <c r="Q916" s="248"/>
    </row>
    <row r="917" spans="1:17" ht="15.75" hidden="1" customHeight="1">
      <c r="A917" s="274"/>
      <c r="B917" s="212"/>
      <c r="C917" s="202" t="e">
        <f>#REF!</f>
        <v>#REF!</v>
      </c>
      <c r="D917" s="202"/>
      <c r="E917" s="214"/>
      <c r="F917" s="202"/>
      <c r="G917" s="234" t="e">
        <f>Backlog[[#This Row],[OP]]</f>
        <v>#VALUE!</v>
      </c>
      <c r="H917" s="202"/>
      <c r="I917" s="316" t="e">
        <f>IF(Backlog[[#This Row],[Fecha Requerida en Producción]]="","",Backlog[[#This Row],[Fecha Requerida en Producción]])</f>
        <v>#VALUE!</v>
      </c>
      <c r="J917" s="207"/>
      <c r="K917" s="207"/>
      <c r="L917" s="207"/>
      <c r="M917" s="207"/>
      <c r="N917" s="248"/>
      <c r="O917" s="248"/>
      <c r="P917" s="248"/>
      <c r="Q917" s="248"/>
    </row>
    <row r="918" spans="1:17" ht="15.75" hidden="1" customHeight="1">
      <c r="A918" s="274"/>
      <c r="B918" s="212"/>
      <c r="C918" s="202" t="e">
        <f>#REF!</f>
        <v>#REF!</v>
      </c>
      <c r="D918" s="202"/>
      <c r="E918" s="214"/>
      <c r="F918" s="202"/>
      <c r="G918" s="234" t="e">
        <f>Backlog[[#This Row],[OP]]</f>
        <v>#VALUE!</v>
      </c>
      <c r="H918" s="202"/>
      <c r="I918" s="316" t="e">
        <f>IF(Backlog[[#This Row],[Fecha Requerida en Producción]]="","",Backlog[[#This Row],[Fecha Requerida en Producción]])</f>
        <v>#VALUE!</v>
      </c>
      <c r="J918" s="207"/>
      <c r="K918" s="207"/>
      <c r="L918" s="207"/>
      <c r="M918" s="207"/>
      <c r="N918" s="248"/>
      <c r="O918" s="248"/>
      <c r="P918" s="248"/>
      <c r="Q918" s="248"/>
    </row>
    <row r="919" spans="1:17" ht="15.75" hidden="1" customHeight="1">
      <c r="A919" s="274"/>
      <c r="B919" s="212"/>
      <c r="C919" s="202" t="e">
        <f>#REF!</f>
        <v>#REF!</v>
      </c>
      <c r="D919" s="202"/>
      <c r="E919" s="214"/>
      <c r="F919" s="202"/>
      <c r="G919" s="234" t="e">
        <f>Backlog[[#This Row],[OP]]</f>
        <v>#VALUE!</v>
      </c>
      <c r="H919" s="202"/>
      <c r="I919" s="316" t="e">
        <f>IF(Backlog[[#This Row],[Fecha Requerida en Producción]]="","",Backlog[[#This Row],[Fecha Requerida en Producción]])</f>
        <v>#VALUE!</v>
      </c>
      <c r="J919" s="207"/>
      <c r="K919" s="207"/>
      <c r="L919" s="207"/>
      <c r="M919" s="207"/>
      <c r="N919" s="248"/>
      <c r="O919" s="248"/>
      <c r="P919" s="248"/>
      <c r="Q919" s="248"/>
    </row>
    <row r="920" spans="1:17" ht="15.75" hidden="1" customHeight="1">
      <c r="A920" s="274"/>
      <c r="B920" s="212"/>
      <c r="C920" s="202" t="e">
        <f>#REF!</f>
        <v>#REF!</v>
      </c>
      <c r="D920" s="202"/>
      <c r="E920" s="214"/>
      <c r="F920" s="202"/>
      <c r="G920" s="234" t="e">
        <f>Backlog[[#This Row],[OP]]</f>
        <v>#VALUE!</v>
      </c>
      <c r="H920" s="202"/>
      <c r="I920" s="316" t="e">
        <f>IF(Backlog[[#This Row],[Fecha Requerida en Producción]]="","",Backlog[[#This Row],[Fecha Requerida en Producción]])</f>
        <v>#VALUE!</v>
      </c>
      <c r="J920" s="207"/>
      <c r="K920" s="207"/>
      <c r="L920" s="207"/>
      <c r="M920" s="207"/>
      <c r="N920" s="248"/>
      <c r="O920" s="248"/>
      <c r="P920" s="248"/>
      <c r="Q920" s="248"/>
    </row>
    <row r="921" spans="1:17" ht="15.75" hidden="1" customHeight="1">
      <c r="A921" s="274"/>
      <c r="B921" s="212"/>
      <c r="C921" s="202" t="e">
        <f>#REF!</f>
        <v>#REF!</v>
      </c>
      <c r="D921" s="202"/>
      <c r="E921" s="214"/>
      <c r="F921" s="202"/>
      <c r="G921" s="234" t="e">
        <f>Backlog[[#This Row],[OP]]</f>
        <v>#VALUE!</v>
      </c>
      <c r="H921" s="202"/>
      <c r="I921" s="316" t="e">
        <f>IF(Backlog[[#This Row],[Fecha Requerida en Producción]]="","",Backlog[[#This Row],[Fecha Requerida en Producción]])</f>
        <v>#VALUE!</v>
      </c>
      <c r="J921" s="207"/>
      <c r="K921" s="207"/>
      <c r="L921" s="207"/>
      <c r="M921" s="207"/>
      <c r="N921" s="248"/>
      <c r="O921" s="248"/>
      <c r="P921" s="248"/>
      <c r="Q921" s="248"/>
    </row>
    <row r="922" spans="1:17" ht="15.75" hidden="1" customHeight="1">
      <c r="A922" s="274"/>
      <c r="B922" s="212"/>
      <c r="C922" s="202" t="e">
        <f>#REF!</f>
        <v>#REF!</v>
      </c>
      <c r="D922" s="202"/>
      <c r="E922" s="214"/>
      <c r="F922" s="202"/>
      <c r="G922" s="234" t="e">
        <f>Backlog[[#This Row],[OP]]</f>
        <v>#VALUE!</v>
      </c>
      <c r="H922" s="202"/>
      <c r="I922" s="316" t="e">
        <f>IF(Backlog[[#This Row],[Fecha Requerida en Producción]]="","",Backlog[[#This Row],[Fecha Requerida en Producción]])</f>
        <v>#VALUE!</v>
      </c>
      <c r="J922" s="207"/>
      <c r="K922" s="207"/>
      <c r="L922" s="207"/>
      <c r="M922" s="207"/>
      <c r="N922" s="248"/>
      <c r="O922" s="248"/>
      <c r="P922" s="248"/>
      <c r="Q922" s="248"/>
    </row>
    <row r="923" spans="1:17" ht="15.75" hidden="1" customHeight="1">
      <c r="A923" s="274"/>
      <c r="B923" s="212"/>
      <c r="C923" s="202" t="e">
        <f>#REF!</f>
        <v>#REF!</v>
      </c>
      <c r="D923" s="202"/>
      <c r="E923" s="214"/>
      <c r="F923" s="202"/>
      <c r="G923" s="234" t="e">
        <f>Backlog[[#This Row],[OP]]</f>
        <v>#VALUE!</v>
      </c>
      <c r="H923" s="202"/>
      <c r="I923" s="316" t="e">
        <f>IF(Backlog[[#This Row],[Fecha Requerida en Producción]]="","",Backlog[[#This Row],[Fecha Requerida en Producción]])</f>
        <v>#VALUE!</v>
      </c>
      <c r="J923" s="207"/>
      <c r="K923" s="207"/>
      <c r="L923" s="207"/>
      <c r="M923" s="207"/>
      <c r="N923" s="248"/>
      <c r="O923" s="248"/>
      <c r="P923" s="248"/>
      <c r="Q923" s="248"/>
    </row>
    <row r="924" spans="1:17" ht="15.75" hidden="1" customHeight="1">
      <c r="A924" s="274"/>
      <c r="B924" s="212"/>
      <c r="C924" s="202" t="e">
        <f>#REF!</f>
        <v>#REF!</v>
      </c>
      <c r="D924" s="202"/>
      <c r="E924" s="214"/>
      <c r="F924" s="202"/>
      <c r="G924" s="234" t="e">
        <f>Backlog[[#This Row],[OP]]</f>
        <v>#VALUE!</v>
      </c>
      <c r="H924" s="202"/>
      <c r="I924" s="316" t="e">
        <f>IF(Backlog[[#This Row],[Fecha Requerida en Producción]]="","",Backlog[[#This Row],[Fecha Requerida en Producción]])</f>
        <v>#VALUE!</v>
      </c>
      <c r="J924" s="207"/>
      <c r="K924" s="207"/>
      <c r="L924" s="207"/>
      <c r="M924" s="207"/>
      <c r="N924" s="248"/>
      <c r="O924" s="248"/>
      <c r="P924" s="248"/>
      <c r="Q924" s="248"/>
    </row>
    <row r="925" spans="1:17" ht="15.75" hidden="1" customHeight="1">
      <c r="A925" s="274"/>
      <c r="B925" s="212"/>
      <c r="C925" s="202" t="e">
        <f>#REF!</f>
        <v>#REF!</v>
      </c>
      <c r="D925" s="202"/>
      <c r="E925" s="214"/>
      <c r="F925" s="202"/>
      <c r="G925" s="234" t="e">
        <f>Backlog[[#This Row],[OP]]</f>
        <v>#VALUE!</v>
      </c>
      <c r="H925" s="202"/>
      <c r="I925" s="316" t="e">
        <f>IF(Backlog[[#This Row],[Fecha Requerida en Producción]]="","",Backlog[[#This Row],[Fecha Requerida en Producción]])</f>
        <v>#VALUE!</v>
      </c>
      <c r="J925" s="207"/>
      <c r="K925" s="207"/>
      <c r="L925" s="207"/>
      <c r="M925" s="207"/>
      <c r="N925" s="248"/>
      <c r="O925" s="248"/>
      <c r="P925" s="248"/>
      <c r="Q925" s="248"/>
    </row>
    <row r="926" spans="1:17" ht="15.75" hidden="1" customHeight="1">
      <c r="A926" s="274"/>
      <c r="B926" s="212"/>
      <c r="C926" s="202" t="e">
        <f>#REF!</f>
        <v>#REF!</v>
      </c>
      <c r="D926" s="202"/>
      <c r="E926" s="214"/>
      <c r="F926" s="202"/>
      <c r="G926" s="234" t="e">
        <f>Backlog[[#This Row],[OP]]</f>
        <v>#VALUE!</v>
      </c>
      <c r="H926" s="202"/>
      <c r="I926" s="316" t="e">
        <f>IF(Backlog[[#This Row],[Fecha Requerida en Producción]]="","",Backlog[[#This Row],[Fecha Requerida en Producción]])</f>
        <v>#VALUE!</v>
      </c>
      <c r="J926" s="207"/>
      <c r="K926" s="207"/>
      <c r="L926" s="207"/>
      <c r="M926" s="207"/>
      <c r="N926" s="248"/>
      <c r="O926" s="248"/>
      <c r="P926" s="248"/>
      <c r="Q926" s="248"/>
    </row>
    <row r="927" spans="1:17" ht="15.75" hidden="1" customHeight="1">
      <c r="A927" s="274"/>
      <c r="B927" s="212"/>
      <c r="C927" s="202" t="e">
        <f>#REF!</f>
        <v>#REF!</v>
      </c>
      <c r="D927" s="202"/>
      <c r="E927" s="214"/>
      <c r="F927" s="202"/>
      <c r="G927" s="234" t="e">
        <f>Backlog[[#This Row],[OP]]</f>
        <v>#VALUE!</v>
      </c>
      <c r="H927" s="202"/>
      <c r="I927" s="316" t="e">
        <f>IF(Backlog[[#This Row],[Fecha Requerida en Producción]]="","",Backlog[[#This Row],[Fecha Requerida en Producción]])</f>
        <v>#VALUE!</v>
      </c>
      <c r="J927" s="207"/>
      <c r="K927" s="207"/>
      <c r="L927" s="207"/>
      <c r="M927" s="207"/>
      <c r="N927" s="248"/>
      <c r="O927" s="248"/>
      <c r="P927" s="248"/>
      <c r="Q927" s="248"/>
    </row>
    <row r="928" spans="1:17" ht="15.75" hidden="1" customHeight="1">
      <c r="A928" s="274"/>
      <c r="B928" s="212"/>
      <c r="C928" s="202" t="e">
        <f>#REF!</f>
        <v>#REF!</v>
      </c>
      <c r="D928" s="202"/>
      <c r="E928" s="214"/>
      <c r="F928" s="202"/>
      <c r="G928" s="234" t="e">
        <f>Backlog[[#This Row],[OP]]</f>
        <v>#VALUE!</v>
      </c>
      <c r="H928" s="202"/>
      <c r="I928" s="316" t="e">
        <f>IF(Backlog[[#This Row],[Fecha Requerida en Producción]]="","",Backlog[[#This Row],[Fecha Requerida en Producción]])</f>
        <v>#VALUE!</v>
      </c>
      <c r="J928" s="207"/>
      <c r="K928" s="207"/>
      <c r="L928" s="207"/>
      <c r="M928" s="207"/>
      <c r="N928" s="248"/>
      <c r="O928" s="248"/>
      <c r="P928" s="248"/>
      <c r="Q928" s="248"/>
    </row>
    <row r="929" spans="1:17" ht="15.75" hidden="1" customHeight="1">
      <c r="A929" s="274"/>
      <c r="B929" s="212"/>
      <c r="C929" s="202" t="e">
        <f>#REF!</f>
        <v>#REF!</v>
      </c>
      <c r="D929" s="202"/>
      <c r="E929" s="214"/>
      <c r="F929" s="202"/>
      <c r="G929" s="234" t="e">
        <f>Backlog[[#This Row],[OP]]</f>
        <v>#VALUE!</v>
      </c>
      <c r="H929" s="202"/>
      <c r="I929" s="316" t="e">
        <f>IF(Backlog[[#This Row],[Fecha Requerida en Producción]]="","",Backlog[[#This Row],[Fecha Requerida en Producción]])</f>
        <v>#VALUE!</v>
      </c>
      <c r="J929" s="207"/>
      <c r="K929" s="207"/>
      <c r="L929" s="207"/>
      <c r="M929" s="207"/>
      <c r="N929" s="248"/>
      <c r="O929" s="248"/>
      <c r="P929" s="248"/>
      <c r="Q929" s="248"/>
    </row>
    <row r="930" spans="1:17" ht="15.75" hidden="1" customHeight="1">
      <c r="A930" s="274"/>
      <c r="B930" s="212"/>
      <c r="C930" s="202" t="e">
        <f>#REF!</f>
        <v>#REF!</v>
      </c>
      <c r="D930" s="202"/>
      <c r="E930" s="214"/>
      <c r="F930" s="202"/>
      <c r="G930" s="234" t="e">
        <f>Backlog[[#This Row],[OP]]</f>
        <v>#VALUE!</v>
      </c>
      <c r="H930" s="202"/>
      <c r="I930" s="316" t="e">
        <f>IF(Backlog[[#This Row],[Fecha Requerida en Producción]]="","",Backlog[[#This Row],[Fecha Requerida en Producción]])</f>
        <v>#VALUE!</v>
      </c>
      <c r="J930" s="207"/>
      <c r="K930" s="207"/>
      <c r="L930" s="207"/>
      <c r="M930" s="207"/>
      <c r="N930" s="248"/>
      <c r="O930" s="248"/>
      <c r="P930" s="248"/>
      <c r="Q930" s="248"/>
    </row>
    <row r="931" spans="1:17" ht="15.75" hidden="1" customHeight="1">
      <c r="A931" s="274"/>
      <c r="B931" s="212"/>
      <c r="C931" s="202" t="e">
        <f>#REF!</f>
        <v>#REF!</v>
      </c>
      <c r="D931" s="202"/>
      <c r="E931" s="214"/>
      <c r="F931" s="202"/>
      <c r="G931" s="234" t="e">
        <f>Backlog[[#This Row],[OP]]</f>
        <v>#VALUE!</v>
      </c>
      <c r="H931" s="202"/>
      <c r="I931" s="316" t="e">
        <f>IF(Backlog[[#This Row],[Fecha Requerida en Producción]]="","",Backlog[[#This Row],[Fecha Requerida en Producción]])</f>
        <v>#VALUE!</v>
      </c>
      <c r="J931" s="207"/>
      <c r="K931" s="207"/>
      <c r="L931" s="207"/>
      <c r="M931" s="207"/>
      <c r="N931" s="248"/>
      <c r="O931" s="248"/>
      <c r="P931" s="248"/>
      <c r="Q931" s="248"/>
    </row>
    <row r="932" spans="1:17" ht="15.75" hidden="1" customHeight="1">
      <c r="A932" s="274"/>
      <c r="B932" s="212"/>
      <c r="C932" s="202" t="e">
        <f>#REF!</f>
        <v>#REF!</v>
      </c>
      <c r="D932" s="202"/>
      <c r="E932" s="214"/>
      <c r="F932" s="202"/>
      <c r="G932" s="234" t="e">
        <f>Backlog[[#This Row],[OP]]</f>
        <v>#VALUE!</v>
      </c>
      <c r="H932" s="202"/>
      <c r="I932" s="316" t="e">
        <f>IF(Backlog[[#This Row],[Fecha Requerida en Producción]]="","",Backlog[[#This Row],[Fecha Requerida en Producción]])</f>
        <v>#VALUE!</v>
      </c>
      <c r="J932" s="207"/>
      <c r="K932" s="207"/>
      <c r="L932" s="207"/>
      <c r="M932" s="207"/>
      <c r="N932" s="248"/>
      <c r="O932" s="248"/>
      <c r="P932" s="248"/>
      <c r="Q932" s="248"/>
    </row>
    <row r="933" spans="1:17" ht="15.75" hidden="1" customHeight="1">
      <c r="A933" s="274"/>
      <c r="B933" s="212"/>
      <c r="C933" s="202" t="e">
        <f>#REF!</f>
        <v>#REF!</v>
      </c>
      <c r="D933" s="202"/>
      <c r="E933" s="214"/>
      <c r="F933" s="202"/>
      <c r="G933" s="234" t="e">
        <f>Backlog[[#This Row],[OP]]</f>
        <v>#VALUE!</v>
      </c>
      <c r="H933" s="202"/>
      <c r="I933" s="316" t="e">
        <f>IF(Backlog[[#This Row],[Fecha Requerida en Producción]]="","",Backlog[[#This Row],[Fecha Requerida en Producción]])</f>
        <v>#VALUE!</v>
      </c>
      <c r="J933" s="207"/>
      <c r="K933" s="207"/>
      <c r="L933" s="207"/>
      <c r="M933" s="207"/>
      <c r="N933" s="248"/>
      <c r="O933" s="248"/>
      <c r="P933" s="248"/>
      <c r="Q933" s="248"/>
    </row>
    <row r="934" spans="1:17" ht="15.75" hidden="1" customHeight="1">
      <c r="A934" s="274"/>
      <c r="B934" s="212"/>
      <c r="C934" s="202" t="e">
        <f>#REF!</f>
        <v>#REF!</v>
      </c>
      <c r="D934" s="202"/>
      <c r="E934" s="214"/>
      <c r="F934" s="202"/>
      <c r="G934" s="234" t="e">
        <f>Backlog[[#This Row],[OP]]</f>
        <v>#VALUE!</v>
      </c>
      <c r="H934" s="202"/>
      <c r="I934" s="316" t="e">
        <f>IF(Backlog[[#This Row],[Fecha Requerida en Producción]]="","",Backlog[[#This Row],[Fecha Requerida en Producción]])</f>
        <v>#VALUE!</v>
      </c>
      <c r="J934" s="207"/>
      <c r="K934" s="207"/>
      <c r="L934" s="207"/>
      <c r="M934" s="207"/>
      <c r="N934" s="248"/>
      <c r="O934" s="248"/>
      <c r="P934" s="248"/>
      <c r="Q934" s="248"/>
    </row>
    <row r="935" spans="1:17" ht="15.75" hidden="1" customHeight="1">
      <c r="A935" s="274"/>
      <c r="B935" s="212"/>
      <c r="C935" s="202" t="e">
        <f>#REF!</f>
        <v>#REF!</v>
      </c>
      <c r="D935" s="202"/>
      <c r="E935" s="214"/>
      <c r="F935" s="202"/>
      <c r="G935" s="234" t="e">
        <f>Backlog[[#This Row],[OP]]</f>
        <v>#VALUE!</v>
      </c>
      <c r="H935" s="202"/>
      <c r="I935" s="316" t="e">
        <f>IF(Backlog[[#This Row],[Fecha Requerida en Producción]]="","",Backlog[[#This Row],[Fecha Requerida en Producción]])</f>
        <v>#VALUE!</v>
      </c>
      <c r="J935" s="207"/>
      <c r="K935" s="207"/>
      <c r="L935" s="207"/>
      <c r="M935" s="207"/>
      <c r="N935" s="248"/>
      <c r="O935" s="248"/>
      <c r="P935" s="248"/>
      <c r="Q935" s="248"/>
    </row>
    <row r="936" spans="1:17" ht="15.75" hidden="1" customHeight="1">
      <c r="A936" s="274"/>
      <c r="B936" s="212"/>
      <c r="C936" s="202" t="e">
        <f>#REF!</f>
        <v>#REF!</v>
      </c>
      <c r="D936" s="202"/>
      <c r="E936" s="214"/>
      <c r="F936" s="202"/>
      <c r="G936" s="234" t="e">
        <f>Backlog[[#This Row],[OP]]</f>
        <v>#VALUE!</v>
      </c>
      <c r="H936" s="202"/>
      <c r="I936" s="316" t="e">
        <f>IF(Backlog[[#This Row],[Fecha Requerida en Producción]]="","",Backlog[[#This Row],[Fecha Requerida en Producción]])</f>
        <v>#VALUE!</v>
      </c>
      <c r="J936" s="207"/>
      <c r="K936" s="207"/>
      <c r="L936" s="207"/>
      <c r="M936" s="207"/>
      <c r="N936" s="248"/>
      <c r="O936" s="248"/>
      <c r="P936" s="248"/>
      <c r="Q936" s="248"/>
    </row>
    <row r="937" spans="1:17" ht="15.75" hidden="1" customHeight="1">
      <c r="A937" s="274"/>
      <c r="B937" s="212"/>
      <c r="C937" s="202" t="e">
        <f>#REF!</f>
        <v>#REF!</v>
      </c>
      <c r="D937" s="202"/>
      <c r="E937" s="214"/>
      <c r="F937" s="202"/>
      <c r="G937" s="234" t="e">
        <f>Backlog[[#This Row],[OP]]</f>
        <v>#VALUE!</v>
      </c>
      <c r="H937" s="202"/>
      <c r="I937" s="316" t="e">
        <f>IF(Backlog[[#This Row],[Fecha Requerida en Producción]]="","",Backlog[[#This Row],[Fecha Requerida en Producción]])</f>
        <v>#VALUE!</v>
      </c>
      <c r="J937" s="207"/>
      <c r="K937" s="207"/>
      <c r="L937" s="207"/>
      <c r="M937" s="207"/>
      <c r="N937" s="248"/>
      <c r="O937" s="248"/>
      <c r="P937" s="248"/>
      <c r="Q937" s="248"/>
    </row>
    <row r="938" spans="1:17" ht="15.75" hidden="1" customHeight="1">
      <c r="A938" s="274"/>
      <c r="B938" s="212"/>
      <c r="C938" s="202" t="e">
        <f>#REF!</f>
        <v>#REF!</v>
      </c>
      <c r="D938" s="202"/>
      <c r="E938" s="214"/>
      <c r="F938" s="202"/>
      <c r="G938" s="234" t="e">
        <f>Backlog[[#This Row],[OP]]</f>
        <v>#VALUE!</v>
      </c>
      <c r="H938" s="202"/>
      <c r="I938" s="316" t="e">
        <f>IF(Backlog[[#This Row],[Fecha Requerida en Producción]]="","",Backlog[[#This Row],[Fecha Requerida en Producción]])</f>
        <v>#VALUE!</v>
      </c>
      <c r="J938" s="207"/>
      <c r="K938" s="207"/>
      <c r="L938" s="207"/>
      <c r="M938" s="207"/>
      <c r="N938" s="248"/>
      <c r="O938" s="248"/>
      <c r="P938" s="248"/>
      <c r="Q938" s="248"/>
    </row>
    <row r="939" spans="1:17" ht="15.75" hidden="1" customHeight="1">
      <c r="A939" s="274"/>
      <c r="B939" s="212"/>
      <c r="C939" s="202" t="e">
        <f>#REF!</f>
        <v>#REF!</v>
      </c>
      <c r="D939" s="202"/>
      <c r="E939" s="214"/>
      <c r="F939" s="202"/>
      <c r="G939" s="234" t="e">
        <f>Backlog[[#This Row],[OP]]</f>
        <v>#VALUE!</v>
      </c>
      <c r="H939" s="202"/>
      <c r="I939" s="316" t="e">
        <f>IF(Backlog[[#This Row],[Fecha Requerida en Producción]]="","",Backlog[[#This Row],[Fecha Requerida en Producción]])</f>
        <v>#VALUE!</v>
      </c>
      <c r="J939" s="207"/>
      <c r="K939" s="207"/>
      <c r="L939" s="207"/>
      <c r="M939" s="207"/>
      <c r="N939" s="248"/>
      <c r="O939" s="248"/>
      <c r="P939" s="248"/>
      <c r="Q939" s="248"/>
    </row>
    <row r="940" spans="1:17" ht="15.75" hidden="1" customHeight="1">
      <c r="A940" s="274"/>
      <c r="B940" s="212"/>
      <c r="C940" s="202" t="e">
        <f>#REF!</f>
        <v>#REF!</v>
      </c>
      <c r="D940" s="202"/>
      <c r="E940" s="214"/>
      <c r="F940" s="202"/>
      <c r="G940" s="234" t="e">
        <f>Backlog[[#This Row],[OP]]</f>
        <v>#VALUE!</v>
      </c>
      <c r="H940" s="202"/>
      <c r="I940" s="316" t="e">
        <f>IF(Backlog[[#This Row],[Fecha Requerida en Producción]]="","",Backlog[[#This Row],[Fecha Requerida en Producción]])</f>
        <v>#VALUE!</v>
      </c>
      <c r="J940" s="207"/>
      <c r="K940" s="207"/>
      <c r="L940" s="207"/>
      <c r="M940" s="207"/>
      <c r="N940" s="248"/>
      <c r="O940" s="248"/>
      <c r="P940" s="248"/>
      <c r="Q940" s="248"/>
    </row>
    <row r="941" spans="1:17" ht="15.75" hidden="1" customHeight="1">
      <c r="A941" s="274"/>
      <c r="B941" s="212"/>
      <c r="C941" s="202" t="e">
        <f>#REF!</f>
        <v>#REF!</v>
      </c>
      <c r="D941" s="202"/>
      <c r="E941" s="214"/>
      <c r="F941" s="202"/>
      <c r="G941" s="234" t="e">
        <f>Backlog[[#This Row],[OP]]</f>
        <v>#VALUE!</v>
      </c>
      <c r="H941" s="202"/>
      <c r="I941" s="316" t="e">
        <f>IF(Backlog[[#This Row],[Fecha Requerida en Producción]]="","",Backlog[[#This Row],[Fecha Requerida en Producción]])</f>
        <v>#VALUE!</v>
      </c>
      <c r="J941" s="207"/>
      <c r="K941" s="207"/>
      <c r="L941" s="207"/>
      <c r="M941" s="207"/>
      <c r="N941" s="248"/>
      <c r="O941" s="248"/>
      <c r="P941" s="248"/>
      <c r="Q941" s="248"/>
    </row>
    <row r="942" spans="1:17" ht="15.75" hidden="1" customHeight="1">
      <c r="A942" s="274"/>
      <c r="B942" s="212"/>
      <c r="C942" s="202" t="e">
        <f>#REF!</f>
        <v>#REF!</v>
      </c>
      <c r="D942" s="202"/>
      <c r="E942" s="214"/>
      <c r="F942" s="202"/>
      <c r="G942" s="234" t="e">
        <f>Backlog[[#This Row],[OP]]</f>
        <v>#VALUE!</v>
      </c>
      <c r="H942" s="202"/>
      <c r="I942" s="316" t="e">
        <f>IF(Backlog[[#This Row],[Fecha Requerida en Producción]]="","",Backlog[[#This Row],[Fecha Requerida en Producción]])</f>
        <v>#VALUE!</v>
      </c>
      <c r="J942" s="207"/>
      <c r="K942" s="207"/>
      <c r="L942" s="207"/>
      <c r="M942" s="207"/>
      <c r="N942" s="248"/>
      <c r="O942" s="248"/>
      <c r="P942" s="248"/>
      <c r="Q942" s="248"/>
    </row>
    <row r="943" spans="1:17" ht="15.75" hidden="1" customHeight="1">
      <c r="A943" s="274"/>
      <c r="B943" s="212"/>
      <c r="C943" s="202" t="e">
        <f>#REF!</f>
        <v>#REF!</v>
      </c>
      <c r="D943" s="202"/>
      <c r="E943" s="214"/>
      <c r="F943" s="202"/>
      <c r="G943" s="234" t="e">
        <f>Backlog[[#This Row],[OP]]</f>
        <v>#VALUE!</v>
      </c>
      <c r="H943" s="202"/>
      <c r="I943" s="316" t="e">
        <f>IF(Backlog[[#This Row],[Fecha Requerida en Producción]]="","",Backlog[[#This Row],[Fecha Requerida en Producción]])</f>
        <v>#VALUE!</v>
      </c>
      <c r="J943" s="207"/>
      <c r="K943" s="207"/>
      <c r="L943" s="207"/>
      <c r="M943" s="207"/>
      <c r="N943" s="248"/>
      <c r="O943" s="248"/>
      <c r="P943" s="248"/>
      <c r="Q943" s="248"/>
    </row>
    <row r="944" spans="1:17" ht="15.75" hidden="1" customHeight="1">
      <c r="A944" s="274"/>
      <c r="B944" s="212"/>
      <c r="C944" s="202" t="e">
        <f>#REF!</f>
        <v>#REF!</v>
      </c>
      <c r="D944" s="202"/>
      <c r="E944" s="214"/>
      <c r="F944" s="202"/>
      <c r="G944" s="234" t="e">
        <f>Backlog[[#This Row],[OP]]</f>
        <v>#VALUE!</v>
      </c>
      <c r="H944" s="202"/>
      <c r="I944" s="316" t="e">
        <f>IF(Backlog[[#This Row],[Fecha Requerida en Producción]]="","",Backlog[[#This Row],[Fecha Requerida en Producción]])</f>
        <v>#VALUE!</v>
      </c>
      <c r="J944" s="207"/>
      <c r="K944" s="207"/>
      <c r="L944" s="207"/>
      <c r="M944" s="207"/>
      <c r="N944" s="248"/>
      <c r="O944" s="248"/>
      <c r="P944" s="248"/>
      <c r="Q944" s="248"/>
    </row>
    <row r="945" spans="1:17" ht="15.75" hidden="1" customHeight="1">
      <c r="A945" s="274"/>
      <c r="B945" s="212"/>
      <c r="C945" s="202" t="e">
        <f>#REF!</f>
        <v>#REF!</v>
      </c>
      <c r="D945" s="202"/>
      <c r="E945" s="214"/>
      <c r="F945" s="202"/>
      <c r="G945" s="234" t="e">
        <f>Backlog[[#This Row],[OP]]</f>
        <v>#VALUE!</v>
      </c>
      <c r="H945" s="202"/>
      <c r="I945" s="316" t="e">
        <f>IF(Backlog[[#This Row],[Fecha Requerida en Producción]]="","",Backlog[[#This Row],[Fecha Requerida en Producción]])</f>
        <v>#VALUE!</v>
      </c>
      <c r="J945" s="207"/>
      <c r="K945" s="207"/>
      <c r="L945" s="207"/>
      <c r="M945" s="207"/>
      <c r="N945" s="248"/>
      <c r="O945" s="248"/>
      <c r="P945" s="248"/>
      <c r="Q945" s="248"/>
    </row>
    <row r="946" spans="1:17" ht="15.75" hidden="1" customHeight="1">
      <c r="A946" s="274"/>
      <c r="B946" s="212"/>
      <c r="C946" s="202" t="e">
        <f>#REF!</f>
        <v>#REF!</v>
      </c>
      <c r="D946" s="202"/>
      <c r="E946" s="214"/>
      <c r="F946" s="202"/>
      <c r="G946" s="234" t="e">
        <f>Backlog[[#This Row],[OP]]</f>
        <v>#VALUE!</v>
      </c>
      <c r="H946" s="202"/>
      <c r="I946" s="316" t="e">
        <f>IF(Backlog[[#This Row],[Fecha Requerida en Producción]]="","",Backlog[[#This Row],[Fecha Requerida en Producción]])</f>
        <v>#VALUE!</v>
      </c>
      <c r="J946" s="207"/>
      <c r="K946" s="207"/>
      <c r="L946" s="207"/>
      <c r="M946" s="207"/>
      <c r="N946" s="248"/>
      <c r="O946" s="248"/>
      <c r="P946" s="248"/>
      <c r="Q946" s="248"/>
    </row>
    <row r="947" spans="1:17" ht="15.75" hidden="1" customHeight="1">
      <c r="A947" s="274"/>
      <c r="B947" s="212"/>
      <c r="C947" s="202" t="e">
        <f>#REF!</f>
        <v>#REF!</v>
      </c>
      <c r="D947" s="202"/>
      <c r="E947" s="214"/>
      <c r="F947" s="202"/>
      <c r="G947" s="234" t="e">
        <f>Backlog[[#This Row],[OP]]</f>
        <v>#VALUE!</v>
      </c>
      <c r="H947" s="202"/>
      <c r="I947" s="316" t="e">
        <f>IF(Backlog[[#This Row],[Fecha Requerida en Producción]]="","",Backlog[[#This Row],[Fecha Requerida en Producción]])</f>
        <v>#VALUE!</v>
      </c>
      <c r="J947" s="207"/>
      <c r="K947" s="207"/>
      <c r="L947" s="207"/>
      <c r="M947" s="207"/>
      <c r="N947" s="248"/>
      <c r="O947" s="248"/>
      <c r="P947" s="248"/>
      <c r="Q947" s="248"/>
    </row>
    <row r="948" spans="1:17" ht="15.75" hidden="1" customHeight="1">
      <c r="A948" s="274"/>
      <c r="B948" s="212"/>
      <c r="C948" s="202" t="e">
        <f>#REF!</f>
        <v>#REF!</v>
      </c>
      <c r="D948" s="202"/>
      <c r="E948" s="214"/>
      <c r="F948" s="202"/>
      <c r="G948" s="234" t="e">
        <f>Backlog[[#This Row],[OP]]</f>
        <v>#VALUE!</v>
      </c>
      <c r="H948" s="202"/>
      <c r="I948" s="316" t="e">
        <f>IF(Backlog[[#This Row],[Fecha Requerida en Producción]]="","",Backlog[[#This Row],[Fecha Requerida en Producción]])</f>
        <v>#VALUE!</v>
      </c>
      <c r="J948" s="207"/>
      <c r="K948" s="207"/>
      <c r="L948" s="207"/>
      <c r="M948" s="207"/>
      <c r="N948" s="248"/>
      <c r="O948" s="248"/>
      <c r="P948" s="248"/>
      <c r="Q948" s="248"/>
    </row>
    <row r="949" spans="1:17" ht="15.75" hidden="1" customHeight="1">
      <c r="A949" s="274"/>
      <c r="B949" s="212"/>
      <c r="C949" s="202" t="e">
        <f>#REF!</f>
        <v>#REF!</v>
      </c>
      <c r="D949" s="202"/>
      <c r="E949" s="214"/>
      <c r="F949" s="202"/>
      <c r="G949" s="234" t="e">
        <f>Backlog[[#This Row],[OP]]</f>
        <v>#VALUE!</v>
      </c>
      <c r="H949" s="202"/>
      <c r="I949" s="316" t="e">
        <f>IF(Backlog[[#This Row],[Fecha Requerida en Producción]]="","",Backlog[[#This Row],[Fecha Requerida en Producción]])</f>
        <v>#VALUE!</v>
      </c>
      <c r="J949" s="207"/>
      <c r="K949" s="207"/>
      <c r="L949" s="207"/>
      <c r="M949" s="207"/>
      <c r="N949" s="248"/>
      <c r="O949" s="248"/>
      <c r="P949" s="248"/>
      <c r="Q949" s="248"/>
    </row>
    <row r="950" spans="1:17" ht="15.75" hidden="1" customHeight="1">
      <c r="A950" s="274"/>
      <c r="B950" s="212"/>
      <c r="C950" s="202" t="e">
        <f>#REF!</f>
        <v>#REF!</v>
      </c>
      <c r="D950" s="202"/>
      <c r="E950" s="214"/>
      <c r="F950" s="202"/>
      <c r="G950" s="234" t="e">
        <f>Backlog[[#This Row],[OP]]</f>
        <v>#VALUE!</v>
      </c>
      <c r="H950" s="202"/>
      <c r="I950" s="316" t="e">
        <f>IF(Backlog[[#This Row],[Fecha Requerida en Producción]]="","",Backlog[[#This Row],[Fecha Requerida en Producción]])</f>
        <v>#VALUE!</v>
      </c>
      <c r="J950" s="207"/>
      <c r="K950" s="207"/>
      <c r="L950" s="207"/>
      <c r="M950" s="207"/>
      <c r="N950" s="248"/>
      <c r="O950" s="248"/>
      <c r="P950" s="248"/>
      <c r="Q950" s="248"/>
    </row>
    <row r="951" spans="1:17" ht="15.75" hidden="1" customHeight="1">
      <c r="A951" s="274"/>
      <c r="B951" s="212"/>
      <c r="C951" s="202" t="e">
        <f>#REF!</f>
        <v>#REF!</v>
      </c>
      <c r="D951" s="202"/>
      <c r="E951" s="214"/>
      <c r="F951" s="202"/>
      <c r="G951" s="234" t="e">
        <f>Backlog[[#This Row],[OP]]</f>
        <v>#VALUE!</v>
      </c>
      <c r="H951" s="202"/>
      <c r="I951" s="316" t="e">
        <f>IF(Backlog[[#This Row],[Fecha Requerida en Producción]]="","",Backlog[[#This Row],[Fecha Requerida en Producción]])</f>
        <v>#VALUE!</v>
      </c>
      <c r="J951" s="207"/>
      <c r="K951" s="207"/>
      <c r="L951" s="207"/>
      <c r="M951" s="207"/>
      <c r="N951" s="248"/>
      <c r="O951" s="248"/>
      <c r="P951" s="248"/>
      <c r="Q951" s="248"/>
    </row>
    <row r="952" spans="1:17" ht="15.75" hidden="1" customHeight="1">
      <c r="A952" s="274"/>
      <c r="B952" s="212"/>
      <c r="C952" s="202" t="e">
        <f>#REF!</f>
        <v>#REF!</v>
      </c>
      <c r="D952" s="202"/>
      <c r="E952" s="214"/>
      <c r="F952" s="202"/>
      <c r="G952" s="234" t="e">
        <f>Backlog[[#This Row],[OP]]</f>
        <v>#VALUE!</v>
      </c>
      <c r="H952" s="202"/>
      <c r="I952" s="316" t="e">
        <f>IF(Backlog[[#This Row],[Fecha Requerida en Producción]]="","",Backlog[[#This Row],[Fecha Requerida en Producción]])</f>
        <v>#VALUE!</v>
      </c>
      <c r="J952" s="207"/>
      <c r="K952" s="207"/>
      <c r="L952" s="207"/>
      <c r="M952" s="207"/>
      <c r="N952" s="248"/>
      <c r="O952" s="248"/>
      <c r="P952" s="248"/>
      <c r="Q952" s="248"/>
    </row>
    <row r="953" spans="1:17" ht="15.75" hidden="1" customHeight="1">
      <c r="A953" s="274"/>
      <c r="B953" s="212"/>
      <c r="C953" s="202" t="e">
        <f>#REF!</f>
        <v>#REF!</v>
      </c>
      <c r="D953" s="202"/>
      <c r="E953" s="214"/>
      <c r="F953" s="202"/>
      <c r="G953" s="234" t="e">
        <f>Backlog[[#This Row],[OP]]</f>
        <v>#VALUE!</v>
      </c>
      <c r="H953" s="202"/>
      <c r="I953" s="316" t="e">
        <f>IF(Backlog[[#This Row],[Fecha Requerida en Producción]]="","",Backlog[[#This Row],[Fecha Requerida en Producción]])</f>
        <v>#VALUE!</v>
      </c>
      <c r="J953" s="207"/>
      <c r="K953" s="207"/>
      <c r="L953" s="207"/>
      <c r="M953" s="207"/>
      <c r="N953" s="248"/>
      <c r="O953" s="248"/>
      <c r="P953" s="248"/>
      <c r="Q953" s="248"/>
    </row>
    <row r="954" spans="1:17" ht="15.75" hidden="1" customHeight="1">
      <c r="A954" s="274"/>
      <c r="B954" s="212"/>
      <c r="C954" s="202" t="e">
        <f>#REF!</f>
        <v>#REF!</v>
      </c>
      <c r="D954" s="202"/>
      <c r="E954" s="214"/>
      <c r="F954" s="202"/>
      <c r="G954" s="234" t="e">
        <f>Backlog[[#This Row],[OP]]</f>
        <v>#VALUE!</v>
      </c>
      <c r="H954" s="202"/>
      <c r="I954" s="316" t="e">
        <f>IF(Backlog[[#This Row],[Fecha Requerida en Producción]]="","",Backlog[[#This Row],[Fecha Requerida en Producción]])</f>
        <v>#VALUE!</v>
      </c>
      <c r="J954" s="207"/>
      <c r="K954" s="207"/>
      <c r="L954" s="207"/>
      <c r="M954" s="207"/>
      <c r="N954" s="248"/>
      <c r="O954" s="248"/>
      <c r="P954" s="248"/>
      <c r="Q954" s="248"/>
    </row>
    <row r="955" spans="1:17" ht="15.75" hidden="1" customHeight="1">
      <c r="A955" s="274"/>
      <c r="B955" s="212"/>
      <c r="C955" s="202" t="e">
        <f>#REF!</f>
        <v>#REF!</v>
      </c>
      <c r="D955" s="202"/>
      <c r="E955" s="214"/>
      <c r="F955" s="202"/>
      <c r="G955" s="234" t="e">
        <f>Backlog[[#This Row],[OP]]</f>
        <v>#VALUE!</v>
      </c>
      <c r="H955" s="202"/>
      <c r="I955" s="316" t="e">
        <f>IF(Backlog[[#This Row],[Fecha Requerida en Producción]]="","",Backlog[[#This Row],[Fecha Requerida en Producción]])</f>
        <v>#VALUE!</v>
      </c>
      <c r="J955" s="207"/>
      <c r="K955" s="207"/>
      <c r="L955" s="207"/>
      <c r="M955" s="207"/>
      <c r="N955" s="248"/>
      <c r="O955" s="248"/>
      <c r="P955" s="248"/>
      <c r="Q955" s="248"/>
    </row>
    <row r="956" spans="1:17" ht="15.75" hidden="1" customHeight="1">
      <c r="A956" s="274"/>
      <c r="B956" s="212"/>
      <c r="C956" s="202" t="e">
        <f>#REF!</f>
        <v>#REF!</v>
      </c>
      <c r="D956" s="202"/>
      <c r="E956" s="214"/>
      <c r="F956" s="202"/>
      <c r="G956" s="234" t="e">
        <f>Backlog[[#This Row],[OP]]</f>
        <v>#VALUE!</v>
      </c>
      <c r="H956" s="202"/>
      <c r="I956" s="316" t="e">
        <f>IF(Backlog[[#This Row],[Fecha Requerida en Producción]]="","",Backlog[[#This Row],[Fecha Requerida en Producción]])</f>
        <v>#VALUE!</v>
      </c>
      <c r="J956" s="207"/>
      <c r="K956" s="207"/>
      <c r="L956" s="207"/>
      <c r="M956" s="207"/>
      <c r="N956" s="248"/>
      <c r="O956" s="248"/>
      <c r="P956" s="248"/>
      <c r="Q956" s="248"/>
    </row>
    <row r="957" spans="1:17" ht="15.75" hidden="1" customHeight="1">
      <c r="A957" s="274"/>
      <c r="B957" s="212"/>
      <c r="C957" s="202" t="e">
        <f>#REF!</f>
        <v>#REF!</v>
      </c>
      <c r="D957" s="202"/>
      <c r="E957" s="214"/>
      <c r="F957" s="202"/>
      <c r="G957" s="234" t="e">
        <f>Backlog[[#This Row],[OP]]</f>
        <v>#VALUE!</v>
      </c>
      <c r="H957" s="202"/>
      <c r="I957" s="316" t="e">
        <f>IF(Backlog[[#This Row],[Fecha Requerida en Producción]]="","",Backlog[[#This Row],[Fecha Requerida en Producción]])</f>
        <v>#VALUE!</v>
      </c>
      <c r="J957" s="207"/>
      <c r="K957" s="207"/>
      <c r="L957" s="207"/>
      <c r="M957" s="207"/>
      <c r="N957" s="248"/>
      <c r="O957" s="248"/>
      <c r="P957" s="248"/>
      <c r="Q957" s="248"/>
    </row>
    <row r="958" spans="1:17" ht="15.75" hidden="1" customHeight="1">
      <c r="A958" s="274"/>
      <c r="B958" s="212"/>
      <c r="C958" s="202" t="e">
        <f>#REF!</f>
        <v>#REF!</v>
      </c>
      <c r="D958" s="202"/>
      <c r="E958" s="214"/>
      <c r="F958" s="202"/>
      <c r="G958" s="234" t="e">
        <f>Backlog[[#This Row],[OP]]</f>
        <v>#VALUE!</v>
      </c>
      <c r="H958" s="202"/>
      <c r="I958" s="316" t="e">
        <f>IF(Backlog[[#This Row],[Fecha Requerida en Producción]]="","",Backlog[[#This Row],[Fecha Requerida en Producción]])</f>
        <v>#VALUE!</v>
      </c>
      <c r="J958" s="207"/>
      <c r="K958" s="207"/>
      <c r="L958" s="207"/>
      <c r="M958" s="207"/>
      <c r="N958" s="248"/>
      <c r="O958" s="248"/>
      <c r="P958" s="248"/>
      <c r="Q958" s="248"/>
    </row>
    <row r="959" spans="1:17" ht="15.75" hidden="1" customHeight="1">
      <c r="A959" s="274"/>
      <c r="B959" s="212"/>
      <c r="C959" s="202" t="e">
        <f>#REF!</f>
        <v>#REF!</v>
      </c>
      <c r="D959" s="202"/>
      <c r="E959" s="214"/>
      <c r="F959" s="202"/>
      <c r="G959" s="234" t="e">
        <f>Backlog[[#This Row],[OP]]</f>
        <v>#VALUE!</v>
      </c>
      <c r="H959" s="202"/>
      <c r="I959" s="316" t="e">
        <f>IF(Backlog[[#This Row],[Fecha Requerida en Producción]]="","",Backlog[[#This Row],[Fecha Requerida en Producción]])</f>
        <v>#VALUE!</v>
      </c>
      <c r="J959" s="207"/>
      <c r="K959" s="207"/>
      <c r="L959" s="207"/>
      <c r="M959" s="207"/>
      <c r="N959" s="248"/>
      <c r="O959" s="248"/>
      <c r="P959" s="248"/>
      <c r="Q959" s="248"/>
    </row>
    <row r="960" spans="1:17" ht="15.75" hidden="1" customHeight="1">
      <c r="A960" s="274"/>
      <c r="B960" s="212"/>
      <c r="C960" s="202" t="e">
        <f>#REF!</f>
        <v>#REF!</v>
      </c>
      <c r="D960" s="202"/>
      <c r="E960" s="214"/>
      <c r="F960" s="202"/>
      <c r="G960" s="234" t="e">
        <f>Backlog[[#This Row],[OP]]</f>
        <v>#VALUE!</v>
      </c>
      <c r="H960" s="202"/>
      <c r="I960" s="316" t="e">
        <f>IF(Backlog[[#This Row],[Fecha Requerida en Producción]]="","",Backlog[[#This Row],[Fecha Requerida en Producción]])</f>
        <v>#VALUE!</v>
      </c>
      <c r="J960" s="207"/>
      <c r="K960" s="207"/>
      <c r="L960" s="207"/>
      <c r="M960" s="207"/>
      <c r="N960" s="248"/>
      <c r="O960" s="248"/>
      <c r="P960" s="248"/>
      <c r="Q960" s="248"/>
    </row>
    <row r="961" spans="1:17" ht="15.75" hidden="1" customHeight="1">
      <c r="A961" s="274"/>
      <c r="B961" s="212"/>
      <c r="C961" s="202" t="e">
        <f>#REF!</f>
        <v>#REF!</v>
      </c>
      <c r="D961" s="202"/>
      <c r="E961" s="214"/>
      <c r="F961" s="202"/>
      <c r="G961" s="234" t="e">
        <f>Backlog[[#This Row],[OP]]</f>
        <v>#VALUE!</v>
      </c>
      <c r="H961" s="202"/>
      <c r="I961" s="316" t="e">
        <f>IF(Backlog[[#This Row],[Fecha Requerida en Producción]]="","",Backlog[[#This Row],[Fecha Requerida en Producción]])</f>
        <v>#VALUE!</v>
      </c>
      <c r="J961" s="207"/>
      <c r="K961" s="207"/>
      <c r="L961" s="207"/>
      <c r="M961" s="207"/>
      <c r="N961" s="248"/>
      <c r="O961" s="248"/>
      <c r="P961" s="248"/>
      <c r="Q961" s="248"/>
    </row>
    <row r="962" spans="1:17" ht="15.75" hidden="1" customHeight="1">
      <c r="A962" s="274"/>
      <c r="B962" s="212"/>
      <c r="C962" s="202" t="e">
        <f>#REF!</f>
        <v>#REF!</v>
      </c>
      <c r="D962" s="202"/>
      <c r="E962" s="214"/>
      <c r="F962" s="202"/>
      <c r="G962" s="234" t="e">
        <f>Backlog[[#This Row],[OP]]</f>
        <v>#VALUE!</v>
      </c>
      <c r="H962" s="202"/>
      <c r="I962" s="316" t="e">
        <f>IF(Backlog[[#This Row],[Fecha Requerida en Producción]]="","",Backlog[[#This Row],[Fecha Requerida en Producción]])</f>
        <v>#VALUE!</v>
      </c>
      <c r="J962" s="207"/>
      <c r="K962" s="207"/>
      <c r="L962" s="207"/>
      <c r="M962" s="207"/>
      <c r="N962" s="248"/>
      <c r="O962" s="248"/>
      <c r="P962" s="248"/>
      <c r="Q962" s="248"/>
    </row>
    <row r="963" spans="1:17" ht="15.75" hidden="1" customHeight="1">
      <c r="A963" s="274"/>
      <c r="B963" s="212"/>
      <c r="C963" s="202" t="e">
        <f>#REF!</f>
        <v>#REF!</v>
      </c>
      <c r="D963" s="202"/>
      <c r="E963" s="214"/>
      <c r="F963" s="202"/>
      <c r="G963" s="234" t="e">
        <f>Backlog[[#This Row],[OP]]</f>
        <v>#VALUE!</v>
      </c>
      <c r="H963" s="202"/>
      <c r="I963" s="316" t="e">
        <f>IF(Backlog[[#This Row],[Fecha Requerida en Producción]]="","",Backlog[[#This Row],[Fecha Requerida en Producción]])</f>
        <v>#VALUE!</v>
      </c>
      <c r="J963" s="207"/>
      <c r="K963" s="207"/>
      <c r="L963" s="207"/>
      <c r="M963" s="207"/>
      <c r="N963" s="248"/>
      <c r="O963" s="248"/>
      <c r="P963" s="248"/>
      <c r="Q963" s="248"/>
    </row>
    <row r="964" spans="1:17" ht="15.75" hidden="1" customHeight="1">
      <c r="A964" s="274"/>
      <c r="B964" s="212"/>
      <c r="C964" s="202" t="e">
        <f>#REF!</f>
        <v>#REF!</v>
      </c>
      <c r="D964" s="202"/>
      <c r="E964" s="214"/>
      <c r="F964" s="202"/>
      <c r="G964" s="234" t="e">
        <f>Backlog[[#This Row],[OP]]</f>
        <v>#VALUE!</v>
      </c>
      <c r="H964" s="202"/>
      <c r="I964" s="316" t="e">
        <f>IF(Backlog[[#This Row],[Fecha Requerida en Producción]]="","",Backlog[[#This Row],[Fecha Requerida en Producción]])</f>
        <v>#VALUE!</v>
      </c>
      <c r="J964" s="207"/>
      <c r="K964" s="207"/>
      <c r="L964" s="207"/>
      <c r="M964" s="207"/>
      <c r="N964" s="248"/>
      <c r="O964" s="248"/>
      <c r="P964" s="248"/>
      <c r="Q964" s="248"/>
    </row>
    <row r="965" spans="1:17" ht="15.75" hidden="1" customHeight="1">
      <c r="A965" s="274"/>
      <c r="B965" s="212"/>
      <c r="C965" s="202" t="e">
        <f>#REF!</f>
        <v>#REF!</v>
      </c>
      <c r="D965" s="202"/>
      <c r="E965" s="214"/>
      <c r="F965" s="202"/>
      <c r="G965" s="234" t="e">
        <f>Backlog[[#This Row],[OP]]</f>
        <v>#VALUE!</v>
      </c>
      <c r="H965" s="202"/>
      <c r="I965" s="316" t="e">
        <f>IF(Backlog[[#This Row],[Fecha Requerida en Producción]]="","",Backlog[[#This Row],[Fecha Requerida en Producción]])</f>
        <v>#VALUE!</v>
      </c>
      <c r="J965" s="207"/>
      <c r="K965" s="207"/>
      <c r="L965" s="207"/>
      <c r="M965" s="207"/>
      <c r="N965" s="248"/>
      <c r="O965" s="248"/>
      <c r="P965" s="248"/>
      <c r="Q965" s="248"/>
    </row>
    <row r="966" spans="1:17" ht="15.75" hidden="1" customHeight="1">
      <c r="A966" s="274"/>
      <c r="B966" s="212"/>
      <c r="C966" s="202" t="e">
        <f>#REF!</f>
        <v>#REF!</v>
      </c>
      <c r="D966" s="202"/>
      <c r="E966" s="214"/>
      <c r="F966" s="202"/>
      <c r="G966" s="234" t="e">
        <f>Backlog[[#This Row],[OP]]</f>
        <v>#VALUE!</v>
      </c>
      <c r="H966" s="202"/>
      <c r="I966" s="316" t="e">
        <f>IF(Backlog[[#This Row],[Fecha Requerida en Producción]]="","",Backlog[[#This Row],[Fecha Requerida en Producción]])</f>
        <v>#VALUE!</v>
      </c>
      <c r="J966" s="207"/>
      <c r="K966" s="207"/>
      <c r="L966" s="207"/>
      <c r="M966" s="207"/>
      <c r="N966" s="248"/>
      <c r="O966" s="248"/>
      <c r="P966" s="248"/>
      <c r="Q966" s="248"/>
    </row>
    <row r="967" spans="1:17" ht="15.75" hidden="1" customHeight="1">
      <c r="A967" s="274"/>
      <c r="B967" s="212"/>
      <c r="C967" s="202" t="e">
        <f>#REF!</f>
        <v>#REF!</v>
      </c>
      <c r="D967" s="202"/>
      <c r="E967" s="214"/>
      <c r="F967" s="202"/>
      <c r="G967" s="234" t="e">
        <f>Backlog[[#This Row],[OP]]</f>
        <v>#VALUE!</v>
      </c>
      <c r="H967" s="202"/>
      <c r="I967" s="316" t="e">
        <f>IF(Backlog[[#This Row],[Fecha Requerida en Producción]]="","",Backlog[[#This Row],[Fecha Requerida en Producción]])</f>
        <v>#VALUE!</v>
      </c>
      <c r="J967" s="207"/>
      <c r="K967" s="207"/>
      <c r="L967" s="207"/>
      <c r="M967" s="207"/>
      <c r="N967" s="248"/>
      <c r="O967" s="248"/>
      <c r="P967" s="248"/>
      <c r="Q967" s="248"/>
    </row>
    <row r="968" spans="1:17" ht="15.75" hidden="1" customHeight="1">
      <c r="A968" s="274"/>
      <c r="B968" s="212"/>
      <c r="C968" s="202" t="e">
        <f>#REF!</f>
        <v>#REF!</v>
      </c>
      <c r="D968" s="202"/>
      <c r="E968" s="214"/>
      <c r="F968" s="202"/>
      <c r="G968" s="234" t="e">
        <f>Backlog[[#This Row],[OP]]</f>
        <v>#VALUE!</v>
      </c>
      <c r="H968" s="202"/>
      <c r="I968" s="316" t="e">
        <f>IF(Backlog[[#This Row],[Fecha Requerida en Producción]]="","",Backlog[[#This Row],[Fecha Requerida en Producción]])</f>
        <v>#VALUE!</v>
      </c>
      <c r="J968" s="207"/>
      <c r="K968" s="207"/>
      <c r="L968" s="207"/>
      <c r="M968" s="207"/>
      <c r="N968" s="248"/>
      <c r="O968" s="248"/>
      <c r="P968" s="248"/>
      <c r="Q968" s="248"/>
    </row>
    <row r="969" spans="1:17" ht="15.75" hidden="1" customHeight="1">
      <c r="A969" s="274"/>
      <c r="B969" s="212"/>
      <c r="C969" s="202" t="e">
        <f>#REF!</f>
        <v>#REF!</v>
      </c>
      <c r="D969" s="202"/>
      <c r="E969" s="214"/>
      <c r="F969" s="202"/>
      <c r="G969" s="234" t="e">
        <f>Backlog[[#This Row],[OP]]</f>
        <v>#VALUE!</v>
      </c>
      <c r="H969" s="202"/>
      <c r="I969" s="316" t="e">
        <f>IF(Backlog[[#This Row],[Fecha Requerida en Producción]]="","",Backlog[[#This Row],[Fecha Requerida en Producción]])</f>
        <v>#VALUE!</v>
      </c>
      <c r="J969" s="207"/>
      <c r="K969" s="207"/>
      <c r="L969" s="207"/>
      <c r="M969" s="207"/>
      <c r="N969" s="248"/>
      <c r="O969" s="248"/>
      <c r="P969" s="248"/>
      <c r="Q969" s="248"/>
    </row>
    <row r="970" spans="1:17" ht="15.75" hidden="1" customHeight="1">
      <c r="A970" s="274"/>
      <c r="B970" s="212"/>
      <c r="C970" s="202" t="e">
        <f>#REF!</f>
        <v>#REF!</v>
      </c>
      <c r="D970" s="202"/>
      <c r="E970" s="214"/>
      <c r="F970" s="202"/>
      <c r="G970" s="234" t="e">
        <f>Backlog[[#This Row],[OP]]</f>
        <v>#VALUE!</v>
      </c>
      <c r="H970" s="202"/>
      <c r="I970" s="316" t="e">
        <f>IF(Backlog[[#This Row],[Fecha Requerida en Producción]]="","",Backlog[[#This Row],[Fecha Requerida en Producción]])</f>
        <v>#VALUE!</v>
      </c>
      <c r="J970" s="207"/>
      <c r="K970" s="207"/>
      <c r="L970" s="207"/>
      <c r="M970" s="207"/>
      <c r="N970" s="248"/>
      <c r="O970" s="248"/>
      <c r="P970" s="248"/>
      <c r="Q970" s="248"/>
    </row>
    <row r="971" spans="1:17" ht="15.75" hidden="1" customHeight="1">
      <c r="A971" s="274"/>
      <c r="B971" s="212"/>
      <c r="C971" s="202" t="e">
        <f>#REF!</f>
        <v>#REF!</v>
      </c>
      <c r="D971" s="202"/>
      <c r="E971" s="214"/>
      <c r="F971" s="202"/>
      <c r="G971" s="234" t="e">
        <f>Backlog[[#This Row],[OP]]</f>
        <v>#VALUE!</v>
      </c>
      <c r="H971" s="202"/>
      <c r="I971" s="316" t="e">
        <f>IF(Backlog[[#This Row],[Fecha Requerida en Producción]]="","",Backlog[[#This Row],[Fecha Requerida en Producción]])</f>
        <v>#VALUE!</v>
      </c>
      <c r="J971" s="207"/>
      <c r="K971" s="207"/>
      <c r="L971" s="207"/>
      <c r="M971" s="207"/>
      <c r="N971" s="248"/>
      <c r="O971" s="248"/>
      <c r="P971" s="248"/>
      <c r="Q971" s="248"/>
    </row>
    <row r="972" spans="1:17" ht="15.75" hidden="1" customHeight="1">
      <c r="A972" s="274"/>
      <c r="B972" s="212"/>
      <c r="C972" s="202" t="e">
        <f>#REF!</f>
        <v>#REF!</v>
      </c>
      <c r="D972" s="202"/>
      <c r="E972" s="214"/>
      <c r="F972" s="202"/>
      <c r="G972" s="234" t="e">
        <f>Backlog[[#This Row],[OP]]</f>
        <v>#VALUE!</v>
      </c>
      <c r="H972" s="202"/>
      <c r="I972" s="316" t="e">
        <f>IF(Backlog[[#This Row],[Fecha Requerida en Producción]]="","",Backlog[[#This Row],[Fecha Requerida en Producción]])</f>
        <v>#VALUE!</v>
      </c>
      <c r="J972" s="207"/>
      <c r="K972" s="207"/>
      <c r="L972" s="207"/>
      <c r="M972" s="207"/>
      <c r="N972" s="248"/>
      <c r="O972" s="248"/>
      <c r="P972" s="248"/>
      <c r="Q972" s="248"/>
    </row>
    <row r="973" spans="1:17" ht="15.75" hidden="1" customHeight="1">
      <c r="A973" s="274"/>
      <c r="B973" s="212"/>
      <c r="C973" s="202" t="e">
        <f>#REF!</f>
        <v>#REF!</v>
      </c>
      <c r="D973" s="202"/>
      <c r="E973" s="214"/>
      <c r="F973" s="202"/>
      <c r="G973" s="234" t="e">
        <f>Backlog[[#This Row],[OP]]</f>
        <v>#VALUE!</v>
      </c>
      <c r="H973" s="202"/>
      <c r="I973" s="316" t="e">
        <f>IF(Backlog[[#This Row],[Fecha Requerida en Producción]]="","",Backlog[[#This Row],[Fecha Requerida en Producción]])</f>
        <v>#VALUE!</v>
      </c>
      <c r="J973" s="207"/>
      <c r="K973" s="207"/>
      <c r="L973" s="207"/>
      <c r="M973" s="207"/>
      <c r="N973" s="248"/>
      <c r="O973" s="248"/>
      <c r="P973" s="248"/>
      <c r="Q973" s="248"/>
    </row>
    <row r="974" spans="1:17" ht="15.75" hidden="1" customHeight="1">
      <c r="A974" s="274"/>
      <c r="B974" s="212"/>
      <c r="C974" s="202" t="e">
        <f>#REF!</f>
        <v>#REF!</v>
      </c>
      <c r="D974" s="202"/>
      <c r="E974" s="214"/>
      <c r="F974" s="202"/>
      <c r="G974" s="234" t="e">
        <f>Backlog[[#This Row],[OP]]</f>
        <v>#VALUE!</v>
      </c>
      <c r="H974" s="202"/>
      <c r="I974" s="316" t="e">
        <f>IF(Backlog[[#This Row],[Fecha Requerida en Producción]]="","",Backlog[[#This Row],[Fecha Requerida en Producción]])</f>
        <v>#VALUE!</v>
      </c>
      <c r="J974" s="207"/>
      <c r="K974" s="207"/>
      <c r="L974" s="207"/>
      <c r="M974" s="207"/>
      <c r="N974" s="248"/>
      <c r="O974" s="248"/>
      <c r="P974" s="248"/>
      <c r="Q974" s="248"/>
    </row>
    <row r="975" spans="1:17" ht="15.75" hidden="1" customHeight="1">
      <c r="A975" s="274"/>
      <c r="B975" s="212"/>
      <c r="C975" s="202" t="e">
        <f>#REF!</f>
        <v>#REF!</v>
      </c>
      <c r="D975" s="202"/>
      <c r="E975" s="214"/>
      <c r="F975" s="202"/>
      <c r="G975" s="234" t="e">
        <f>Backlog[[#This Row],[OP]]</f>
        <v>#VALUE!</v>
      </c>
      <c r="H975" s="202"/>
      <c r="I975" s="316" t="e">
        <f>IF(Backlog[[#This Row],[Fecha Requerida en Producción]]="","",Backlog[[#This Row],[Fecha Requerida en Producción]])</f>
        <v>#VALUE!</v>
      </c>
      <c r="J975" s="207"/>
      <c r="K975" s="207"/>
      <c r="L975" s="207"/>
      <c r="M975" s="207"/>
      <c r="N975" s="248"/>
      <c r="O975" s="248"/>
      <c r="P975" s="248"/>
      <c r="Q975" s="248"/>
    </row>
    <row r="976" spans="1:17" ht="15.75" hidden="1" customHeight="1">
      <c r="A976" s="274"/>
      <c r="B976" s="212"/>
      <c r="C976" s="202" t="e">
        <f>#REF!</f>
        <v>#REF!</v>
      </c>
      <c r="D976" s="202"/>
      <c r="E976" s="214"/>
      <c r="F976" s="202"/>
      <c r="G976" s="234" t="e">
        <f>Backlog[[#This Row],[OP]]</f>
        <v>#VALUE!</v>
      </c>
      <c r="H976" s="202"/>
      <c r="I976" s="316" t="e">
        <f>IF(Backlog[[#This Row],[Fecha Requerida en Producción]]="","",Backlog[[#This Row],[Fecha Requerida en Producción]])</f>
        <v>#VALUE!</v>
      </c>
      <c r="J976" s="207"/>
      <c r="K976" s="207"/>
      <c r="L976" s="207"/>
      <c r="M976" s="207"/>
      <c r="N976" s="248"/>
      <c r="O976" s="248"/>
      <c r="P976" s="248"/>
      <c r="Q976" s="248"/>
    </row>
    <row r="977" spans="1:17" ht="15.75" hidden="1" customHeight="1">
      <c r="A977" s="274"/>
      <c r="B977" s="212"/>
      <c r="C977" s="202" t="e">
        <f>#REF!</f>
        <v>#REF!</v>
      </c>
      <c r="D977" s="202"/>
      <c r="E977" s="214"/>
      <c r="F977" s="202"/>
      <c r="G977" s="234" t="e">
        <f>Backlog[[#This Row],[OP]]</f>
        <v>#VALUE!</v>
      </c>
      <c r="H977" s="202"/>
      <c r="I977" s="316" t="e">
        <f>IF(Backlog[[#This Row],[Fecha Requerida en Producción]]="","",Backlog[[#This Row],[Fecha Requerida en Producción]])</f>
        <v>#VALUE!</v>
      </c>
      <c r="J977" s="207"/>
      <c r="K977" s="207"/>
      <c r="L977" s="207"/>
      <c r="M977" s="207"/>
      <c r="N977" s="248"/>
      <c r="O977" s="248"/>
      <c r="P977" s="248"/>
      <c r="Q977" s="248"/>
    </row>
    <row r="978" spans="1:17" ht="15.75" hidden="1" customHeight="1">
      <c r="A978" s="274"/>
      <c r="B978" s="212"/>
      <c r="C978" s="202" t="e">
        <f>#REF!</f>
        <v>#REF!</v>
      </c>
      <c r="D978" s="202"/>
      <c r="E978" s="214"/>
      <c r="F978" s="202"/>
      <c r="G978" s="234" t="e">
        <f>Backlog[[#This Row],[OP]]</f>
        <v>#VALUE!</v>
      </c>
      <c r="H978" s="202"/>
      <c r="I978" s="316" t="e">
        <f>IF(Backlog[[#This Row],[Fecha Requerida en Producción]]="","",Backlog[[#This Row],[Fecha Requerida en Producción]])</f>
        <v>#VALUE!</v>
      </c>
      <c r="J978" s="207"/>
      <c r="K978" s="207"/>
      <c r="L978" s="207"/>
      <c r="M978" s="207"/>
      <c r="N978" s="248"/>
      <c r="O978" s="248"/>
      <c r="P978" s="248"/>
      <c r="Q978" s="248"/>
    </row>
    <row r="979" spans="1:17" ht="15.75" hidden="1" customHeight="1">
      <c r="A979" s="274"/>
      <c r="B979" s="212"/>
      <c r="C979" s="202" t="e">
        <f>#REF!</f>
        <v>#REF!</v>
      </c>
      <c r="D979" s="202"/>
      <c r="E979" s="214"/>
      <c r="F979" s="202"/>
      <c r="G979" s="234" t="e">
        <f>Backlog[[#This Row],[OP]]</f>
        <v>#VALUE!</v>
      </c>
      <c r="H979" s="202"/>
      <c r="I979" s="316" t="e">
        <f>IF(Backlog[[#This Row],[Fecha Requerida en Producción]]="","",Backlog[[#This Row],[Fecha Requerida en Producción]])</f>
        <v>#VALUE!</v>
      </c>
      <c r="J979" s="207"/>
      <c r="K979" s="207"/>
      <c r="L979" s="207"/>
      <c r="M979" s="207"/>
      <c r="N979" s="248"/>
      <c r="O979" s="248"/>
      <c r="P979" s="248"/>
      <c r="Q979" s="248"/>
    </row>
    <row r="980" spans="1:17" ht="15.75" hidden="1" customHeight="1">
      <c r="A980" s="274"/>
      <c r="B980" s="212"/>
      <c r="C980" s="202" t="e">
        <f>#REF!</f>
        <v>#REF!</v>
      </c>
      <c r="D980" s="202"/>
      <c r="E980" s="214"/>
      <c r="F980" s="202"/>
      <c r="G980" s="234" t="e">
        <f>Backlog[[#This Row],[OP]]</f>
        <v>#VALUE!</v>
      </c>
      <c r="H980" s="202"/>
      <c r="I980" s="316" t="e">
        <f>IF(Backlog[[#This Row],[Fecha Requerida en Producción]]="","",Backlog[[#This Row],[Fecha Requerida en Producción]])</f>
        <v>#VALUE!</v>
      </c>
      <c r="J980" s="207"/>
      <c r="K980" s="207"/>
      <c r="L980" s="207"/>
      <c r="M980" s="207"/>
      <c r="N980" s="248"/>
      <c r="O980" s="248"/>
      <c r="P980" s="248"/>
      <c r="Q980" s="248"/>
    </row>
    <row r="981" spans="1:17" ht="15.75" hidden="1" customHeight="1">
      <c r="A981" s="274"/>
      <c r="B981" s="212"/>
      <c r="C981" s="202" t="e">
        <f>#REF!</f>
        <v>#REF!</v>
      </c>
      <c r="D981" s="202"/>
      <c r="E981" s="214"/>
      <c r="F981" s="202"/>
      <c r="G981" s="234" t="e">
        <f>Backlog[[#This Row],[OP]]</f>
        <v>#VALUE!</v>
      </c>
      <c r="H981" s="202"/>
      <c r="I981" s="316" t="e">
        <f>IF(Backlog[[#This Row],[Fecha Requerida en Producción]]="","",Backlog[[#This Row],[Fecha Requerida en Producción]])</f>
        <v>#VALUE!</v>
      </c>
      <c r="J981" s="207"/>
      <c r="K981" s="207"/>
      <c r="L981" s="207"/>
      <c r="M981" s="207"/>
      <c r="N981" s="248"/>
      <c r="O981" s="248"/>
      <c r="P981" s="248"/>
      <c r="Q981" s="248"/>
    </row>
    <row r="982" spans="1:17" ht="15.75" hidden="1" customHeight="1">
      <c r="A982" s="274"/>
      <c r="B982" s="212"/>
      <c r="C982" s="202" t="e">
        <f>#REF!</f>
        <v>#REF!</v>
      </c>
      <c r="D982" s="202"/>
      <c r="E982" s="214"/>
      <c r="F982" s="202"/>
      <c r="G982" s="234" t="e">
        <f>Backlog[[#This Row],[OP]]</f>
        <v>#VALUE!</v>
      </c>
      <c r="H982" s="202"/>
      <c r="I982" s="316" t="e">
        <f>IF(Backlog[[#This Row],[Fecha Requerida en Producción]]="","",Backlog[[#This Row],[Fecha Requerida en Producción]])</f>
        <v>#VALUE!</v>
      </c>
      <c r="J982" s="207"/>
      <c r="K982" s="207"/>
      <c r="L982" s="207"/>
      <c r="M982" s="207"/>
      <c r="N982" s="248"/>
      <c r="O982" s="248"/>
      <c r="P982" s="248"/>
      <c r="Q982" s="248"/>
    </row>
    <row r="983" spans="1:17" ht="15.75" hidden="1" customHeight="1">
      <c r="A983" s="274"/>
      <c r="B983" s="212"/>
      <c r="C983" s="202" t="e">
        <f>#REF!</f>
        <v>#REF!</v>
      </c>
      <c r="D983" s="202"/>
      <c r="E983" s="214"/>
      <c r="F983" s="202"/>
      <c r="G983" s="234" t="e">
        <f>Backlog[[#This Row],[OP]]</f>
        <v>#VALUE!</v>
      </c>
      <c r="H983" s="202"/>
      <c r="I983" s="316" t="e">
        <f>IF(Backlog[[#This Row],[Fecha Requerida en Producción]]="","",Backlog[[#This Row],[Fecha Requerida en Producción]])</f>
        <v>#VALUE!</v>
      </c>
      <c r="J983" s="207"/>
      <c r="K983" s="207"/>
      <c r="L983" s="207"/>
      <c r="M983" s="207"/>
      <c r="N983" s="248"/>
      <c r="O983" s="248"/>
      <c r="P983" s="248"/>
      <c r="Q983" s="248"/>
    </row>
    <row r="984" spans="1:17" ht="15.75" hidden="1" customHeight="1">
      <c r="A984" s="274"/>
      <c r="B984" s="212"/>
      <c r="C984" s="202" t="e">
        <f>#REF!</f>
        <v>#REF!</v>
      </c>
      <c r="D984" s="202"/>
      <c r="E984" s="214"/>
      <c r="F984" s="202"/>
      <c r="G984" s="234" t="e">
        <f>Backlog[[#This Row],[OP]]</f>
        <v>#VALUE!</v>
      </c>
      <c r="H984" s="202"/>
      <c r="I984" s="316" t="e">
        <f>IF(Backlog[[#This Row],[Fecha Requerida en Producción]]="","",Backlog[[#This Row],[Fecha Requerida en Producción]])</f>
        <v>#VALUE!</v>
      </c>
      <c r="J984" s="207"/>
      <c r="K984" s="207"/>
      <c r="L984" s="207"/>
      <c r="M984" s="207"/>
      <c r="N984" s="248"/>
      <c r="O984" s="248"/>
      <c r="P984" s="248"/>
      <c r="Q984" s="248"/>
    </row>
    <row r="985" spans="1:17" ht="15.75" hidden="1" customHeight="1">
      <c r="A985" s="274"/>
      <c r="B985" s="212"/>
      <c r="C985" s="202" t="e">
        <f>#REF!</f>
        <v>#REF!</v>
      </c>
      <c r="D985" s="202"/>
      <c r="E985" s="214"/>
      <c r="F985" s="202"/>
      <c r="G985" s="234" t="e">
        <f>Backlog[[#This Row],[OP]]</f>
        <v>#VALUE!</v>
      </c>
      <c r="H985" s="202"/>
      <c r="I985" s="316" t="e">
        <f>IF(Backlog[[#This Row],[Fecha Requerida en Producción]]="","",Backlog[[#This Row],[Fecha Requerida en Producción]])</f>
        <v>#VALUE!</v>
      </c>
      <c r="J985" s="207"/>
      <c r="K985" s="207"/>
      <c r="L985" s="207"/>
      <c r="M985" s="207"/>
      <c r="N985" s="248"/>
      <c r="O985" s="248"/>
      <c r="P985" s="248"/>
      <c r="Q985" s="248"/>
    </row>
    <row r="986" spans="1:17" ht="15.75" hidden="1" customHeight="1">
      <c r="A986" s="274"/>
      <c r="B986" s="212"/>
      <c r="C986" s="202" t="e">
        <f>#REF!</f>
        <v>#REF!</v>
      </c>
      <c r="D986" s="202"/>
      <c r="E986" s="214"/>
      <c r="F986" s="202"/>
      <c r="G986" s="234" t="e">
        <f>Backlog[[#This Row],[OP]]</f>
        <v>#VALUE!</v>
      </c>
      <c r="H986" s="202"/>
      <c r="I986" s="316" t="e">
        <f>IF(Backlog[[#This Row],[Fecha Requerida en Producción]]="","",Backlog[[#This Row],[Fecha Requerida en Producción]])</f>
        <v>#VALUE!</v>
      </c>
      <c r="J986" s="207"/>
      <c r="K986" s="207"/>
      <c r="L986" s="207"/>
      <c r="M986" s="207"/>
      <c r="N986" s="248"/>
      <c r="O986" s="248"/>
      <c r="P986" s="248"/>
      <c r="Q986" s="248"/>
    </row>
    <row r="987" spans="1:17" ht="15.75" hidden="1" customHeight="1">
      <c r="A987" s="274"/>
      <c r="B987" s="212"/>
      <c r="C987" s="202" t="e">
        <f>#REF!</f>
        <v>#REF!</v>
      </c>
      <c r="D987" s="202"/>
      <c r="E987" s="214"/>
      <c r="F987" s="202"/>
      <c r="G987" s="234" t="e">
        <f>Backlog[[#This Row],[OP]]</f>
        <v>#VALUE!</v>
      </c>
      <c r="H987" s="202"/>
      <c r="I987" s="316" t="e">
        <f>IF(Backlog[[#This Row],[Fecha Requerida en Producción]]="","",Backlog[[#This Row],[Fecha Requerida en Producción]])</f>
        <v>#VALUE!</v>
      </c>
      <c r="J987" s="207"/>
      <c r="K987" s="207"/>
      <c r="L987" s="207"/>
      <c r="M987" s="207"/>
      <c r="N987" s="248"/>
      <c r="O987" s="248"/>
      <c r="P987" s="248"/>
      <c r="Q987" s="248"/>
    </row>
    <row r="988" spans="1:17" ht="15.75" hidden="1" customHeight="1">
      <c r="A988" s="274"/>
      <c r="B988" s="212"/>
      <c r="C988" s="202" t="e">
        <f>#REF!</f>
        <v>#REF!</v>
      </c>
      <c r="D988" s="202"/>
      <c r="E988" s="214"/>
      <c r="F988" s="202"/>
      <c r="G988" s="234" t="e">
        <f>Backlog[[#This Row],[OP]]</f>
        <v>#VALUE!</v>
      </c>
      <c r="H988" s="202"/>
      <c r="I988" s="316" t="e">
        <f>IF(Backlog[[#This Row],[Fecha Requerida en Producción]]="","",Backlog[[#This Row],[Fecha Requerida en Producción]])</f>
        <v>#VALUE!</v>
      </c>
      <c r="J988" s="207"/>
      <c r="K988" s="207"/>
      <c r="L988" s="207"/>
      <c r="M988" s="207"/>
      <c r="N988" s="248"/>
      <c r="O988" s="248"/>
      <c r="P988" s="248"/>
      <c r="Q988" s="248"/>
    </row>
    <row r="989" spans="1:17" ht="15.75" hidden="1" customHeight="1">
      <c r="A989" s="274"/>
      <c r="B989" s="212"/>
      <c r="C989" s="202" t="e">
        <f>#REF!</f>
        <v>#REF!</v>
      </c>
      <c r="D989" s="202"/>
      <c r="E989" s="214"/>
      <c r="F989" s="202"/>
      <c r="G989" s="234" t="e">
        <f>Backlog[[#This Row],[OP]]</f>
        <v>#VALUE!</v>
      </c>
      <c r="H989" s="202"/>
      <c r="I989" s="316" t="e">
        <f>IF(Backlog[[#This Row],[Fecha Requerida en Producción]]="","",Backlog[[#This Row],[Fecha Requerida en Producción]])</f>
        <v>#VALUE!</v>
      </c>
      <c r="J989" s="207"/>
      <c r="K989" s="207"/>
      <c r="L989" s="207"/>
      <c r="M989" s="207"/>
      <c r="N989" s="248"/>
      <c r="O989" s="248"/>
      <c r="P989" s="248"/>
      <c r="Q989" s="248"/>
    </row>
    <row r="990" spans="1:17" ht="15.75" hidden="1" customHeight="1">
      <c r="A990" s="274"/>
      <c r="B990" s="212"/>
      <c r="C990" s="202" t="e">
        <f>#REF!</f>
        <v>#REF!</v>
      </c>
      <c r="D990" s="202"/>
      <c r="E990" s="214"/>
      <c r="F990" s="202"/>
      <c r="G990" s="234" t="e">
        <f>Backlog[[#This Row],[OP]]</f>
        <v>#VALUE!</v>
      </c>
      <c r="H990" s="202"/>
      <c r="I990" s="316" t="e">
        <f>IF(Backlog[[#This Row],[Fecha Requerida en Producción]]="","",Backlog[[#This Row],[Fecha Requerida en Producción]])</f>
        <v>#VALUE!</v>
      </c>
      <c r="J990" s="207"/>
      <c r="K990" s="207"/>
      <c r="L990" s="207"/>
      <c r="M990" s="207"/>
      <c r="N990" s="248"/>
      <c r="O990" s="248"/>
      <c r="P990" s="248"/>
      <c r="Q990" s="248"/>
    </row>
    <row r="991" spans="1:17" ht="15.75" hidden="1" customHeight="1">
      <c r="A991" s="274"/>
      <c r="B991" s="212"/>
      <c r="C991" s="202" t="e">
        <f>#REF!</f>
        <v>#REF!</v>
      </c>
      <c r="D991" s="202"/>
      <c r="E991" s="214"/>
      <c r="F991" s="202"/>
      <c r="G991" s="234" t="e">
        <f>Backlog[[#This Row],[OP]]</f>
        <v>#VALUE!</v>
      </c>
      <c r="H991" s="202"/>
      <c r="I991" s="316" t="e">
        <f>IF(Backlog[[#This Row],[Fecha Requerida en Producción]]="","",Backlog[[#This Row],[Fecha Requerida en Producción]])</f>
        <v>#VALUE!</v>
      </c>
      <c r="J991" s="207"/>
      <c r="K991" s="207"/>
      <c r="L991" s="207"/>
      <c r="M991" s="207"/>
      <c r="N991" s="248"/>
      <c r="O991" s="248"/>
      <c r="P991" s="248"/>
      <c r="Q991" s="248"/>
    </row>
    <row r="992" spans="1:17" ht="15.75" hidden="1" customHeight="1">
      <c r="A992" s="274"/>
      <c r="B992" s="212"/>
      <c r="C992" s="202" t="e">
        <f>#REF!</f>
        <v>#REF!</v>
      </c>
      <c r="D992" s="202"/>
      <c r="E992" s="214"/>
      <c r="F992" s="202"/>
      <c r="G992" s="234" t="e">
        <f>Backlog[[#This Row],[OP]]</f>
        <v>#VALUE!</v>
      </c>
      <c r="H992" s="202"/>
      <c r="I992" s="316" t="e">
        <f>IF(Backlog[[#This Row],[Fecha Requerida en Producción]]="","",Backlog[[#This Row],[Fecha Requerida en Producción]])</f>
        <v>#VALUE!</v>
      </c>
      <c r="J992" s="207"/>
      <c r="K992" s="207"/>
      <c r="L992" s="207"/>
      <c r="M992" s="207"/>
      <c r="N992" s="248"/>
      <c r="O992" s="248"/>
      <c r="P992" s="248"/>
      <c r="Q992" s="248"/>
    </row>
    <row r="993" spans="1:17" ht="15.75" hidden="1" customHeight="1">
      <c r="A993" s="274"/>
      <c r="B993" s="212"/>
      <c r="C993" s="202" t="e">
        <f>#REF!</f>
        <v>#REF!</v>
      </c>
      <c r="D993" s="202"/>
      <c r="E993" s="214"/>
      <c r="F993" s="202"/>
      <c r="G993" s="234" t="e">
        <f>Backlog[[#This Row],[OP]]</f>
        <v>#VALUE!</v>
      </c>
      <c r="H993" s="202"/>
      <c r="I993" s="316" t="e">
        <f>IF(Backlog[[#This Row],[Fecha Requerida en Producción]]="","",Backlog[[#This Row],[Fecha Requerida en Producción]])</f>
        <v>#VALUE!</v>
      </c>
      <c r="J993" s="207"/>
      <c r="K993" s="207"/>
      <c r="L993" s="207"/>
      <c r="M993" s="207"/>
      <c r="N993" s="248"/>
      <c r="O993" s="248"/>
      <c r="P993" s="248"/>
      <c r="Q993" s="248"/>
    </row>
    <row r="994" spans="1:17" ht="15.75" hidden="1" customHeight="1">
      <c r="A994" s="274"/>
      <c r="B994" s="212"/>
      <c r="C994" s="202" t="e">
        <f>#REF!</f>
        <v>#REF!</v>
      </c>
      <c r="D994" s="202"/>
      <c r="E994" s="214"/>
      <c r="F994" s="202"/>
      <c r="G994" s="234" t="e">
        <f>Backlog[[#This Row],[OP]]</f>
        <v>#VALUE!</v>
      </c>
      <c r="H994" s="202"/>
      <c r="I994" s="316" t="e">
        <f>IF(Backlog[[#This Row],[Fecha Requerida en Producción]]="","",Backlog[[#This Row],[Fecha Requerida en Producción]])</f>
        <v>#VALUE!</v>
      </c>
      <c r="J994" s="207"/>
      <c r="K994" s="207"/>
      <c r="L994" s="207"/>
      <c r="M994" s="207"/>
      <c r="N994" s="248"/>
      <c r="O994" s="248"/>
      <c r="P994" s="248"/>
      <c r="Q994" s="248"/>
    </row>
    <row r="995" spans="1:17" ht="15.75" hidden="1" customHeight="1">
      <c r="A995" s="274"/>
      <c r="B995" s="212"/>
      <c r="C995" s="202" t="e">
        <f>#REF!</f>
        <v>#REF!</v>
      </c>
      <c r="D995" s="202"/>
      <c r="E995" s="214"/>
      <c r="F995" s="202"/>
      <c r="G995" s="234" t="e">
        <f>Backlog[[#This Row],[OP]]</f>
        <v>#VALUE!</v>
      </c>
      <c r="H995" s="202"/>
      <c r="I995" s="316" t="e">
        <f>IF(Backlog[[#This Row],[Fecha Requerida en Producción]]="","",Backlog[[#This Row],[Fecha Requerida en Producción]])</f>
        <v>#VALUE!</v>
      </c>
      <c r="J995" s="207"/>
      <c r="K995" s="207"/>
      <c r="L995" s="207"/>
      <c r="M995" s="207"/>
      <c r="N995" s="248"/>
      <c r="O995" s="248"/>
      <c r="P995" s="248"/>
      <c r="Q995" s="248"/>
    </row>
    <row r="996" spans="1:17" ht="15.75" hidden="1" customHeight="1">
      <c r="A996" s="274"/>
      <c r="B996" s="212"/>
      <c r="C996" s="202" t="e">
        <f>#REF!</f>
        <v>#REF!</v>
      </c>
      <c r="D996" s="202"/>
      <c r="E996" s="214"/>
      <c r="F996" s="202"/>
      <c r="G996" s="234" t="e">
        <f>Backlog[[#This Row],[OP]]</f>
        <v>#VALUE!</v>
      </c>
      <c r="H996" s="202"/>
      <c r="I996" s="316" t="e">
        <f>IF(Backlog[[#This Row],[Fecha Requerida en Producción]]="","",Backlog[[#This Row],[Fecha Requerida en Producción]])</f>
        <v>#VALUE!</v>
      </c>
      <c r="J996" s="207"/>
      <c r="K996" s="207"/>
      <c r="L996" s="207"/>
      <c r="M996" s="207"/>
      <c r="N996" s="248"/>
      <c r="O996" s="248"/>
      <c r="P996" s="248"/>
      <c r="Q996" s="248"/>
    </row>
    <row r="997" spans="1:17" ht="15.75" hidden="1" customHeight="1">
      <c r="A997" s="274"/>
      <c r="B997" s="212"/>
      <c r="C997" s="202" t="e">
        <f>#REF!</f>
        <v>#REF!</v>
      </c>
      <c r="D997" s="202"/>
      <c r="E997" s="214"/>
      <c r="F997" s="202"/>
      <c r="G997" s="234" t="e">
        <f>Backlog[[#This Row],[OP]]</f>
        <v>#VALUE!</v>
      </c>
      <c r="H997" s="202"/>
      <c r="I997" s="316" t="e">
        <f>IF(Backlog[[#This Row],[Fecha Requerida en Producción]]="","",Backlog[[#This Row],[Fecha Requerida en Producción]])</f>
        <v>#VALUE!</v>
      </c>
      <c r="J997" s="207"/>
      <c r="K997" s="207"/>
      <c r="L997" s="207"/>
      <c r="M997" s="207"/>
      <c r="N997" s="248"/>
      <c r="O997" s="248"/>
      <c r="P997" s="248"/>
      <c r="Q997" s="248"/>
    </row>
    <row r="998" spans="1:17" ht="15.75" hidden="1" customHeight="1">
      <c r="A998" s="274"/>
      <c r="B998" s="212"/>
      <c r="C998" s="202" t="e">
        <f>#REF!</f>
        <v>#REF!</v>
      </c>
      <c r="D998" s="202"/>
      <c r="E998" s="214"/>
      <c r="F998" s="202"/>
      <c r="G998" s="234" t="e">
        <f>Backlog[[#This Row],[OP]]</f>
        <v>#VALUE!</v>
      </c>
      <c r="H998" s="202"/>
      <c r="I998" s="316" t="e">
        <f>IF(Backlog[[#This Row],[Fecha Requerida en Producción]]="","",Backlog[[#This Row],[Fecha Requerida en Producción]])</f>
        <v>#VALUE!</v>
      </c>
      <c r="J998" s="207"/>
      <c r="K998" s="207"/>
      <c r="L998" s="207"/>
      <c r="M998" s="207"/>
      <c r="N998" s="248"/>
      <c r="O998" s="248"/>
      <c r="P998" s="248"/>
      <c r="Q998" s="248"/>
    </row>
    <row r="999" spans="1:17" hidden="1">
      <c r="A999" s="274"/>
      <c r="B999" s="212"/>
      <c r="C999" s="202" t="e">
        <f>#REF!</f>
        <v>#REF!</v>
      </c>
      <c r="D999" s="202"/>
      <c r="E999" s="214"/>
      <c r="F999" s="202"/>
      <c r="G999" s="234" t="e">
        <f>Backlog[[#This Row],[OP]]</f>
        <v>#VALUE!</v>
      </c>
      <c r="H999" s="202"/>
      <c r="I999" s="316" t="e">
        <f>IF(Backlog[[#This Row],[Fecha Requerida en Producción]]="","",Backlog[[#This Row],[Fecha Requerida en Producción]])</f>
        <v>#VALUE!</v>
      </c>
      <c r="J999" s="207"/>
      <c r="K999" s="207"/>
      <c r="L999" s="207"/>
      <c r="M999" s="207"/>
      <c r="N999" s="248"/>
      <c r="O999" s="248"/>
      <c r="P999" s="248"/>
      <c r="Q999" s="248"/>
    </row>
    <row r="1000" spans="1:17" ht="15.75" customHeight="1">
      <c r="A1000" s="211"/>
      <c r="B1000" s="212"/>
      <c r="C1000" s="212"/>
      <c r="D1000" s="202"/>
      <c r="E1000" s="214"/>
      <c r="F1000" s="202"/>
      <c r="G1000" s="206"/>
      <c r="H1000" s="202"/>
      <c r="I1000" s="207"/>
      <c r="J1000" s="207"/>
      <c r="K1000" s="207"/>
      <c r="L1000" s="207"/>
      <c r="M1000" s="207"/>
      <c r="N1000" s="248"/>
      <c r="O1000" s="248"/>
      <c r="P1000" s="248"/>
      <c r="Q1000" s="248"/>
    </row>
    <row r="1001" spans="1:17" ht="15.75" customHeight="1">
      <c r="A1001" s="211"/>
      <c r="B1001" s="212"/>
      <c r="C1001" s="212"/>
      <c r="D1001" s="202"/>
      <c r="E1001" s="214"/>
      <c r="F1001" s="202"/>
      <c r="G1001" s="206"/>
      <c r="H1001" s="202"/>
      <c r="I1001" s="207"/>
      <c r="J1001" s="207"/>
      <c r="K1001" s="207"/>
      <c r="L1001" s="207"/>
      <c r="M1001" s="207"/>
    </row>
    <row r="1002" spans="1:17" ht="15.75" customHeight="1">
      <c r="A1002" s="211"/>
      <c r="B1002" s="212"/>
      <c r="C1002" s="212"/>
      <c r="D1002" s="202"/>
      <c r="E1002" s="214"/>
      <c r="F1002" s="202"/>
      <c r="G1002" s="206"/>
      <c r="H1002" s="202"/>
      <c r="I1002" s="207"/>
      <c r="J1002" s="207"/>
      <c r="K1002" s="207"/>
      <c r="L1002" s="207"/>
      <c r="M1002" s="207"/>
    </row>
    <row r="1003" spans="1:17" ht="15.75" customHeight="1">
      <c r="A1003" s="211"/>
      <c r="B1003" s="212"/>
      <c r="C1003" s="212"/>
      <c r="D1003" s="202"/>
      <c r="E1003" s="214"/>
      <c r="F1003" s="202"/>
      <c r="G1003" s="206"/>
      <c r="H1003" s="202"/>
      <c r="I1003" s="207"/>
      <c r="J1003" s="207"/>
      <c r="K1003" s="207"/>
      <c r="L1003" s="207"/>
      <c r="M1003" s="207"/>
    </row>
    <row r="1004" spans="1:17" ht="15.75" customHeight="1">
      <c r="A1004" s="211"/>
      <c r="B1004" s="212"/>
      <c r="C1004" s="212"/>
      <c r="D1004" s="202"/>
      <c r="E1004" s="214"/>
      <c r="F1004" s="202"/>
      <c r="G1004" s="206"/>
      <c r="H1004" s="202"/>
      <c r="I1004" s="207"/>
      <c r="J1004" s="207"/>
      <c r="K1004" s="207"/>
      <c r="L1004" s="207"/>
      <c r="M1004" s="207"/>
    </row>
    <row r="1005" spans="1:17" ht="15.75" customHeight="1">
      <c r="A1005" s="211"/>
      <c r="B1005" s="212"/>
      <c r="C1005" s="212"/>
      <c r="D1005" s="202"/>
      <c r="E1005" s="214"/>
      <c r="F1005" s="202"/>
      <c r="G1005" s="206"/>
      <c r="H1005" s="202"/>
      <c r="I1005" s="207"/>
      <c r="J1005" s="207"/>
      <c r="K1005" s="207"/>
      <c r="L1005" s="207"/>
      <c r="M1005" s="207"/>
    </row>
    <row r="1006" spans="1:17" ht="15.75" customHeight="1">
      <c r="A1006" s="211"/>
      <c r="B1006" s="212"/>
      <c r="C1006" s="212"/>
      <c r="D1006" s="202"/>
      <c r="E1006" s="214"/>
      <c r="F1006" s="202"/>
      <c r="G1006" s="206"/>
      <c r="H1006" s="202"/>
      <c r="I1006" s="207"/>
      <c r="J1006" s="207"/>
      <c r="K1006" s="207"/>
      <c r="L1006" s="207"/>
      <c r="M1006" s="207"/>
    </row>
    <row r="1007" spans="1:17" ht="15.75" customHeight="1">
      <c r="A1007" s="211"/>
      <c r="B1007" s="212"/>
      <c r="C1007" s="212"/>
      <c r="D1007" s="202"/>
      <c r="E1007" s="214"/>
      <c r="F1007" s="202"/>
      <c r="G1007" s="206"/>
      <c r="H1007" s="202"/>
      <c r="I1007" s="207"/>
      <c r="J1007" s="207"/>
      <c r="K1007" s="207"/>
      <c r="L1007" s="207"/>
      <c r="M1007" s="207"/>
    </row>
    <row r="1008" spans="1:17" ht="15.75" customHeight="1">
      <c r="A1008" s="211"/>
      <c r="B1008" s="212"/>
      <c r="C1008" s="212"/>
      <c r="D1008" s="202"/>
      <c r="E1008" s="214"/>
      <c r="F1008" s="202"/>
      <c r="G1008" s="206"/>
      <c r="H1008" s="202"/>
      <c r="I1008" s="207"/>
      <c r="J1008" s="207"/>
      <c r="K1008" s="207"/>
      <c r="L1008" s="207"/>
      <c r="M1008" s="207"/>
    </row>
    <row r="1009" spans="1:13" ht="15.75" customHeight="1">
      <c r="A1009" s="211"/>
      <c r="B1009" s="212"/>
      <c r="C1009" s="212"/>
      <c r="D1009" s="202"/>
      <c r="E1009" s="214"/>
      <c r="F1009" s="202"/>
      <c r="G1009" s="206"/>
      <c r="H1009" s="202"/>
      <c r="I1009" s="207"/>
      <c r="J1009" s="207"/>
      <c r="K1009" s="207"/>
      <c r="L1009" s="207"/>
      <c r="M1009" s="207"/>
    </row>
    <row r="1010" spans="1:13" ht="15.75" customHeight="1">
      <c r="A1010" s="211"/>
      <c r="B1010" s="212"/>
      <c r="C1010" s="212"/>
      <c r="D1010" s="202"/>
      <c r="E1010" s="214"/>
      <c r="F1010" s="202"/>
      <c r="G1010" s="206"/>
      <c r="H1010" s="202"/>
      <c r="I1010" s="207"/>
      <c r="J1010" s="207"/>
      <c r="K1010" s="207"/>
      <c r="L1010" s="207"/>
      <c r="M1010" s="207"/>
    </row>
    <row r="1011" spans="1:13" ht="15.75" customHeight="1">
      <c r="A1011" s="211"/>
      <c r="B1011" s="212"/>
      <c r="C1011" s="212"/>
      <c r="D1011" s="202"/>
      <c r="E1011" s="214"/>
      <c r="F1011" s="202"/>
      <c r="G1011" s="206"/>
      <c r="H1011" s="202"/>
      <c r="I1011" s="207"/>
      <c r="J1011" s="207"/>
      <c r="K1011" s="207"/>
      <c r="L1011" s="207"/>
      <c r="M1011" s="207"/>
    </row>
    <row r="1012" spans="1:13" ht="15.75" customHeight="1">
      <c r="A1012" s="211"/>
      <c r="B1012" s="212"/>
      <c r="C1012" s="212"/>
      <c r="D1012" s="202"/>
      <c r="E1012" s="214"/>
      <c r="F1012" s="202"/>
      <c r="G1012" s="206"/>
      <c r="H1012" s="202"/>
      <c r="I1012" s="207"/>
      <c r="J1012" s="207"/>
      <c r="K1012" s="207"/>
      <c r="L1012" s="207"/>
      <c r="M1012" s="207"/>
    </row>
    <row r="1013" spans="1:13" ht="15.75" customHeight="1">
      <c r="A1013" s="211"/>
      <c r="B1013" s="212"/>
      <c r="C1013" s="212"/>
      <c r="D1013" s="202"/>
      <c r="E1013" s="214"/>
      <c r="F1013" s="202"/>
      <c r="G1013" s="206"/>
      <c r="H1013" s="202"/>
      <c r="I1013" s="207"/>
      <c r="J1013" s="207"/>
      <c r="K1013" s="207"/>
      <c r="L1013" s="207"/>
      <c r="M1013" s="207"/>
    </row>
    <row r="1014" spans="1:13">
      <c r="A1014" s="211"/>
      <c r="B1014" s="212"/>
      <c r="C1014" s="212"/>
      <c r="D1014" s="202"/>
      <c r="E1014" s="214"/>
      <c r="F1014" s="202"/>
      <c r="G1014" s="206"/>
      <c r="H1014" s="202"/>
      <c r="I1014" s="207"/>
      <c r="J1014" s="207"/>
      <c r="K1014" s="207"/>
      <c r="L1014" s="207"/>
      <c r="M1014" s="207"/>
    </row>
    <row r="1015" spans="1:13">
      <c r="A1015" s="211"/>
      <c r="B1015" s="212"/>
      <c r="C1015" s="212"/>
      <c r="D1015" s="202"/>
      <c r="E1015" s="214"/>
      <c r="F1015" s="202"/>
      <c r="G1015" s="206"/>
      <c r="H1015" s="202"/>
      <c r="I1015" s="207"/>
      <c r="J1015" s="207"/>
      <c r="K1015" s="207"/>
      <c r="L1015" s="207"/>
      <c r="M1015" s="207"/>
    </row>
    <row r="1016" spans="1:13">
      <c r="A1016" s="211"/>
      <c r="B1016" s="212"/>
      <c r="C1016" s="212"/>
      <c r="D1016" s="202"/>
      <c r="E1016" s="214"/>
      <c r="F1016" s="202"/>
      <c r="G1016" s="206"/>
      <c r="H1016" s="202"/>
      <c r="I1016" s="207"/>
      <c r="J1016" s="207"/>
      <c r="K1016" s="207"/>
      <c r="L1016" s="207"/>
      <c r="M1016" s="207"/>
    </row>
    <row r="1017" spans="1:13">
      <c r="A1017" s="211"/>
      <c r="B1017" s="212"/>
      <c r="C1017" s="212"/>
      <c r="D1017" s="202"/>
      <c r="E1017" s="214"/>
      <c r="F1017" s="202"/>
      <c r="G1017" s="206"/>
      <c r="H1017" s="202"/>
      <c r="I1017" s="207"/>
      <c r="J1017" s="207"/>
      <c r="K1017" s="207"/>
      <c r="L1017" s="207"/>
      <c r="M1017" s="207"/>
    </row>
    <row r="1018" spans="1:13">
      <c r="A1018" s="211"/>
      <c r="B1018" s="212"/>
      <c r="C1018" s="212"/>
      <c r="D1018" s="202"/>
      <c r="E1018" s="214"/>
      <c r="F1018" s="202"/>
      <c r="G1018" s="206"/>
      <c r="H1018" s="202"/>
      <c r="I1018" s="207"/>
      <c r="J1018" s="207"/>
      <c r="K1018" s="207"/>
      <c r="L1018" s="207"/>
      <c r="M1018" s="207"/>
    </row>
    <row r="1019" spans="1:13">
      <c r="A1019" s="211"/>
      <c r="B1019" s="212"/>
      <c r="C1019" s="212"/>
      <c r="D1019" s="202"/>
      <c r="E1019" s="214"/>
      <c r="F1019" s="202"/>
      <c r="G1019" s="206"/>
      <c r="H1019" s="202"/>
      <c r="I1019" s="207"/>
      <c r="J1019" s="207"/>
      <c r="K1019" s="207"/>
      <c r="L1019" s="207"/>
      <c r="M1019" s="207"/>
    </row>
    <row r="1020" spans="1:13">
      <c r="A1020" s="211"/>
      <c r="B1020" s="212"/>
      <c r="C1020" s="212"/>
      <c r="D1020" s="202"/>
      <c r="E1020" s="214"/>
      <c r="F1020" s="202"/>
      <c r="G1020" s="206"/>
      <c r="H1020" s="202"/>
      <c r="I1020" s="207"/>
      <c r="J1020" s="207"/>
      <c r="K1020" s="207"/>
      <c r="L1020" s="207"/>
      <c r="M1020" s="207"/>
    </row>
    <row r="1021" spans="1:13">
      <c r="A1021" s="211"/>
      <c r="B1021" s="212"/>
      <c r="C1021" s="212"/>
      <c r="D1021" s="202"/>
      <c r="E1021" s="214"/>
      <c r="F1021" s="202"/>
      <c r="G1021" s="206"/>
      <c r="H1021" s="202"/>
      <c r="I1021" s="207"/>
      <c r="J1021" s="207"/>
      <c r="K1021" s="207"/>
      <c r="L1021" s="207"/>
      <c r="M1021" s="207"/>
    </row>
    <row r="1022" spans="1:13">
      <c r="A1022" s="211"/>
      <c r="B1022" s="212"/>
      <c r="C1022" s="212"/>
      <c r="D1022" s="202"/>
      <c r="E1022" s="214"/>
      <c r="F1022" s="202"/>
      <c r="G1022" s="206"/>
      <c r="H1022" s="202"/>
      <c r="I1022" s="207"/>
      <c r="J1022" s="207"/>
      <c r="K1022" s="207"/>
      <c r="L1022" s="207"/>
      <c r="M1022" s="207"/>
    </row>
    <row r="1023" spans="1:13">
      <c r="A1023" s="211"/>
      <c r="B1023" s="212"/>
      <c r="C1023" s="212"/>
      <c r="D1023" s="202"/>
      <c r="E1023" s="214"/>
      <c r="F1023" s="202"/>
      <c r="G1023" s="206"/>
      <c r="H1023" s="202"/>
      <c r="I1023" s="207"/>
      <c r="J1023" s="207"/>
      <c r="K1023" s="207"/>
      <c r="L1023" s="207"/>
      <c r="M1023" s="207"/>
    </row>
    <row r="1024" spans="1:13">
      <c r="A1024" s="211"/>
      <c r="B1024" s="212"/>
      <c r="C1024" s="212"/>
      <c r="D1024" s="202"/>
      <c r="E1024" s="214"/>
      <c r="F1024" s="202"/>
      <c r="G1024" s="206"/>
      <c r="H1024" s="202"/>
      <c r="I1024" s="207"/>
      <c r="J1024" s="207"/>
      <c r="K1024" s="207"/>
      <c r="L1024" s="207"/>
      <c r="M1024" s="207"/>
    </row>
    <row r="1025" spans="1:13">
      <c r="A1025" s="211"/>
      <c r="B1025" s="212"/>
      <c r="C1025" s="212"/>
      <c r="D1025" s="202"/>
      <c r="E1025" s="214"/>
      <c r="F1025" s="202"/>
      <c r="G1025" s="206"/>
      <c r="H1025" s="202"/>
      <c r="I1025" s="207"/>
      <c r="J1025" s="207"/>
      <c r="K1025" s="207"/>
      <c r="L1025" s="207"/>
      <c r="M1025" s="207"/>
    </row>
    <row r="1026" spans="1:13">
      <c r="A1026" s="211"/>
      <c r="B1026" s="212"/>
      <c r="C1026" s="212"/>
      <c r="D1026" s="202"/>
      <c r="E1026" s="214"/>
      <c r="F1026" s="202"/>
      <c r="G1026" s="206"/>
      <c r="H1026" s="202"/>
      <c r="I1026" s="207"/>
      <c r="J1026" s="207"/>
      <c r="K1026" s="207"/>
      <c r="L1026" s="207"/>
      <c r="M1026" s="207"/>
    </row>
    <row r="1027" spans="1:13">
      <c r="A1027" s="211"/>
      <c r="B1027" s="212"/>
      <c r="C1027" s="212"/>
      <c r="D1027" s="202"/>
      <c r="E1027" s="214"/>
      <c r="F1027" s="202"/>
      <c r="G1027" s="206"/>
      <c r="H1027" s="202"/>
      <c r="I1027" s="207"/>
      <c r="J1027" s="207"/>
      <c r="K1027" s="207"/>
      <c r="L1027" s="207"/>
      <c r="M1027" s="207"/>
    </row>
    <row r="1028" spans="1:13">
      <c r="A1028" s="211"/>
      <c r="B1028" s="212"/>
      <c r="C1028" s="212"/>
      <c r="D1028" s="202"/>
      <c r="E1028" s="214"/>
      <c r="F1028" s="202"/>
      <c r="G1028" s="206"/>
      <c r="H1028" s="202"/>
      <c r="I1028" s="207"/>
      <c r="J1028" s="207"/>
      <c r="K1028" s="207"/>
      <c r="L1028" s="207"/>
      <c r="M1028" s="207"/>
    </row>
    <row r="1029" spans="1:13">
      <c r="A1029" s="211"/>
      <c r="B1029" s="212"/>
      <c r="C1029" s="212"/>
      <c r="D1029" s="202"/>
      <c r="E1029" s="214"/>
      <c r="F1029" s="202"/>
      <c r="G1029" s="206"/>
      <c r="H1029" s="202"/>
      <c r="I1029" s="207"/>
      <c r="J1029" s="207"/>
      <c r="K1029" s="207"/>
      <c r="L1029" s="207"/>
      <c r="M1029" s="207"/>
    </row>
    <row r="1030" spans="1:13">
      <c r="A1030" s="211"/>
      <c r="B1030" s="212"/>
      <c r="C1030" s="212"/>
      <c r="D1030" s="202"/>
      <c r="E1030" s="214"/>
      <c r="F1030" s="202"/>
      <c r="G1030" s="206"/>
      <c r="H1030" s="202"/>
      <c r="I1030" s="207"/>
      <c r="J1030" s="207"/>
      <c r="K1030" s="207"/>
      <c r="L1030" s="207"/>
      <c r="M1030" s="207"/>
    </row>
    <row r="1031" spans="1:13">
      <c r="A1031" s="211"/>
      <c r="B1031" s="212"/>
      <c r="C1031" s="212"/>
      <c r="D1031" s="202"/>
      <c r="E1031" s="214"/>
      <c r="F1031" s="202"/>
      <c r="G1031" s="206"/>
      <c r="H1031" s="202"/>
      <c r="I1031" s="207"/>
      <c r="J1031" s="207"/>
      <c r="K1031" s="207"/>
      <c r="L1031" s="207"/>
      <c r="M1031" s="207"/>
    </row>
    <row r="1032" spans="1:13">
      <c r="A1032" s="211"/>
      <c r="B1032" s="212"/>
      <c r="C1032" s="212"/>
      <c r="D1032" s="202"/>
      <c r="E1032" s="214"/>
      <c r="F1032" s="202"/>
      <c r="G1032" s="206"/>
      <c r="H1032" s="202"/>
      <c r="I1032" s="207"/>
      <c r="J1032" s="207"/>
      <c r="K1032" s="207"/>
      <c r="L1032" s="207"/>
      <c r="M1032" s="207"/>
    </row>
    <row r="1033" spans="1:13">
      <c r="A1033" s="211"/>
      <c r="B1033" s="212"/>
      <c r="C1033" s="212"/>
      <c r="D1033" s="202"/>
      <c r="E1033" s="214"/>
      <c r="F1033" s="202"/>
      <c r="G1033" s="206"/>
      <c r="H1033" s="202"/>
      <c r="I1033" s="207"/>
      <c r="J1033" s="207"/>
      <c r="K1033" s="207"/>
      <c r="L1033" s="207"/>
      <c r="M1033" s="207"/>
    </row>
    <row r="1034" spans="1:13">
      <c r="A1034" s="211"/>
      <c r="B1034" s="212"/>
      <c r="C1034" s="212"/>
      <c r="D1034" s="202"/>
      <c r="E1034" s="214"/>
      <c r="F1034" s="202"/>
      <c r="G1034" s="206"/>
      <c r="H1034" s="202"/>
      <c r="I1034" s="207"/>
      <c r="J1034" s="207"/>
      <c r="K1034" s="207"/>
      <c r="L1034" s="207"/>
      <c r="M1034" s="207"/>
    </row>
    <row r="1035" spans="1:13">
      <c r="A1035" s="211"/>
      <c r="B1035" s="212"/>
      <c r="C1035" s="212"/>
      <c r="D1035" s="202"/>
      <c r="E1035" s="214"/>
      <c r="F1035" s="202"/>
      <c r="G1035" s="206"/>
      <c r="H1035" s="202"/>
      <c r="I1035" s="207"/>
      <c r="J1035" s="207"/>
      <c r="K1035" s="207"/>
      <c r="L1035" s="207"/>
      <c r="M1035" s="207"/>
    </row>
    <row r="1036" spans="1:13">
      <c r="A1036" s="211"/>
      <c r="B1036" s="212"/>
      <c r="C1036" s="212"/>
      <c r="D1036" s="202"/>
      <c r="E1036" s="214"/>
      <c r="F1036" s="202"/>
      <c r="G1036" s="206"/>
      <c r="H1036" s="202"/>
      <c r="I1036" s="207"/>
      <c r="J1036" s="207"/>
      <c r="K1036" s="207"/>
      <c r="L1036" s="207"/>
      <c r="M1036" s="207"/>
    </row>
    <row r="1037" spans="1:13">
      <c r="A1037" s="211"/>
      <c r="B1037" s="212"/>
      <c r="C1037" s="212"/>
      <c r="D1037" s="202"/>
      <c r="E1037" s="214"/>
      <c r="F1037" s="202"/>
      <c r="G1037" s="206"/>
      <c r="H1037" s="202"/>
      <c r="I1037" s="207"/>
      <c r="J1037" s="207"/>
      <c r="K1037" s="207"/>
      <c r="L1037" s="207"/>
      <c r="M1037" s="207"/>
    </row>
    <row r="1038" spans="1:13">
      <c r="A1038" s="211"/>
      <c r="B1038" s="212"/>
      <c r="C1038" s="212"/>
      <c r="D1038" s="202"/>
      <c r="E1038" s="214"/>
      <c r="F1038" s="202"/>
      <c r="G1038" s="206"/>
      <c r="H1038" s="202"/>
      <c r="I1038" s="207"/>
      <c r="J1038" s="207"/>
      <c r="K1038" s="207"/>
      <c r="L1038" s="207"/>
      <c r="M1038" s="207"/>
    </row>
    <row r="1039" spans="1:13">
      <c r="A1039" s="211"/>
      <c r="B1039" s="212"/>
      <c r="C1039" s="212"/>
      <c r="D1039" s="202"/>
      <c r="E1039" s="214"/>
      <c r="F1039" s="202"/>
      <c r="G1039" s="206"/>
      <c r="H1039" s="202"/>
      <c r="I1039" s="207"/>
      <c r="J1039" s="207"/>
      <c r="K1039" s="207"/>
      <c r="L1039" s="207"/>
      <c r="M1039" s="207"/>
    </row>
    <row r="1040" spans="1:13">
      <c r="A1040" s="211"/>
      <c r="B1040" s="212"/>
      <c r="C1040" s="212"/>
      <c r="D1040" s="202"/>
      <c r="E1040" s="214"/>
      <c r="F1040" s="202"/>
      <c r="G1040" s="206"/>
      <c r="H1040" s="202"/>
      <c r="I1040" s="207"/>
      <c r="J1040" s="207"/>
      <c r="K1040" s="207"/>
      <c r="L1040" s="207"/>
      <c r="M1040" s="207"/>
    </row>
    <row r="1041" spans="1:13">
      <c r="A1041" s="211"/>
      <c r="B1041" s="212"/>
      <c r="C1041" s="212"/>
      <c r="D1041" s="202"/>
      <c r="E1041" s="214"/>
      <c r="F1041" s="202"/>
      <c r="G1041" s="206"/>
      <c r="H1041" s="202"/>
      <c r="I1041" s="207"/>
      <c r="J1041" s="207"/>
      <c r="K1041" s="207"/>
      <c r="L1041" s="207"/>
      <c r="M1041" s="207"/>
    </row>
    <row r="1042" spans="1:13">
      <c r="A1042" s="211"/>
      <c r="B1042" s="212"/>
      <c r="C1042" s="212"/>
      <c r="D1042" s="202"/>
      <c r="E1042" s="214"/>
      <c r="F1042" s="202"/>
      <c r="G1042" s="206"/>
      <c r="H1042" s="202"/>
      <c r="I1042" s="207"/>
      <c r="J1042" s="207"/>
      <c r="K1042" s="207"/>
      <c r="L1042" s="207"/>
      <c r="M1042" s="207"/>
    </row>
    <row r="1043" spans="1:13">
      <c r="A1043" s="211"/>
      <c r="B1043" s="212"/>
      <c r="C1043" s="212"/>
      <c r="D1043" s="202"/>
      <c r="E1043" s="214"/>
      <c r="F1043" s="202"/>
      <c r="G1043" s="206"/>
      <c r="H1043" s="202"/>
      <c r="I1043" s="207"/>
      <c r="J1043" s="207"/>
      <c r="K1043" s="207"/>
      <c r="L1043" s="207"/>
      <c r="M1043" s="207"/>
    </row>
    <row r="1044" spans="1:13">
      <c r="A1044" s="211"/>
      <c r="B1044" s="212"/>
      <c r="C1044" s="212"/>
      <c r="D1044" s="202"/>
      <c r="E1044" s="214"/>
      <c r="F1044" s="202"/>
      <c r="G1044" s="206"/>
      <c r="H1044" s="202"/>
      <c r="I1044" s="207"/>
      <c r="J1044" s="207"/>
      <c r="K1044" s="207"/>
      <c r="L1044" s="207"/>
      <c r="M1044" s="207"/>
    </row>
    <row r="1045" spans="1:13">
      <c r="A1045" s="211"/>
      <c r="B1045" s="212"/>
      <c r="C1045" s="212"/>
      <c r="D1045" s="202"/>
      <c r="E1045" s="214"/>
      <c r="F1045" s="202"/>
      <c r="G1045" s="206"/>
      <c r="H1045" s="202"/>
      <c r="I1045" s="207"/>
      <c r="J1045" s="207"/>
      <c r="K1045" s="207"/>
      <c r="L1045" s="207"/>
      <c r="M1045" s="207"/>
    </row>
    <row r="1046" spans="1:13">
      <c r="A1046" s="211"/>
      <c r="B1046" s="212"/>
      <c r="C1046" s="212"/>
      <c r="D1046" s="202"/>
      <c r="E1046" s="214"/>
      <c r="F1046" s="202"/>
      <c r="G1046" s="206"/>
      <c r="H1046" s="202"/>
      <c r="I1046" s="207"/>
      <c r="J1046" s="207"/>
      <c r="K1046" s="207"/>
      <c r="L1046" s="207"/>
      <c r="M1046" s="207"/>
    </row>
    <row r="1047" spans="1:13">
      <c r="A1047" s="211"/>
      <c r="B1047" s="212"/>
      <c r="C1047" s="212"/>
      <c r="D1047" s="202"/>
      <c r="E1047" s="214"/>
      <c r="F1047" s="202"/>
      <c r="G1047" s="206"/>
      <c r="H1047" s="202"/>
      <c r="I1047" s="207"/>
      <c r="J1047" s="207"/>
      <c r="K1047" s="207"/>
      <c r="L1047" s="207"/>
      <c r="M1047" s="207"/>
    </row>
    <row r="1048" spans="1:13">
      <c r="A1048" s="211"/>
      <c r="B1048" s="212"/>
      <c r="C1048" s="212"/>
      <c r="D1048" s="202"/>
      <c r="E1048" s="214"/>
      <c r="F1048" s="202"/>
      <c r="G1048" s="206"/>
      <c r="H1048" s="202"/>
      <c r="I1048" s="207"/>
      <c r="J1048" s="207"/>
      <c r="K1048" s="207"/>
      <c r="L1048" s="207"/>
      <c r="M1048" s="207"/>
    </row>
    <row r="1049" spans="1:13">
      <c r="A1049" s="211"/>
      <c r="B1049" s="212"/>
      <c r="C1049" s="212"/>
      <c r="D1049" s="202"/>
      <c r="E1049" s="214"/>
      <c r="F1049" s="202"/>
      <c r="G1049" s="206"/>
      <c r="H1049" s="202"/>
      <c r="I1049" s="207"/>
      <c r="J1049" s="207"/>
      <c r="K1049" s="207"/>
      <c r="L1049" s="207"/>
      <c r="M1049" s="207"/>
    </row>
    <row r="1050" spans="1:13">
      <c r="A1050" s="211"/>
      <c r="B1050" s="212"/>
      <c r="C1050" s="212"/>
      <c r="D1050" s="202"/>
      <c r="E1050" s="214"/>
      <c r="F1050" s="202"/>
      <c r="G1050" s="206"/>
      <c r="H1050" s="202"/>
      <c r="I1050" s="207"/>
      <c r="J1050" s="207"/>
      <c r="K1050" s="207"/>
      <c r="L1050" s="207"/>
      <c r="M1050" s="207"/>
    </row>
    <row r="1051" spans="1:13">
      <c r="A1051" s="211"/>
      <c r="B1051" s="212"/>
      <c r="C1051" s="212"/>
      <c r="D1051" s="202"/>
      <c r="E1051" s="214"/>
      <c r="F1051" s="202"/>
      <c r="G1051" s="206"/>
      <c r="H1051" s="202"/>
      <c r="I1051" s="207"/>
      <c r="J1051" s="207"/>
      <c r="K1051" s="207"/>
      <c r="L1051" s="207"/>
      <c r="M1051" s="207"/>
    </row>
    <row r="1052" spans="1:13">
      <c r="A1052" s="211"/>
      <c r="B1052" s="212"/>
      <c r="C1052" s="212"/>
      <c r="D1052" s="202"/>
      <c r="E1052" s="214"/>
      <c r="F1052" s="202"/>
      <c r="G1052" s="206"/>
      <c r="H1052" s="202"/>
      <c r="I1052" s="207"/>
      <c r="J1052" s="207"/>
      <c r="K1052" s="207"/>
      <c r="L1052" s="207"/>
      <c r="M1052" s="207"/>
    </row>
    <row r="1053" spans="1:13">
      <c r="A1053" s="211"/>
      <c r="B1053" s="212"/>
      <c r="C1053" s="212"/>
      <c r="D1053" s="202"/>
      <c r="E1053" s="214"/>
      <c r="F1053" s="202"/>
      <c r="G1053" s="206"/>
      <c r="H1053" s="202"/>
      <c r="I1053" s="207"/>
      <c r="J1053" s="207"/>
      <c r="K1053" s="207"/>
      <c r="L1053" s="207"/>
      <c r="M1053" s="207"/>
    </row>
    <row r="1054" spans="1:13">
      <c r="A1054" s="211"/>
      <c r="B1054" s="212"/>
      <c r="C1054" s="212"/>
      <c r="D1054" s="202"/>
      <c r="E1054" s="214"/>
      <c r="F1054" s="202"/>
      <c r="G1054" s="206"/>
      <c r="H1054" s="202"/>
      <c r="I1054" s="207"/>
      <c r="J1054" s="207"/>
      <c r="K1054" s="207"/>
      <c r="L1054" s="207"/>
      <c r="M1054" s="207"/>
    </row>
    <row r="1055" spans="1:13">
      <c r="A1055" s="211"/>
      <c r="B1055" s="212"/>
      <c r="C1055" s="212"/>
      <c r="D1055" s="202"/>
      <c r="E1055" s="214"/>
      <c r="F1055" s="202"/>
      <c r="G1055" s="206"/>
      <c r="H1055" s="202"/>
      <c r="I1055" s="207"/>
      <c r="J1055" s="207"/>
      <c r="K1055" s="207"/>
      <c r="L1055" s="207"/>
      <c r="M1055" s="207"/>
    </row>
    <row r="1056" spans="1:13">
      <c r="A1056" s="211"/>
      <c r="B1056" s="212"/>
      <c r="C1056" s="212"/>
      <c r="D1056" s="202"/>
      <c r="E1056" s="214"/>
      <c r="F1056" s="202"/>
      <c r="G1056" s="206"/>
      <c r="H1056" s="202"/>
      <c r="I1056" s="207"/>
      <c r="J1056" s="207"/>
      <c r="K1056" s="207"/>
      <c r="L1056" s="207"/>
      <c r="M1056" s="207"/>
    </row>
    <row r="1057" spans="1:13">
      <c r="A1057" s="211"/>
      <c r="B1057" s="212"/>
      <c r="C1057" s="212"/>
      <c r="D1057" s="202"/>
      <c r="E1057" s="214"/>
      <c r="F1057" s="202"/>
      <c r="G1057" s="206"/>
      <c r="H1057" s="202"/>
      <c r="I1057" s="207"/>
      <c r="J1057" s="207"/>
      <c r="K1057" s="207"/>
      <c r="L1057" s="207"/>
      <c r="M1057" s="207"/>
    </row>
    <row r="1058" spans="1:13">
      <c r="A1058" s="211"/>
      <c r="B1058" s="212"/>
      <c r="C1058" s="212"/>
      <c r="D1058" s="202"/>
      <c r="E1058" s="214"/>
      <c r="F1058" s="202"/>
      <c r="G1058" s="206"/>
      <c r="H1058" s="202"/>
      <c r="I1058" s="207"/>
      <c r="J1058" s="207"/>
      <c r="K1058" s="207"/>
      <c r="L1058" s="207"/>
      <c r="M1058" s="207"/>
    </row>
    <row r="1059" spans="1:13">
      <c r="A1059" s="211"/>
      <c r="B1059" s="212"/>
      <c r="C1059" s="212"/>
      <c r="D1059" s="202"/>
      <c r="E1059" s="214"/>
      <c r="F1059" s="202"/>
      <c r="G1059" s="206"/>
      <c r="H1059" s="202"/>
      <c r="I1059" s="207"/>
      <c r="J1059" s="207"/>
      <c r="K1059" s="207"/>
      <c r="L1059" s="207"/>
      <c r="M1059" s="207"/>
    </row>
    <row r="1060" spans="1:13">
      <c r="A1060" s="211"/>
      <c r="B1060" s="212"/>
      <c r="C1060" s="212"/>
      <c r="D1060" s="202"/>
      <c r="E1060" s="214"/>
      <c r="F1060" s="202"/>
      <c r="G1060" s="206"/>
      <c r="H1060" s="202"/>
      <c r="I1060" s="207"/>
      <c r="J1060" s="207"/>
      <c r="K1060" s="207"/>
      <c r="L1060" s="207"/>
      <c r="M1060" s="207"/>
    </row>
    <row r="1061" spans="1:13">
      <c r="A1061" s="211"/>
      <c r="B1061" s="212"/>
      <c r="C1061" s="212"/>
      <c r="D1061" s="202"/>
      <c r="E1061" s="214"/>
      <c r="F1061" s="202"/>
      <c r="G1061" s="206"/>
      <c r="H1061" s="202"/>
      <c r="I1061" s="207"/>
      <c r="J1061" s="207"/>
      <c r="K1061" s="207"/>
      <c r="L1061" s="207"/>
      <c r="M1061" s="207"/>
    </row>
    <row r="1062" spans="1:13">
      <c r="A1062" s="211"/>
      <c r="B1062" s="212"/>
      <c r="C1062" s="212"/>
      <c r="D1062" s="202"/>
      <c r="E1062" s="214"/>
      <c r="F1062" s="202"/>
      <c r="G1062" s="206"/>
      <c r="H1062" s="202"/>
      <c r="I1062" s="207"/>
      <c r="J1062" s="207"/>
      <c r="K1062" s="207"/>
      <c r="L1062" s="207"/>
      <c r="M1062" s="207"/>
    </row>
    <row r="1063" spans="1:13">
      <c r="A1063" s="211"/>
      <c r="B1063" s="212"/>
      <c r="C1063" s="212"/>
      <c r="D1063" s="202"/>
      <c r="E1063" s="214"/>
      <c r="F1063" s="202"/>
      <c r="G1063" s="206"/>
      <c r="H1063" s="202"/>
      <c r="I1063" s="207"/>
      <c r="J1063" s="207"/>
      <c r="K1063" s="207"/>
      <c r="L1063" s="207"/>
      <c r="M1063" s="207"/>
    </row>
    <row r="1064" spans="1:13">
      <c r="A1064" s="211"/>
      <c r="B1064" s="212"/>
      <c r="C1064" s="212"/>
      <c r="D1064" s="202"/>
      <c r="E1064" s="214"/>
      <c r="F1064" s="202"/>
      <c r="G1064" s="206"/>
      <c r="H1064" s="202"/>
      <c r="I1064" s="207"/>
      <c r="J1064" s="207"/>
      <c r="K1064" s="207"/>
      <c r="L1064" s="207"/>
      <c r="M1064" s="207"/>
    </row>
    <row r="1065" spans="1:13">
      <c r="A1065" s="211"/>
      <c r="B1065" s="212"/>
      <c r="C1065" s="212"/>
      <c r="D1065" s="202"/>
      <c r="E1065" s="214"/>
      <c r="F1065" s="202"/>
      <c r="G1065" s="206"/>
      <c r="H1065" s="202"/>
      <c r="I1065" s="207"/>
      <c r="J1065" s="207"/>
      <c r="K1065" s="207"/>
      <c r="L1065" s="207"/>
      <c r="M1065" s="207"/>
    </row>
    <row r="1066" spans="1:13">
      <c r="A1066" s="211"/>
      <c r="B1066" s="212"/>
      <c r="C1066" s="212"/>
      <c r="D1066" s="202"/>
      <c r="E1066" s="214"/>
      <c r="F1066" s="202"/>
      <c r="G1066" s="206"/>
      <c r="H1066" s="202"/>
      <c r="I1066" s="207"/>
      <c r="J1066" s="207"/>
      <c r="K1066" s="207"/>
      <c r="L1066" s="207"/>
      <c r="M1066" s="207"/>
    </row>
    <row r="1067" spans="1:13">
      <c r="A1067" s="211"/>
      <c r="B1067" s="212"/>
      <c r="C1067" s="212"/>
      <c r="D1067" s="202"/>
      <c r="E1067" s="214"/>
      <c r="F1067" s="202"/>
      <c r="G1067" s="206"/>
      <c r="H1067" s="202"/>
      <c r="I1067" s="207"/>
      <c r="J1067" s="207"/>
      <c r="K1067" s="207"/>
      <c r="L1067" s="207"/>
      <c r="M1067" s="207"/>
    </row>
    <row r="1068" spans="1:13">
      <c r="A1068" s="211"/>
      <c r="B1068" s="212"/>
      <c r="C1068" s="212"/>
      <c r="D1068" s="202"/>
      <c r="E1068" s="214"/>
      <c r="F1068" s="202"/>
      <c r="G1068" s="206"/>
      <c r="H1068" s="202"/>
      <c r="I1068" s="207"/>
      <c r="J1068" s="207"/>
      <c r="K1068" s="207"/>
      <c r="L1068" s="207"/>
      <c r="M1068" s="207"/>
    </row>
    <row r="1069" spans="1:13">
      <c r="A1069" s="211"/>
      <c r="B1069" s="212"/>
      <c r="C1069" s="212"/>
      <c r="D1069" s="202"/>
      <c r="E1069" s="214"/>
      <c r="F1069" s="202"/>
      <c r="G1069" s="206"/>
      <c r="H1069" s="202"/>
      <c r="I1069" s="207"/>
      <c r="J1069" s="207"/>
      <c r="K1069" s="207"/>
      <c r="L1069" s="207"/>
      <c r="M1069" s="207"/>
    </row>
    <row r="1070" spans="1:13">
      <c r="A1070" s="211"/>
      <c r="B1070" s="212"/>
      <c r="C1070" s="212"/>
      <c r="D1070" s="202"/>
      <c r="E1070" s="214"/>
      <c r="F1070" s="202"/>
      <c r="G1070" s="206"/>
      <c r="H1070" s="202"/>
      <c r="I1070" s="207"/>
      <c r="J1070" s="207"/>
      <c r="K1070" s="207"/>
      <c r="L1070" s="207"/>
      <c r="M1070" s="207"/>
    </row>
    <row r="1071" spans="1:13">
      <c r="A1071" s="211"/>
      <c r="B1071" s="212"/>
      <c r="C1071" s="212"/>
      <c r="D1071" s="202"/>
      <c r="E1071" s="214"/>
      <c r="F1071" s="202"/>
      <c r="G1071" s="206"/>
      <c r="H1071" s="202"/>
      <c r="I1071" s="207"/>
      <c r="J1071" s="207"/>
      <c r="K1071" s="207"/>
      <c r="L1071" s="207"/>
      <c r="M1071" s="207"/>
    </row>
    <row r="1072" spans="1:13">
      <c r="A1072" s="211"/>
      <c r="B1072" s="212"/>
      <c r="C1072" s="212"/>
      <c r="D1072" s="202"/>
      <c r="E1072" s="214"/>
      <c r="F1072" s="202"/>
      <c r="G1072" s="206"/>
      <c r="H1072" s="202"/>
      <c r="I1072" s="207"/>
      <c r="J1072" s="207"/>
      <c r="K1072" s="207"/>
      <c r="L1072" s="207"/>
      <c r="M1072" s="207"/>
    </row>
    <row r="1073" spans="1:13">
      <c r="A1073" s="211"/>
      <c r="B1073" s="212"/>
      <c r="C1073" s="212"/>
      <c r="D1073" s="202"/>
      <c r="E1073" s="214"/>
      <c r="F1073" s="202"/>
      <c r="G1073" s="206"/>
      <c r="H1073" s="202"/>
      <c r="I1073" s="207"/>
      <c r="J1073" s="207"/>
      <c r="K1073" s="207"/>
      <c r="L1073" s="207"/>
      <c r="M1073" s="207"/>
    </row>
    <row r="1074" spans="1:13">
      <c r="A1074" s="211"/>
      <c r="B1074" s="212"/>
      <c r="C1074" s="212"/>
      <c r="D1074" s="202"/>
      <c r="E1074" s="214"/>
      <c r="F1074" s="202"/>
      <c r="G1074" s="206"/>
      <c r="H1074" s="202"/>
      <c r="I1074" s="207"/>
      <c r="J1074" s="207"/>
      <c r="K1074" s="207"/>
      <c r="L1074" s="207"/>
      <c r="M1074" s="207"/>
    </row>
    <row r="1075" spans="1:13">
      <c r="A1075" s="211"/>
      <c r="B1075" s="212"/>
      <c r="C1075" s="212"/>
      <c r="D1075" s="202"/>
      <c r="E1075" s="214"/>
      <c r="F1075" s="202"/>
      <c r="G1075" s="206"/>
      <c r="H1075" s="202"/>
      <c r="I1075" s="207"/>
      <c r="J1075" s="207"/>
      <c r="K1075" s="207"/>
      <c r="L1075" s="207"/>
      <c r="M1075" s="207"/>
    </row>
    <row r="1076" spans="1:13">
      <c r="A1076" s="211"/>
      <c r="B1076" s="212"/>
      <c r="C1076" s="212"/>
      <c r="D1076" s="202"/>
      <c r="E1076" s="214"/>
      <c r="F1076" s="202"/>
      <c r="G1076" s="206"/>
      <c r="H1076" s="202"/>
      <c r="I1076" s="207"/>
      <c r="J1076" s="207"/>
      <c r="K1076" s="207"/>
      <c r="L1076" s="207"/>
      <c r="M1076" s="207"/>
    </row>
    <row r="1077" spans="1:13">
      <c r="A1077" s="211"/>
      <c r="B1077" s="212"/>
      <c r="C1077" s="212"/>
      <c r="D1077" s="202"/>
      <c r="E1077" s="214"/>
      <c r="F1077" s="202"/>
      <c r="G1077" s="206"/>
      <c r="H1077" s="202"/>
      <c r="I1077" s="207"/>
      <c r="J1077" s="207"/>
      <c r="K1077" s="207"/>
      <c r="L1077" s="207"/>
      <c r="M1077" s="207"/>
    </row>
    <row r="1078" spans="1:13">
      <c r="A1078" s="211"/>
      <c r="B1078" s="212"/>
      <c r="C1078" s="212"/>
      <c r="D1078" s="202"/>
      <c r="E1078" s="214"/>
      <c r="F1078" s="202"/>
      <c r="G1078" s="206"/>
      <c r="H1078" s="202"/>
      <c r="I1078" s="207"/>
      <c r="J1078" s="207"/>
      <c r="K1078" s="207"/>
      <c r="L1078" s="207"/>
      <c r="M1078" s="207"/>
    </row>
    <row r="1079" spans="1:13">
      <c r="A1079" s="211"/>
      <c r="B1079" s="212"/>
      <c r="C1079" s="212"/>
      <c r="D1079" s="202"/>
      <c r="E1079" s="214"/>
      <c r="F1079" s="202"/>
      <c r="G1079" s="206"/>
      <c r="H1079" s="202"/>
      <c r="I1079" s="207"/>
      <c r="J1079" s="207"/>
      <c r="K1079" s="207"/>
      <c r="L1079" s="207"/>
      <c r="M1079" s="207"/>
    </row>
    <row r="1080" spans="1:13">
      <c r="A1080" s="211"/>
      <c r="B1080" s="212"/>
      <c r="C1080" s="212"/>
      <c r="D1080" s="202"/>
      <c r="E1080" s="214"/>
      <c r="F1080" s="202"/>
      <c r="G1080" s="206"/>
      <c r="H1080" s="202"/>
      <c r="I1080" s="207"/>
      <c r="J1080" s="207"/>
      <c r="K1080" s="207"/>
      <c r="L1080" s="207"/>
      <c r="M1080" s="207"/>
    </row>
    <row r="1081" spans="1:13">
      <c r="A1081" s="211"/>
      <c r="B1081" s="212"/>
      <c r="C1081" s="212"/>
      <c r="D1081" s="202"/>
      <c r="E1081" s="214"/>
      <c r="F1081" s="202"/>
      <c r="G1081" s="206"/>
      <c r="H1081" s="202"/>
      <c r="I1081" s="207"/>
      <c r="J1081" s="207"/>
      <c r="K1081" s="207"/>
      <c r="L1081" s="207"/>
      <c r="M1081" s="207"/>
    </row>
    <row r="1082" spans="1:13">
      <c r="A1082" s="211"/>
      <c r="B1082" s="212"/>
      <c r="C1082" s="212"/>
      <c r="D1082" s="202"/>
      <c r="E1082" s="214"/>
      <c r="F1082" s="202"/>
      <c r="G1082" s="206"/>
      <c r="H1082" s="202"/>
      <c r="I1082" s="207"/>
      <c r="J1082" s="207"/>
      <c r="K1082" s="207"/>
      <c r="L1082" s="207"/>
      <c r="M1082" s="207"/>
    </row>
    <row r="1083" spans="1:13">
      <c r="A1083" s="211"/>
      <c r="B1083" s="212"/>
      <c r="C1083" s="212"/>
      <c r="D1083" s="202"/>
      <c r="E1083" s="214"/>
      <c r="F1083" s="202"/>
      <c r="G1083" s="206"/>
      <c r="H1083" s="202"/>
      <c r="I1083" s="207"/>
      <c r="J1083" s="207"/>
      <c r="K1083" s="207"/>
      <c r="L1083" s="207"/>
      <c r="M1083" s="207"/>
    </row>
    <row r="1084" spans="1:13">
      <c r="A1084" s="211"/>
      <c r="B1084" s="212"/>
      <c r="C1084" s="212"/>
      <c r="D1084" s="202"/>
      <c r="E1084" s="214"/>
      <c r="F1084" s="202"/>
      <c r="G1084" s="206"/>
      <c r="H1084" s="202"/>
      <c r="I1084" s="207"/>
      <c r="J1084" s="207"/>
      <c r="K1084" s="207"/>
      <c r="L1084" s="207"/>
      <c r="M1084" s="207"/>
    </row>
    <row r="1085" spans="1:13">
      <c r="A1085" s="211"/>
      <c r="B1085" s="212"/>
      <c r="C1085" s="212"/>
      <c r="D1085" s="202"/>
      <c r="E1085" s="214"/>
      <c r="F1085" s="202"/>
      <c r="G1085" s="206"/>
      <c r="H1085" s="202"/>
      <c r="I1085" s="207"/>
      <c r="J1085" s="207"/>
      <c r="K1085" s="207"/>
      <c r="L1085" s="207"/>
      <c r="M1085" s="207"/>
    </row>
    <row r="1086" spans="1:13">
      <c r="A1086" s="211"/>
      <c r="B1086" s="212"/>
      <c r="C1086" s="212"/>
      <c r="D1086" s="202"/>
      <c r="E1086" s="214"/>
      <c r="F1086" s="202"/>
      <c r="G1086" s="206"/>
      <c r="H1086" s="202"/>
      <c r="I1086" s="207"/>
      <c r="J1086" s="207"/>
      <c r="K1086" s="207"/>
      <c r="L1086" s="207"/>
      <c r="M1086" s="207"/>
    </row>
    <row r="1087" spans="1:13">
      <c r="A1087" s="211"/>
      <c r="B1087" s="212"/>
      <c r="C1087" s="212"/>
      <c r="D1087" s="202"/>
      <c r="E1087" s="214"/>
      <c r="F1087" s="202"/>
      <c r="G1087" s="206"/>
      <c r="H1087" s="202"/>
      <c r="I1087" s="207"/>
      <c r="J1087" s="207"/>
      <c r="K1087" s="207"/>
      <c r="L1087" s="207"/>
      <c r="M1087" s="207"/>
    </row>
    <row r="1088" spans="1:13">
      <c r="A1088" s="211"/>
      <c r="B1088" s="212"/>
      <c r="C1088" s="212"/>
      <c r="D1088" s="202"/>
      <c r="E1088" s="214"/>
      <c r="F1088" s="202"/>
      <c r="G1088" s="206"/>
      <c r="H1088" s="202"/>
      <c r="I1088" s="207"/>
      <c r="J1088" s="207"/>
      <c r="K1088" s="207"/>
      <c r="L1088" s="207"/>
      <c r="M1088" s="207"/>
    </row>
    <row r="1089" spans="1:13">
      <c r="A1089" s="211"/>
      <c r="B1089" s="212"/>
      <c r="C1089" s="212"/>
      <c r="D1089" s="202"/>
      <c r="E1089" s="214"/>
      <c r="F1089" s="202"/>
      <c r="G1089" s="206"/>
      <c r="H1089" s="202"/>
      <c r="I1089" s="207"/>
      <c r="J1089" s="207"/>
      <c r="K1089" s="207"/>
      <c r="L1089" s="207"/>
      <c r="M1089" s="207"/>
    </row>
    <row r="1090" spans="1:13">
      <c r="A1090" s="211"/>
      <c r="B1090" s="212"/>
      <c r="C1090" s="212"/>
      <c r="D1090" s="202"/>
      <c r="E1090" s="214"/>
      <c r="F1090" s="202"/>
      <c r="G1090" s="206"/>
      <c r="H1090" s="202"/>
      <c r="I1090" s="207"/>
      <c r="J1090" s="207"/>
      <c r="K1090" s="207"/>
      <c r="L1090" s="207"/>
      <c r="M1090" s="207"/>
    </row>
    <row r="1091" spans="1:13">
      <c r="A1091" s="211"/>
      <c r="B1091" s="212"/>
      <c r="C1091" s="212"/>
      <c r="D1091" s="202"/>
      <c r="E1091" s="214"/>
      <c r="F1091" s="202"/>
      <c r="G1091" s="206"/>
      <c r="H1091" s="202"/>
      <c r="I1091" s="207"/>
      <c r="J1091" s="207"/>
      <c r="K1091" s="207"/>
      <c r="L1091" s="207"/>
      <c r="M1091" s="207"/>
    </row>
    <row r="1092" spans="1:13">
      <c r="A1092" s="211"/>
      <c r="B1092" s="212"/>
      <c r="C1092" s="212"/>
      <c r="D1092" s="202"/>
      <c r="E1092" s="214"/>
      <c r="F1092" s="202"/>
      <c r="G1092" s="206"/>
      <c r="H1092" s="202"/>
      <c r="I1092" s="207"/>
      <c r="J1092" s="207"/>
      <c r="K1092" s="207"/>
      <c r="L1092" s="207"/>
      <c r="M1092" s="207"/>
    </row>
    <row r="1093" spans="1:13">
      <c r="A1093" s="211"/>
      <c r="B1093" s="212"/>
      <c r="C1093" s="212"/>
      <c r="D1093" s="202"/>
      <c r="E1093" s="214"/>
      <c r="F1093" s="202"/>
      <c r="G1093" s="206"/>
      <c r="H1093" s="202"/>
      <c r="I1093" s="207"/>
      <c r="J1093" s="207"/>
      <c r="K1093" s="207"/>
      <c r="L1093" s="207"/>
      <c r="M1093" s="207"/>
    </row>
    <row r="1094" spans="1:13">
      <c r="A1094" s="211"/>
      <c r="B1094" s="212"/>
      <c r="C1094" s="212"/>
      <c r="D1094" s="202"/>
      <c r="E1094" s="214"/>
      <c r="F1094" s="202"/>
      <c r="G1094" s="206"/>
      <c r="H1094" s="202"/>
      <c r="I1094" s="207"/>
      <c r="J1094" s="207"/>
      <c r="K1094" s="207"/>
      <c r="L1094" s="207"/>
      <c r="M1094" s="207"/>
    </row>
    <row r="1095" spans="1:13">
      <c r="A1095" s="211"/>
      <c r="B1095" s="212"/>
      <c r="C1095" s="212"/>
      <c r="D1095" s="202"/>
      <c r="E1095" s="214"/>
      <c r="F1095" s="202"/>
      <c r="G1095" s="206"/>
      <c r="H1095" s="202"/>
      <c r="I1095" s="207"/>
      <c r="J1095" s="207"/>
      <c r="K1095" s="207"/>
      <c r="L1095" s="207"/>
      <c r="M1095" s="207"/>
    </row>
    <row r="1096" spans="1:13">
      <c r="A1096" s="211"/>
      <c r="B1096" s="212"/>
      <c r="C1096" s="212"/>
      <c r="D1096" s="202"/>
      <c r="E1096" s="214"/>
      <c r="F1096" s="202"/>
      <c r="G1096" s="206"/>
      <c r="H1096" s="202"/>
      <c r="I1096" s="207"/>
      <c r="J1096" s="207"/>
      <c r="K1096" s="207"/>
      <c r="L1096" s="207"/>
      <c r="M1096" s="207"/>
    </row>
    <row r="1097" spans="1:13">
      <c r="A1097" s="211"/>
      <c r="B1097" s="212"/>
      <c r="C1097" s="212"/>
      <c r="D1097" s="202"/>
      <c r="E1097" s="214"/>
      <c r="F1097" s="202"/>
      <c r="G1097" s="206"/>
      <c r="H1097" s="202"/>
      <c r="I1097" s="207"/>
      <c r="J1097" s="207"/>
      <c r="K1097" s="207"/>
      <c r="L1097" s="207"/>
      <c r="M1097" s="207"/>
    </row>
    <row r="1098" spans="1:13">
      <c r="A1098" s="211"/>
      <c r="B1098" s="212"/>
      <c r="C1098" s="212"/>
      <c r="D1098" s="202"/>
      <c r="E1098" s="214"/>
      <c r="F1098" s="202"/>
      <c r="G1098" s="206"/>
      <c r="H1098" s="202"/>
      <c r="I1098" s="207"/>
      <c r="J1098" s="207"/>
      <c r="K1098" s="207"/>
      <c r="L1098" s="207"/>
      <c r="M1098" s="207"/>
    </row>
    <row r="1099" spans="1:13">
      <c r="A1099" s="211"/>
      <c r="B1099" s="212"/>
      <c r="C1099" s="212"/>
      <c r="D1099" s="202"/>
      <c r="E1099" s="214"/>
      <c r="F1099" s="202"/>
      <c r="G1099" s="206"/>
      <c r="H1099" s="202"/>
      <c r="I1099" s="207"/>
      <c r="J1099" s="207"/>
      <c r="K1099" s="207"/>
      <c r="L1099" s="207"/>
      <c r="M1099" s="207"/>
    </row>
    <row r="1100" spans="1:13">
      <c r="A1100" s="211"/>
      <c r="B1100" s="212"/>
      <c r="C1100" s="212"/>
      <c r="D1100" s="202"/>
      <c r="E1100" s="214"/>
      <c r="F1100" s="202"/>
      <c r="G1100" s="206"/>
      <c r="H1100" s="202"/>
      <c r="I1100" s="207"/>
      <c r="J1100" s="207"/>
      <c r="K1100" s="207"/>
      <c r="L1100" s="207"/>
      <c r="M1100" s="207"/>
    </row>
    <row r="1101" spans="1:13">
      <c r="A1101" s="211"/>
      <c r="B1101" s="212"/>
      <c r="C1101" s="212"/>
      <c r="D1101" s="202"/>
      <c r="E1101" s="214"/>
      <c r="F1101" s="202"/>
      <c r="G1101" s="206"/>
      <c r="H1101" s="202"/>
      <c r="I1101" s="207"/>
      <c r="J1101" s="207"/>
      <c r="K1101" s="207"/>
      <c r="L1101" s="207"/>
      <c r="M1101" s="207"/>
    </row>
    <row r="1102" spans="1:13">
      <c r="A1102" s="211"/>
      <c r="B1102" s="212"/>
      <c r="C1102" s="212"/>
      <c r="D1102" s="202"/>
      <c r="E1102" s="214"/>
      <c r="F1102" s="202"/>
      <c r="G1102" s="206"/>
      <c r="H1102" s="202"/>
      <c r="I1102" s="207"/>
      <c r="J1102" s="207"/>
      <c r="K1102" s="207"/>
      <c r="L1102" s="207"/>
      <c r="M1102" s="207"/>
    </row>
    <row r="1103" spans="1:13">
      <c r="A1103" s="211"/>
      <c r="B1103" s="212"/>
      <c r="C1103" s="212"/>
      <c r="D1103" s="202"/>
      <c r="E1103" s="214"/>
      <c r="F1103" s="202"/>
      <c r="G1103" s="206"/>
      <c r="H1103" s="202"/>
      <c r="I1103" s="207"/>
      <c r="J1103" s="207"/>
      <c r="K1103" s="207"/>
      <c r="L1103" s="207"/>
      <c r="M1103" s="207"/>
    </row>
    <row r="1104" spans="1:13">
      <c r="A1104" s="211"/>
      <c r="B1104" s="212"/>
      <c r="C1104" s="212"/>
      <c r="D1104" s="202"/>
      <c r="E1104" s="214"/>
      <c r="F1104" s="202"/>
      <c r="G1104" s="206"/>
      <c r="H1104" s="202"/>
      <c r="I1104" s="207"/>
      <c r="J1104" s="207"/>
      <c r="K1104" s="207"/>
      <c r="L1104" s="207"/>
      <c r="M1104" s="207"/>
    </row>
    <row r="1105" spans="1:13">
      <c r="A1105" s="211"/>
      <c r="B1105" s="212"/>
      <c r="C1105" s="212"/>
      <c r="D1105" s="202"/>
      <c r="E1105" s="214"/>
      <c r="F1105" s="202"/>
      <c r="G1105" s="206"/>
      <c r="H1105" s="202"/>
      <c r="I1105" s="207"/>
      <c r="J1105" s="207"/>
      <c r="K1105" s="207"/>
      <c r="L1105" s="207"/>
      <c r="M1105" s="207"/>
    </row>
    <row r="1106" spans="1:13">
      <c r="A1106" s="211"/>
      <c r="B1106" s="212"/>
      <c r="C1106" s="212"/>
      <c r="D1106" s="202"/>
      <c r="E1106" s="214"/>
      <c r="F1106" s="202"/>
      <c r="G1106" s="206"/>
      <c r="H1106" s="202"/>
      <c r="I1106" s="207"/>
      <c r="J1106" s="207"/>
      <c r="K1106" s="207"/>
      <c r="L1106" s="207"/>
      <c r="M1106" s="207"/>
    </row>
    <row r="1107" spans="1:13">
      <c r="A1107" s="211"/>
      <c r="B1107" s="212"/>
      <c r="C1107" s="212"/>
      <c r="D1107" s="202"/>
      <c r="E1107" s="214"/>
      <c r="F1107" s="202"/>
      <c r="G1107" s="206"/>
      <c r="H1107" s="202"/>
      <c r="I1107" s="207"/>
      <c r="J1107" s="207"/>
      <c r="K1107" s="207"/>
      <c r="L1107" s="207"/>
      <c r="M1107" s="207"/>
    </row>
    <row r="1108" spans="1:13">
      <c r="A1108" s="211"/>
      <c r="B1108" s="212"/>
      <c r="C1108" s="212"/>
      <c r="D1108" s="202"/>
      <c r="E1108" s="214"/>
      <c r="F1108" s="202"/>
      <c r="G1108" s="206"/>
      <c r="H1108" s="202"/>
      <c r="I1108" s="207"/>
      <c r="J1108" s="207"/>
      <c r="K1108" s="207"/>
      <c r="L1108" s="207"/>
      <c r="M1108" s="207"/>
    </row>
    <row r="1109" spans="1:13">
      <c r="A1109" s="211"/>
      <c r="B1109" s="212"/>
      <c r="C1109" s="212"/>
      <c r="D1109" s="202"/>
      <c r="E1109" s="214"/>
      <c r="F1109" s="202"/>
      <c r="G1109" s="206"/>
      <c r="H1109" s="202"/>
      <c r="I1109" s="207"/>
      <c r="J1109" s="207"/>
      <c r="K1109" s="207"/>
      <c r="L1109" s="207"/>
      <c r="M1109" s="207"/>
    </row>
    <row r="1110" spans="1:13">
      <c r="A1110" s="211"/>
      <c r="B1110" s="212"/>
      <c r="C1110" s="212"/>
      <c r="D1110" s="202"/>
      <c r="E1110" s="214"/>
      <c r="F1110" s="202"/>
      <c r="G1110" s="206"/>
      <c r="H1110" s="202"/>
      <c r="I1110" s="207"/>
      <c r="J1110" s="207"/>
      <c r="K1110" s="207"/>
      <c r="L1110" s="207"/>
      <c r="M1110" s="207"/>
    </row>
    <row r="1111" spans="1:13">
      <c r="A1111" s="211"/>
      <c r="B1111" s="212"/>
      <c r="C1111" s="212"/>
      <c r="D1111" s="202"/>
      <c r="E1111" s="214"/>
      <c r="F1111" s="202"/>
      <c r="G1111" s="206"/>
      <c r="H1111" s="202"/>
      <c r="I1111" s="207"/>
      <c r="J1111" s="207"/>
      <c r="K1111" s="207"/>
      <c r="L1111" s="207"/>
      <c r="M1111" s="207"/>
    </row>
    <row r="1112" spans="1:13">
      <c r="A1112" s="211"/>
      <c r="B1112" s="212"/>
      <c r="C1112" s="212"/>
      <c r="D1112" s="202"/>
      <c r="E1112" s="214"/>
      <c r="F1112" s="202"/>
      <c r="G1112" s="206"/>
      <c r="H1112" s="202"/>
      <c r="I1112" s="207"/>
      <c r="J1112" s="207"/>
      <c r="K1112" s="207"/>
      <c r="L1112" s="207"/>
      <c r="M1112" s="207"/>
    </row>
    <row r="1113" spans="1:13">
      <c r="A1113" s="211"/>
      <c r="B1113" s="212"/>
      <c r="C1113" s="212"/>
      <c r="D1113" s="202"/>
      <c r="E1113" s="214"/>
      <c r="F1113" s="202"/>
      <c r="G1113" s="206"/>
      <c r="H1113" s="202"/>
      <c r="I1113" s="207"/>
      <c r="J1113" s="207"/>
      <c r="K1113" s="207"/>
      <c r="L1113" s="207"/>
      <c r="M1113" s="207"/>
    </row>
    <row r="1114" spans="1:13">
      <c r="A1114" s="211"/>
      <c r="B1114" s="212"/>
      <c r="C1114" s="212"/>
      <c r="D1114" s="202"/>
      <c r="E1114" s="214"/>
      <c r="F1114" s="202"/>
      <c r="G1114" s="206"/>
      <c r="H1114" s="202"/>
      <c r="I1114" s="207"/>
      <c r="J1114" s="207"/>
      <c r="K1114" s="207"/>
      <c r="L1114" s="207"/>
      <c r="M1114" s="207"/>
    </row>
    <row r="1115" spans="1:13">
      <c r="A1115" s="211"/>
      <c r="B1115" s="212"/>
      <c r="C1115" s="212"/>
      <c r="D1115" s="202"/>
      <c r="E1115" s="214"/>
      <c r="F1115" s="202"/>
      <c r="G1115" s="206"/>
      <c r="H1115" s="202"/>
      <c r="I1115" s="207"/>
      <c r="J1115" s="207"/>
      <c r="K1115" s="207"/>
      <c r="L1115" s="207"/>
      <c r="M1115" s="207"/>
    </row>
    <row r="1116" spans="1:13">
      <c r="A1116" s="211"/>
      <c r="B1116" s="212"/>
      <c r="C1116" s="212"/>
      <c r="D1116" s="202"/>
      <c r="E1116" s="214"/>
      <c r="F1116" s="202"/>
      <c r="G1116" s="206"/>
      <c r="H1116" s="202"/>
      <c r="I1116" s="207"/>
      <c r="J1116" s="207"/>
      <c r="K1116" s="207"/>
      <c r="L1116" s="207"/>
      <c r="M1116" s="207"/>
    </row>
    <row r="1117" spans="1:13">
      <c r="A1117" s="211"/>
      <c r="B1117" s="212"/>
      <c r="C1117" s="212"/>
      <c r="D1117" s="202"/>
      <c r="E1117" s="214"/>
      <c r="F1117" s="202"/>
      <c r="G1117" s="206"/>
      <c r="H1117" s="202"/>
      <c r="I1117" s="207"/>
      <c r="J1117" s="207"/>
      <c r="K1117" s="207"/>
      <c r="L1117" s="207"/>
      <c r="M1117" s="207"/>
    </row>
    <row r="1118" spans="1:13">
      <c r="A1118" s="211"/>
      <c r="B1118" s="212"/>
      <c r="C1118" s="212"/>
      <c r="D1118" s="202"/>
      <c r="E1118" s="214"/>
      <c r="F1118" s="202"/>
      <c r="G1118" s="206"/>
      <c r="H1118" s="202"/>
      <c r="I1118" s="207"/>
      <c r="J1118" s="207"/>
      <c r="K1118" s="207"/>
      <c r="L1118" s="207"/>
      <c r="M1118" s="207"/>
    </row>
    <row r="1119" spans="1:13">
      <c r="A1119" s="211"/>
      <c r="B1119" s="212"/>
      <c r="C1119" s="212"/>
      <c r="D1119" s="202"/>
      <c r="E1119" s="214"/>
      <c r="F1119" s="202"/>
      <c r="G1119" s="206"/>
      <c r="H1119" s="202"/>
      <c r="I1119" s="207"/>
      <c r="J1119" s="207"/>
      <c r="K1119" s="207"/>
      <c r="L1119" s="207"/>
      <c r="M1119" s="207"/>
    </row>
    <row r="1120" spans="1:13">
      <c r="A1120" s="211"/>
      <c r="B1120" s="212"/>
      <c r="C1120" s="212"/>
      <c r="D1120" s="202"/>
      <c r="E1120" s="214"/>
      <c r="F1120" s="202"/>
      <c r="G1120" s="206"/>
      <c r="H1120" s="202"/>
      <c r="I1120" s="207"/>
      <c r="J1120" s="207"/>
      <c r="K1120" s="207"/>
      <c r="L1120" s="207"/>
      <c r="M1120" s="207"/>
    </row>
    <row r="1121" spans="1:13">
      <c r="A1121" s="211"/>
      <c r="B1121" s="212"/>
      <c r="C1121" s="212"/>
      <c r="D1121" s="202"/>
      <c r="E1121" s="214"/>
      <c r="F1121" s="202"/>
      <c r="G1121" s="206"/>
      <c r="H1121" s="202"/>
      <c r="I1121" s="207"/>
      <c r="J1121" s="207"/>
      <c r="K1121" s="207"/>
      <c r="L1121" s="207"/>
      <c r="M1121" s="207"/>
    </row>
    <row r="1122" spans="1:13">
      <c r="A1122" s="211"/>
      <c r="B1122" s="212"/>
      <c r="C1122" s="212"/>
      <c r="D1122" s="202"/>
      <c r="E1122" s="214"/>
      <c r="F1122" s="202"/>
      <c r="G1122" s="206"/>
      <c r="H1122" s="202"/>
      <c r="I1122" s="207"/>
      <c r="J1122" s="207"/>
      <c r="K1122" s="207"/>
      <c r="L1122" s="207"/>
      <c r="M1122" s="207"/>
    </row>
    <row r="1123" spans="1:13">
      <c r="A1123" s="211"/>
      <c r="B1123" s="212"/>
      <c r="C1123" s="212"/>
      <c r="D1123" s="202"/>
      <c r="E1123" s="214"/>
      <c r="F1123" s="202"/>
      <c r="G1123" s="206"/>
      <c r="H1123" s="202"/>
      <c r="I1123" s="207"/>
      <c r="J1123" s="207"/>
      <c r="K1123" s="207"/>
      <c r="L1123" s="207"/>
      <c r="M1123" s="207"/>
    </row>
    <row r="1124" spans="1:13">
      <c r="A1124" s="211"/>
      <c r="B1124" s="212"/>
      <c r="C1124" s="212"/>
      <c r="D1124" s="202"/>
      <c r="E1124" s="214"/>
      <c r="F1124" s="202"/>
      <c r="G1124" s="206"/>
      <c r="H1124" s="202"/>
      <c r="I1124" s="207"/>
      <c r="J1124" s="207"/>
      <c r="K1124" s="207"/>
      <c r="L1124" s="207"/>
      <c r="M1124" s="207"/>
    </row>
    <row r="1125" spans="1:13">
      <c r="A1125" s="211"/>
      <c r="B1125" s="212"/>
      <c r="C1125" s="212"/>
      <c r="D1125" s="202"/>
      <c r="E1125" s="214"/>
      <c r="F1125" s="202"/>
      <c r="G1125" s="206"/>
      <c r="H1125" s="202"/>
      <c r="I1125" s="207"/>
      <c r="J1125" s="207"/>
      <c r="K1125" s="207"/>
      <c r="L1125" s="207"/>
      <c r="M1125" s="207"/>
    </row>
    <row r="1126" spans="1:13">
      <c r="A1126" s="211"/>
      <c r="B1126" s="212"/>
      <c r="C1126" s="212"/>
      <c r="D1126" s="202"/>
      <c r="E1126" s="214"/>
      <c r="F1126" s="202"/>
      <c r="G1126" s="206"/>
      <c r="H1126" s="202"/>
      <c r="I1126" s="207"/>
      <c r="J1126" s="207"/>
      <c r="K1126" s="207"/>
      <c r="L1126" s="207"/>
      <c r="M1126" s="207"/>
    </row>
    <row r="1127" spans="1:13">
      <c r="A1127" s="211"/>
      <c r="B1127" s="212"/>
      <c r="C1127" s="212"/>
      <c r="D1127" s="202"/>
      <c r="E1127" s="214"/>
      <c r="F1127" s="202"/>
      <c r="G1127" s="206"/>
      <c r="H1127" s="202"/>
      <c r="I1127" s="207"/>
      <c r="J1127" s="207"/>
      <c r="K1127" s="207"/>
      <c r="L1127" s="207"/>
      <c r="M1127" s="207"/>
    </row>
    <row r="1128" spans="1:13">
      <c r="A1128" s="211"/>
      <c r="B1128" s="212"/>
      <c r="C1128" s="212"/>
      <c r="D1128" s="202"/>
      <c r="E1128" s="214"/>
      <c r="F1128" s="202"/>
      <c r="G1128" s="206"/>
      <c r="H1128" s="202"/>
      <c r="I1128" s="207"/>
      <c r="J1128" s="207"/>
      <c r="K1128" s="207"/>
      <c r="L1128" s="207"/>
      <c r="M1128" s="207"/>
    </row>
    <row r="1129" spans="1:13">
      <c r="A1129" s="211"/>
      <c r="B1129" s="212"/>
      <c r="C1129" s="212"/>
      <c r="D1129" s="202"/>
      <c r="E1129" s="214"/>
      <c r="F1129" s="202"/>
      <c r="G1129" s="206"/>
      <c r="H1129" s="202"/>
      <c r="I1129" s="207"/>
      <c r="J1129" s="207"/>
      <c r="K1129" s="207"/>
      <c r="L1129" s="207"/>
      <c r="M1129" s="207"/>
    </row>
    <row r="1130" spans="1:13">
      <c r="A1130" s="211"/>
      <c r="B1130" s="212"/>
      <c r="C1130" s="212"/>
      <c r="D1130" s="202"/>
      <c r="E1130" s="214"/>
      <c r="F1130" s="202"/>
      <c r="G1130" s="206"/>
      <c r="H1130" s="202"/>
      <c r="I1130" s="207"/>
      <c r="J1130" s="207"/>
      <c r="K1130" s="207"/>
      <c r="L1130" s="207"/>
      <c r="M1130" s="207"/>
    </row>
    <row r="1131" spans="1:13">
      <c r="A1131" s="211"/>
      <c r="B1131" s="212"/>
      <c r="C1131" s="212"/>
      <c r="D1131" s="202"/>
      <c r="E1131" s="214"/>
      <c r="F1131" s="202"/>
      <c r="G1131" s="206"/>
      <c r="H1131" s="202"/>
      <c r="I1131" s="207"/>
      <c r="J1131" s="207"/>
      <c r="K1131" s="207"/>
      <c r="L1131" s="207"/>
      <c r="M1131" s="207"/>
    </row>
    <row r="1132" spans="1:13">
      <c r="A1132" s="211"/>
      <c r="B1132" s="212"/>
      <c r="C1132" s="212"/>
      <c r="D1132" s="202"/>
      <c r="E1132" s="214"/>
      <c r="F1132" s="202"/>
      <c r="G1132" s="206"/>
      <c r="H1132" s="202"/>
      <c r="I1132" s="207"/>
      <c r="J1132" s="207"/>
      <c r="K1132" s="207"/>
      <c r="L1132" s="207"/>
      <c r="M1132" s="207"/>
    </row>
    <row r="1133" spans="1:13">
      <c r="A1133" s="211"/>
      <c r="B1133" s="212"/>
      <c r="C1133" s="212"/>
      <c r="D1133" s="202"/>
      <c r="E1133" s="214"/>
      <c r="F1133" s="202"/>
      <c r="G1133" s="206"/>
      <c r="H1133" s="202"/>
      <c r="I1133" s="207"/>
      <c r="J1133" s="207"/>
      <c r="K1133" s="207"/>
      <c r="L1133" s="207"/>
      <c r="M1133" s="207"/>
    </row>
    <row r="1134" spans="1:13">
      <c r="A1134" s="211"/>
      <c r="B1134" s="212"/>
      <c r="C1134" s="212"/>
      <c r="D1134" s="202"/>
      <c r="E1134" s="214"/>
      <c r="F1134" s="202"/>
      <c r="G1134" s="206"/>
      <c r="H1134" s="202"/>
      <c r="I1134" s="207"/>
      <c r="J1134" s="207"/>
      <c r="K1134" s="207"/>
      <c r="L1134" s="207"/>
      <c r="M1134" s="207"/>
    </row>
    <row r="1135" spans="1:13">
      <c r="A1135" s="211"/>
      <c r="B1135" s="212"/>
      <c r="C1135" s="212"/>
      <c r="D1135" s="202"/>
      <c r="E1135" s="214"/>
      <c r="F1135" s="202"/>
      <c r="G1135" s="206"/>
      <c r="H1135" s="202"/>
      <c r="I1135" s="207"/>
      <c r="J1135" s="207"/>
      <c r="K1135" s="207"/>
      <c r="L1135" s="207"/>
      <c r="M1135" s="207"/>
    </row>
    <row r="1136" spans="1:13">
      <c r="A1136" s="211"/>
      <c r="B1136" s="212"/>
      <c r="C1136" s="212"/>
      <c r="D1136" s="202"/>
      <c r="E1136" s="214"/>
      <c r="F1136" s="202"/>
      <c r="G1136" s="206"/>
      <c r="H1136" s="202"/>
      <c r="I1136" s="207"/>
      <c r="J1136" s="207"/>
      <c r="K1136" s="207"/>
      <c r="L1136" s="207"/>
      <c r="M1136" s="207"/>
    </row>
    <row r="1137" spans="1:13">
      <c r="A1137" s="211"/>
      <c r="B1137" s="212"/>
      <c r="C1137" s="212"/>
      <c r="D1137" s="202"/>
      <c r="E1137" s="214"/>
      <c r="F1137" s="202"/>
      <c r="G1137" s="206"/>
      <c r="H1137" s="202"/>
      <c r="I1137" s="207"/>
      <c r="J1137" s="207"/>
      <c r="K1137" s="207"/>
      <c r="L1137" s="207"/>
      <c r="M1137" s="207"/>
    </row>
    <row r="1138" spans="1:13">
      <c r="A1138" s="211"/>
      <c r="B1138" s="212"/>
      <c r="C1138" s="212"/>
      <c r="D1138" s="202"/>
      <c r="E1138" s="214"/>
      <c r="F1138" s="202"/>
      <c r="G1138" s="206"/>
      <c r="H1138" s="202"/>
      <c r="I1138" s="207"/>
      <c r="J1138" s="207"/>
      <c r="K1138" s="207"/>
      <c r="L1138" s="207"/>
      <c r="M1138" s="207"/>
    </row>
    <row r="1139" spans="1:13">
      <c r="A1139" s="211"/>
      <c r="B1139" s="212"/>
      <c r="C1139" s="212"/>
      <c r="D1139" s="202"/>
      <c r="E1139" s="214"/>
      <c r="F1139" s="202"/>
      <c r="G1139" s="206"/>
      <c r="H1139" s="202"/>
      <c r="I1139" s="207"/>
      <c r="J1139" s="207"/>
      <c r="K1139" s="207"/>
      <c r="L1139" s="207"/>
      <c r="M1139" s="207"/>
    </row>
    <row r="1140" spans="1:13">
      <c r="A1140" s="211"/>
      <c r="B1140" s="212"/>
      <c r="C1140" s="212"/>
      <c r="D1140" s="202"/>
      <c r="E1140" s="214"/>
      <c r="F1140" s="202"/>
      <c r="G1140" s="206"/>
      <c r="H1140" s="202"/>
      <c r="I1140" s="207"/>
      <c r="J1140" s="207"/>
      <c r="K1140" s="207"/>
      <c r="L1140" s="207"/>
      <c r="M1140" s="207"/>
    </row>
    <row r="1141" spans="1:13">
      <c r="A1141" s="211"/>
      <c r="B1141" s="212"/>
      <c r="C1141" s="212"/>
      <c r="D1141" s="202"/>
      <c r="E1141" s="214"/>
      <c r="F1141" s="202"/>
      <c r="G1141" s="206"/>
      <c r="H1141" s="202"/>
      <c r="I1141" s="207"/>
      <c r="J1141" s="207"/>
      <c r="K1141" s="207"/>
      <c r="L1141" s="207"/>
      <c r="M1141" s="207"/>
    </row>
    <row r="1142" spans="1:13">
      <c r="A1142" s="211"/>
      <c r="B1142" s="212"/>
      <c r="C1142" s="212"/>
      <c r="D1142" s="202"/>
      <c r="E1142" s="214"/>
      <c r="F1142" s="202"/>
      <c r="G1142" s="206"/>
      <c r="H1142" s="202"/>
      <c r="I1142" s="207"/>
      <c r="J1142" s="207"/>
      <c r="K1142" s="207"/>
      <c r="L1142" s="207"/>
      <c r="M1142" s="207"/>
    </row>
    <row r="1143" spans="1:13">
      <c r="A1143" s="211"/>
      <c r="B1143" s="212"/>
      <c r="C1143" s="212"/>
      <c r="D1143" s="202"/>
      <c r="E1143" s="214"/>
      <c r="F1143" s="202"/>
      <c r="G1143" s="206"/>
      <c r="H1143" s="202"/>
      <c r="I1143" s="207"/>
      <c r="J1143" s="207"/>
      <c r="K1143" s="207"/>
      <c r="L1143" s="207"/>
      <c r="M1143" s="207"/>
    </row>
    <row r="1144" spans="1:13">
      <c r="A1144" s="211"/>
      <c r="B1144" s="212"/>
      <c r="C1144" s="212"/>
      <c r="D1144" s="202"/>
      <c r="E1144" s="214"/>
      <c r="F1144" s="202"/>
      <c r="G1144" s="206"/>
      <c r="H1144" s="202"/>
      <c r="I1144" s="207"/>
      <c r="J1144" s="207"/>
      <c r="K1144" s="207"/>
      <c r="L1144" s="207"/>
      <c r="M1144" s="207"/>
    </row>
    <row r="1145" spans="1:13">
      <c r="A1145" s="211"/>
      <c r="B1145" s="212"/>
      <c r="C1145" s="212"/>
      <c r="D1145" s="202"/>
      <c r="E1145" s="214"/>
      <c r="F1145" s="202"/>
      <c r="G1145" s="206"/>
      <c r="H1145" s="202"/>
      <c r="I1145" s="207"/>
      <c r="J1145" s="207"/>
      <c r="K1145" s="207"/>
      <c r="L1145" s="207"/>
      <c r="M1145" s="207"/>
    </row>
    <row r="1146" spans="1:13">
      <c r="A1146" s="211"/>
      <c r="B1146" s="212"/>
      <c r="C1146" s="212"/>
      <c r="D1146" s="202"/>
      <c r="E1146" s="214"/>
      <c r="F1146" s="202"/>
      <c r="G1146" s="206"/>
      <c r="H1146" s="202"/>
      <c r="I1146" s="207"/>
      <c r="J1146" s="207"/>
      <c r="K1146" s="207"/>
      <c r="L1146" s="207"/>
      <c r="M1146" s="207"/>
    </row>
    <row r="1147" spans="1:13">
      <c r="A1147" s="211"/>
      <c r="B1147" s="212"/>
      <c r="C1147" s="212"/>
      <c r="D1147" s="202"/>
      <c r="E1147" s="214"/>
      <c r="F1147" s="202"/>
      <c r="G1147" s="206"/>
      <c r="H1147" s="202"/>
      <c r="I1147" s="207"/>
      <c r="J1147" s="207"/>
      <c r="K1147" s="207"/>
      <c r="L1147" s="207"/>
      <c r="M1147" s="207"/>
    </row>
    <row r="1148" spans="1:13">
      <c r="A1148" s="211"/>
      <c r="B1148" s="212"/>
      <c r="C1148" s="212"/>
      <c r="D1148" s="202"/>
      <c r="E1148" s="214"/>
      <c r="F1148" s="202"/>
      <c r="G1148" s="206"/>
      <c r="H1148" s="202"/>
      <c r="I1148" s="207"/>
      <c r="J1148" s="207"/>
      <c r="K1148" s="207"/>
      <c r="L1148" s="207"/>
      <c r="M1148" s="207"/>
    </row>
    <row r="1149" spans="1:13">
      <c r="A1149" s="211"/>
      <c r="B1149" s="212"/>
      <c r="C1149" s="212"/>
      <c r="D1149" s="202"/>
      <c r="E1149" s="214"/>
      <c r="F1149" s="202"/>
      <c r="G1149" s="206"/>
      <c r="H1149" s="202"/>
      <c r="I1149" s="207"/>
      <c r="J1149" s="207"/>
      <c r="K1149" s="207"/>
      <c r="L1149" s="207"/>
      <c r="M1149" s="207"/>
    </row>
    <row r="1150" spans="1:13">
      <c r="A1150" s="211"/>
      <c r="B1150" s="212"/>
      <c r="C1150" s="212"/>
      <c r="D1150" s="202"/>
      <c r="E1150" s="214"/>
      <c r="F1150" s="202"/>
      <c r="G1150" s="206"/>
      <c r="H1150" s="202"/>
      <c r="I1150" s="207"/>
      <c r="J1150" s="207"/>
      <c r="K1150" s="207"/>
      <c r="L1150" s="207"/>
      <c r="M1150" s="207"/>
    </row>
    <row r="1151" spans="1:13">
      <c r="A1151" s="211"/>
      <c r="B1151" s="212"/>
      <c r="C1151" s="212"/>
      <c r="D1151" s="202"/>
      <c r="E1151" s="214"/>
      <c r="F1151" s="202"/>
      <c r="G1151" s="206"/>
      <c r="H1151" s="202"/>
      <c r="I1151" s="207"/>
      <c r="J1151" s="207"/>
      <c r="K1151" s="207"/>
      <c r="L1151" s="207"/>
      <c r="M1151" s="207"/>
    </row>
    <row r="1152" spans="1:13">
      <c r="A1152" s="211"/>
      <c r="B1152" s="212"/>
      <c r="C1152" s="212"/>
      <c r="D1152" s="202"/>
      <c r="E1152" s="214"/>
      <c r="F1152" s="202"/>
      <c r="G1152" s="206"/>
      <c r="H1152" s="202"/>
      <c r="I1152" s="207"/>
      <c r="J1152" s="207"/>
      <c r="K1152" s="207"/>
      <c r="L1152" s="207"/>
      <c r="M1152" s="207"/>
    </row>
    <row r="1153" spans="1:13">
      <c r="A1153" s="211"/>
      <c r="B1153" s="212"/>
      <c r="C1153" s="212"/>
      <c r="D1153" s="202"/>
      <c r="E1153" s="214"/>
      <c r="F1153" s="202"/>
      <c r="G1153" s="206"/>
      <c r="H1153" s="202"/>
      <c r="I1153" s="207"/>
      <c r="J1153" s="207"/>
      <c r="K1153" s="207"/>
      <c r="L1153" s="207"/>
      <c r="M1153" s="207"/>
    </row>
    <row r="1154" spans="1:13">
      <c r="A1154" s="211"/>
      <c r="B1154" s="212"/>
      <c r="C1154" s="212"/>
      <c r="D1154" s="202"/>
      <c r="E1154" s="214"/>
      <c r="F1154" s="202"/>
      <c r="G1154" s="206"/>
      <c r="H1154" s="202"/>
      <c r="I1154" s="207"/>
      <c r="J1154" s="207"/>
      <c r="K1154" s="207"/>
      <c r="L1154" s="207"/>
      <c r="M1154" s="207"/>
    </row>
    <row r="1155" spans="1:13">
      <c r="A1155" s="211"/>
      <c r="B1155" s="212"/>
      <c r="C1155" s="212"/>
      <c r="D1155" s="202"/>
      <c r="E1155" s="214"/>
      <c r="F1155" s="202"/>
      <c r="G1155" s="206"/>
      <c r="H1155" s="202"/>
      <c r="I1155" s="207"/>
      <c r="J1155" s="207"/>
      <c r="K1155" s="207"/>
      <c r="L1155" s="207"/>
      <c r="M1155" s="207"/>
    </row>
    <row r="1156" spans="1:13">
      <c r="A1156" s="211"/>
      <c r="B1156" s="212"/>
      <c r="C1156" s="212"/>
      <c r="D1156" s="202"/>
      <c r="E1156" s="214"/>
      <c r="F1156" s="202"/>
      <c r="G1156" s="206"/>
      <c r="H1156" s="202"/>
      <c r="I1156" s="207"/>
      <c r="J1156" s="207"/>
      <c r="K1156" s="207"/>
      <c r="L1156" s="207"/>
      <c r="M1156" s="207"/>
    </row>
    <row r="1157" spans="1:13">
      <c r="A1157" s="211"/>
      <c r="B1157" s="212"/>
      <c r="C1157" s="212"/>
      <c r="D1157" s="202"/>
      <c r="E1157" s="214"/>
      <c r="F1157" s="202"/>
      <c r="G1157" s="206"/>
      <c r="H1157" s="202"/>
      <c r="I1157" s="207"/>
      <c r="J1157" s="207"/>
      <c r="K1157" s="207"/>
      <c r="L1157" s="207"/>
      <c r="M1157" s="207"/>
    </row>
    <row r="1158" spans="1:13">
      <c r="A1158" s="211"/>
      <c r="B1158" s="212"/>
      <c r="C1158" s="212"/>
      <c r="D1158" s="202"/>
      <c r="E1158" s="214"/>
      <c r="F1158" s="202"/>
      <c r="G1158" s="206"/>
      <c r="H1158" s="202"/>
      <c r="I1158" s="207"/>
      <c r="J1158" s="207"/>
      <c r="K1158" s="207"/>
      <c r="L1158" s="207"/>
      <c r="M1158" s="207"/>
    </row>
    <row r="1159" spans="1:13">
      <c r="A1159" s="211"/>
      <c r="B1159" s="212"/>
      <c r="C1159" s="212"/>
      <c r="D1159" s="202"/>
      <c r="E1159" s="214"/>
      <c r="F1159" s="202"/>
      <c r="G1159" s="206"/>
      <c r="H1159" s="202"/>
      <c r="I1159" s="207"/>
      <c r="J1159" s="207"/>
      <c r="K1159" s="207"/>
      <c r="L1159" s="207"/>
      <c r="M1159" s="207"/>
    </row>
    <row r="1160" spans="1:13">
      <c r="A1160" s="211"/>
      <c r="B1160" s="212"/>
      <c r="C1160" s="212"/>
      <c r="D1160" s="202"/>
      <c r="E1160" s="214"/>
      <c r="F1160" s="202"/>
      <c r="G1160" s="206"/>
      <c r="H1160" s="202"/>
      <c r="I1160" s="207"/>
      <c r="J1160" s="207"/>
      <c r="K1160" s="207"/>
      <c r="L1160" s="207"/>
      <c r="M1160" s="207"/>
    </row>
    <row r="1161" spans="1:13">
      <c r="A1161" s="211"/>
      <c r="B1161" s="212"/>
      <c r="C1161" s="212"/>
      <c r="D1161" s="202"/>
      <c r="E1161" s="214"/>
      <c r="F1161" s="202"/>
      <c r="G1161" s="206"/>
      <c r="H1161" s="202"/>
      <c r="I1161" s="207"/>
      <c r="J1161" s="207"/>
      <c r="K1161" s="207"/>
      <c r="L1161" s="207"/>
      <c r="M1161" s="207"/>
    </row>
    <row r="1162" spans="1:13">
      <c r="A1162" s="211"/>
      <c r="B1162" s="212"/>
      <c r="C1162" s="212"/>
      <c r="D1162" s="202"/>
      <c r="E1162" s="214"/>
      <c r="F1162" s="202"/>
      <c r="G1162" s="206"/>
      <c r="H1162" s="202"/>
      <c r="I1162" s="207"/>
      <c r="J1162" s="207"/>
      <c r="K1162" s="207"/>
      <c r="L1162" s="207"/>
      <c r="M1162" s="207"/>
    </row>
    <row r="1163" spans="1:13">
      <c r="A1163" s="211"/>
      <c r="B1163" s="212"/>
      <c r="C1163" s="212"/>
      <c r="D1163" s="202"/>
      <c r="E1163" s="214"/>
      <c r="F1163" s="202"/>
      <c r="G1163" s="206"/>
      <c r="H1163" s="202"/>
      <c r="I1163" s="207"/>
      <c r="J1163" s="207"/>
      <c r="K1163" s="207"/>
      <c r="L1163" s="207"/>
      <c r="M1163" s="207"/>
    </row>
    <row r="1164" spans="1:13">
      <c r="A1164" s="211"/>
      <c r="B1164" s="212"/>
      <c r="C1164" s="212"/>
      <c r="D1164" s="202"/>
      <c r="E1164" s="214"/>
      <c r="F1164" s="202"/>
      <c r="G1164" s="206"/>
      <c r="H1164" s="202"/>
      <c r="I1164" s="207"/>
      <c r="J1164" s="207"/>
      <c r="K1164" s="207"/>
      <c r="L1164" s="207"/>
      <c r="M1164" s="207"/>
    </row>
    <row r="1165" spans="1:13">
      <c r="A1165" s="211"/>
      <c r="B1165" s="212"/>
      <c r="C1165" s="212"/>
      <c r="D1165" s="202"/>
      <c r="E1165" s="214"/>
      <c r="F1165" s="202"/>
      <c r="G1165" s="206"/>
      <c r="H1165" s="202"/>
      <c r="I1165" s="207"/>
      <c r="J1165" s="207"/>
      <c r="K1165" s="207"/>
      <c r="L1165" s="207"/>
      <c r="M1165" s="207"/>
    </row>
    <row r="1166" spans="1:13">
      <c r="A1166" s="211"/>
      <c r="B1166" s="212"/>
      <c r="C1166" s="212"/>
      <c r="D1166" s="202"/>
      <c r="E1166" s="214"/>
      <c r="F1166" s="202"/>
      <c r="G1166" s="206"/>
      <c r="H1166" s="202"/>
      <c r="I1166" s="207"/>
      <c r="J1166" s="207"/>
      <c r="K1166" s="207"/>
      <c r="L1166" s="207"/>
      <c r="M1166" s="207"/>
    </row>
    <row r="1167" spans="1:13">
      <c r="A1167" s="211"/>
      <c r="B1167" s="212"/>
      <c r="C1167" s="212"/>
      <c r="D1167" s="202"/>
      <c r="E1167" s="214"/>
      <c r="F1167" s="202"/>
      <c r="G1167" s="206"/>
      <c r="H1167" s="202"/>
      <c r="I1167" s="207"/>
      <c r="J1167" s="207"/>
      <c r="K1167" s="207"/>
      <c r="L1167" s="207"/>
      <c r="M1167" s="207"/>
    </row>
    <row r="1168" spans="1:13">
      <c r="A1168" s="211"/>
      <c r="B1168" s="212"/>
      <c r="C1168" s="212"/>
      <c r="D1168" s="202"/>
      <c r="E1168" s="214"/>
      <c r="F1168" s="202"/>
      <c r="G1168" s="206"/>
      <c r="H1168" s="202"/>
      <c r="I1168" s="207"/>
      <c r="J1168" s="207"/>
      <c r="K1168" s="207"/>
      <c r="L1168" s="207"/>
      <c r="M1168" s="207"/>
    </row>
    <row r="1169" spans="1:13">
      <c r="A1169" s="211"/>
      <c r="B1169" s="212"/>
      <c r="C1169" s="212"/>
      <c r="D1169" s="202"/>
      <c r="E1169" s="214"/>
      <c r="F1169" s="202"/>
      <c r="G1169" s="206"/>
      <c r="H1169" s="202"/>
      <c r="I1169" s="207"/>
      <c r="J1169" s="207"/>
      <c r="K1169" s="207"/>
      <c r="L1169" s="207"/>
      <c r="M1169" s="207"/>
    </row>
    <row r="1170" spans="1:13">
      <c r="A1170" s="211"/>
      <c r="B1170" s="212"/>
      <c r="C1170" s="212"/>
      <c r="D1170" s="202"/>
      <c r="E1170" s="214"/>
      <c r="F1170" s="202"/>
      <c r="G1170" s="206"/>
      <c r="H1170" s="202"/>
      <c r="I1170" s="207"/>
      <c r="J1170" s="207"/>
      <c r="K1170" s="207"/>
      <c r="L1170" s="207"/>
      <c r="M1170" s="207"/>
    </row>
    <row r="1171" spans="1:13">
      <c r="A1171" s="211"/>
      <c r="B1171" s="212"/>
      <c r="C1171" s="212"/>
      <c r="D1171" s="202"/>
      <c r="E1171" s="214"/>
      <c r="F1171" s="202"/>
      <c r="G1171" s="206"/>
      <c r="H1171" s="202"/>
      <c r="I1171" s="207"/>
      <c r="J1171" s="207"/>
      <c r="K1171" s="207"/>
      <c r="L1171" s="207"/>
      <c r="M1171" s="207"/>
    </row>
    <row r="1172" spans="1:13">
      <c r="A1172" s="211"/>
      <c r="B1172" s="212"/>
      <c r="C1172" s="212"/>
      <c r="D1172" s="202"/>
      <c r="E1172" s="214"/>
      <c r="F1172" s="202"/>
      <c r="G1172" s="206"/>
      <c r="H1172" s="202"/>
      <c r="I1172" s="207"/>
      <c r="J1172" s="207"/>
      <c r="K1172" s="207"/>
      <c r="L1172" s="207"/>
      <c r="M1172" s="207"/>
    </row>
    <row r="1173" spans="1:13">
      <c r="A1173" s="211"/>
      <c r="B1173" s="212"/>
      <c r="C1173" s="212"/>
      <c r="D1173" s="202"/>
      <c r="E1173" s="214"/>
      <c r="F1173" s="202"/>
      <c r="G1173" s="206"/>
      <c r="H1173" s="202"/>
      <c r="I1173" s="207"/>
      <c r="J1173" s="207"/>
      <c r="K1173" s="207"/>
      <c r="L1173" s="207"/>
      <c r="M1173" s="207"/>
    </row>
    <row r="1174" spans="1:13">
      <c r="A1174" s="211"/>
      <c r="B1174" s="212"/>
      <c r="C1174" s="212"/>
      <c r="D1174" s="202"/>
      <c r="E1174" s="214"/>
      <c r="F1174" s="202"/>
      <c r="G1174" s="206"/>
      <c r="H1174" s="202"/>
      <c r="I1174" s="207"/>
      <c r="J1174" s="207"/>
      <c r="K1174" s="207"/>
      <c r="L1174" s="207"/>
      <c r="M1174" s="207"/>
    </row>
    <row r="1175" spans="1:13">
      <c r="A1175" s="211"/>
      <c r="B1175" s="212"/>
      <c r="C1175" s="212"/>
      <c r="D1175" s="202"/>
      <c r="E1175" s="214"/>
      <c r="F1175" s="202"/>
      <c r="G1175" s="206"/>
      <c r="H1175" s="202"/>
      <c r="I1175" s="207"/>
      <c r="J1175" s="207"/>
      <c r="K1175" s="207"/>
      <c r="L1175" s="207"/>
      <c r="M1175" s="207"/>
    </row>
    <row r="1176" spans="1:13">
      <c r="A1176" s="211"/>
      <c r="B1176" s="212"/>
      <c r="C1176" s="212"/>
      <c r="D1176" s="202"/>
      <c r="E1176" s="214"/>
      <c r="F1176" s="202"/>
      <c r="G1176" s="206"/>
      <c r="H1176" s="202"/>
      <c r="I1176" s="207"/>
      <c r="J1176" s="207"/>
      <c r="K1176" s="207"/>
      <c r="L1176" s="207"/>
      <c r="M1176" s="207"/>
    </row>
    <row r="1177" spans="1:13">
      <c r="A1177" s="211"/>
      <c r="B1177" s="212"/>
      <c r="C1177" s="212"/>
      <c r="D1177" s="202"/>
      <c r="E1177" s="214"/>
      <c r="F1177" s="202"/>
      <c r="G1177" s="206"/>
      <c r="H1177" s="202"/>
      <c r="I1177" s="207"/>
      <c r="J1177" s="207"/>
      <c r="K1177" s="207"/>
      <c r="L1177" s="207"/>
      <c r="M1177" s="207"/>
    </row>
    <row r="1178" spans="1:13">
      <c r="A1178" s="211"/>
      <c r="B1178" s="212"/>
      <c r="C1178" s="212"/>
      <c r="D1178" s="202"/>
      <c r="E1178" s="214"/>
      <c r="F1178" s="202"/>
      <c r="G1178" s="206"/>
      <c r="H1178" s="202"/>
      <c r="I1178" s="207"/>
      <c r="J1178" s="207"/>
      <c r="K1178" s="207"/>
      <c r="L1178" s="207"/>
      <c r="M1178" s="207"/>
    </row>
    <row r="1179" spans="1:13">
      <c r="A1179" s="211"/>
      <c r="B1179" s="212"/>
      <c r="C1179" s="212"/>
      <c r="D1179" s="202"/>
      <c r="E1179" s="214"/>
      <c r="F1179" s="202"/>
      <c r="G1179" s="206"/>
      <c r="H1179" s="202"/>
      <c r="I1179" s="207"/>
      <c r="J1179" s="207"/>
      <c r="K1179" s="207"/>
      <c r="L1179" s="207"/>
      <c r="M1179" s="207"/>
    </row>
    <row r="1180" spans="1:13">
      <c r="A1180" s="211"/>
      <c r="B1180" s="212"/>
      <c r="C1180" s="212"/>
      <c r="D1180" s="202"/>
      <c r="E1180" s="214"/>
      <c r="F1180" s="202"/>
      <c r="G1180" s="206"/>
      <c r="H1180" s="202"/>
      <c r="I1180" s="207"/>
      <c r="J1180" s="207"/>
      <c r="K1180" s="207"/>
      <c r="L1180" s="207"/>
      <c r="M1180" s="207"/>
    </row>
    <row r="1181" spans="1:13">
      <c r="A1181" s="211"/>
      <c r="B1181" s="212"/>
      <c r="C1181" s="212"/>
      <c r="D1181" s="202"/>
      <c r="E1181" s="214"/>
      <c r="F1181" s="202"/>
      <c r="G1181" s="206"/>
      <c r="H1181" s="202"/>
      <c r="I1181" s="207"/>
      <c r="J1181" s="207"/>
      <c r="K1181" s="207"/>
      <c r="L1181" s="207"/>
      <c r="M1181" s="207"/>
    </row>
    <row r="1182" spans="1:13">
      <c r="A1182" s="211"/>
      <c r="B1182" s="212"/>
      <c r="C1182" s="212"/>
      <c r="D1182" s="202"/>
      <c r="E1182" s="214"/>
      <c r="F1182" s="202"/>
      <c r="G1182" s="206"/>
      <c r="H1182" s="202"/>
      <c r="I1182" s="207"/>
      <c r="J1182" s="207"/>
      <c r="K1182" s="207"/>
      <c r="L1182" s="207"/>
      <c r="M1182" s="207"/>
    </row>
    <row r="1183" spans="1:13">
      <c r="A1183" s="211"/>
      <c r="B1183" s="212"/>
      <c r="C1183" s="212"/>
      <c r="D1183" s="202"/>
      <c r="E1183" s="214"/>
      <c r="F1183" s="202"/>
      <c r="G1183" s="206"/>
      <c r="H1183" s="202"/>
      <c r="I1183" s="207"/>
      <c r="J1183" s="207"/>
      <c r="K1183" s="207"/>
      <c r="L1183" s="207"/>
      <c r="M1183" s="207"/>
    </row>
    <row r="1184" spans="1:13">
      <c r="A1184" s="211"/>
      <c r="B1184" s="212"/>
      <c r="C1184" s="212"/>
      <c r="D1184" s="202"/>
      <c r="E1184" s="214"/>
      <c r="F1184" s="202"/>
      <c r="G1184" s="206"/>
      <c r="H1184" s="202"/>
      <c r="I1184" s="207"/>
      <c r="J1184" s="207"/>
      <c r="K1184" s="207"/>
      <c r="L1184" s="207"/>
      <c r="M1184" s="207"/>
    </row>
    <row r="1185" spans="1:13">
      <c r="A1185" s="211"/>
      <c r="B1185" s="212"/>
      <c r="C1185" s="212"/>
      <c r="D1185" s="202"/>
      <c r="E1185" s="214"/>
      <c r="F1185" s="202"/>
      <c r="G1185" s="206"/>
      <c r="H1185" s="202"/>
      <c r="I1185" s="207"/>
      <c r="J1185" s="207"/>
      <c r="K1185" s="207"/>
      <c r="L1185" s="207"/>
      <c r="M1185" s="207"/>
    </row>
    <row r="1186" spans="1:13">
      <c r="A1186" s="211"/>
      <c r="B1186" s="212"/>
      <c r="C1186" s="212"/>
      <c r="D1186" s="202"/>
      <c r="E1186" s="214"/>
      <c r="F1186" s="202"/>
      <c r="G1186" s="206"/>
      <c r="H1186" s="202"/>
      <c r="I1186" s="207"/>
      <c r="J1186" s="207"/>
      <c r="K1186" s="207"/>
      <c r="L1186" s="207"/>
      <c r="M1186" s="207"/>
    </row>
    <row r="1187" spans="1:13">
      <c r="A1187" s="211"/>
      <c r="B1187" s="212"/>
      <c r="C1187" s="212"/>
      <c r="D1187" s="202"/>
      <c r="E1187" s="214"/>
      <c r="F1187" s="202"/>
      <c r="G1187" s="206"/>
      <c r="H1187" s="202"/>
      <c r="I1187" s="207"/>
      <c r="J1187" s="207"/>
      <c r="K1187" s="207"/>
      <c r="L1187" s="207"/>
      <c r="M1187" s="207"/>
    </row>
    <row r="1188" spans="1:13">
      <c r="A1188" s="211"/>
      <c r="B1188" s="212"/>
      <c r="C1188" s="212"/>
      <c r="D1188" s="202"/>
      <c r="E1188" s="214"/>
      <c r="F1188" s="202"/>
      <c r="G1188" s="206"/>
      <c r="H1188" s="202"/>
      <c r="I1188" s="207"/>
      <c r="J1188" s="207"/>
      <c r="K1188" s="207"/>
      <c r="L1188" s="207"/>
      <c r="M1188" s="207"/>
    </row>
    <row r="1189" spans="1:13">
      <c r="A1189" s="211"/>
      <c r="B1189" s="212"/>
      <c r="C1189" s="212"/>
      <c r="D1189" s="202"/>
      <c r="E1189" s="214"/>
      <c r="F1189" s="202"/>
      <c r="G1189" s="206"/>
      <c r="H1189" s="202"/>
      <c r="I1189" s="207"/>
      <c r="J1189" s="207"/>
      <c r="K1189" s="207"/>
      <c r="L1189" s="207"/>
      <c r="M1189" s="207"/>
    </row>
    <row r="1190" spans="1:13">
      <c r="A1190" s="211"/>
      <c r="B1190" s="212"/>
      <c r="C1190" s="212"/>
      <c r="D1190" s="202"/>
      <c r="E1190" s="214"/>
      <c r="F1190" s="202"/>
      <c r="G1190" s="206"/>
      <c r="H1190" s="202"/>
      <c r="I1190" s="207"/>
      <c r="J1190" s="207"/>
      <c r="K1190" s="207"/>
      <c r="L1190" s="207"/>
      <c r="M1190" s="207"/>
    </row>
    <row r="1191" spans="1:13">
      <c r="A1191" s="211"/>
      <c r="B1191" s="212"/>
      <c r="C1191" s="212"/>
      <c r="D1191" s="202"/>
      <c r="E1191" s="214"/>
      <c r="F1191" s="202"/>
      <c r="G1191" s="206"/>
      <c r="H1191" s="202"/>
      <c r="I1191" s="207"/>
      <c r="J1191" s="207"/>
      <c r="K1191" s="207"/>
      <c r="L1191" s="207"/>
      <c r="M1191" s="207"/>
    </row>
    <row r="1192" spans="1:13">
      <c r="A1192" s="211"/>
      <c r="B1192" s="212"/>
      <c r="C1192" s="212"/>
      <c r="D1192" s="202"/>
      <c r="E1192" s="214"/>
      <c r="F1192" s="202"/>
      <c r="G1192" s="206"/>
      <c r="H1192" s="202"/>
      <c r="I1192" s="207"/>
      <c r="J1192" s="207"/>
      <c r="K1192" s="207"/>
      <c r="L1192" s="207"/>
      <c r="M1192" s="207"/>
    </row>
    <row r="1193" spans="1:13">
      <c r="A1193" s="211"/>
      <c r="B1193" s="212"/>
      <c r="C1193" s="212"/>
      <c r="D1193" s="202"/>
      <c r="E1193" s="214"/>
      <c r="F1193" s="202"/>
      <c r="G1193" s="206"/>
      <c r="H1193" s="202"/>
      <c r="I1193" s="207"/>
      <c r="J1193" s="207"/>
      <c r="K1193" s="207"/>
      <c r="L1193" s="207"/>
      <c r="M1193" s="207"/>
    </row>
    <row r="1194" spans="1:13">
      <c r="A1194" s="211"/>
      <c r="B1194" s="212"/>
      <c r="C1194" s="212"/>
      <c r="D1194" s="202"/>
      <c r="E1194" s="214"/>
      <c r="F1194" s="202"/>
      <c r="G1194" s="206"/>
      <c r="H1194" s="202"/>
      <c r="I1194" s="207"/>
      <c r="J1194" s="207"/>
      <c r="K1194" s="207"/>
      <c r="L1194" s="207"/>
      <c r="M1194" s="207"/>
    </row>
    <row r="1195" spans="1:13">
      <c r="A1195" s="211"/>
      <c r="B1195" s="212"/>
      <c r="C1195" s="212"/>
      <c r="D1195" s="202"/>
      <c r="E1195" s="214"/>
      <c r="F1195" s="202"/>
      <c r="G1195" s="206"/>
      <c r="H1195" s="202"/>
      <c r="I1195" s="207"/>
      <c r="J1195" s="207"/>
      <c r="K1195" s="207"/>
      <c r="L1195" s="207"/>
      <c r="M1195" s="207"/>
    </row>
    <row r="1196" spans="1:13">
      <c r="A1196" s="211"/>
      <c r="B1196" s="212"/>
      <c r="C1196" s="212"/>
      <c r="D1196" s="202"/>
      <c r="E1196" s="214"/>
      <c r="F1196" s="202"/>
      <c r="G1196" s="206"/>
      <c r="H1196" s="202"/>
      <c r="I1196" s="207"/>
      <c r="J1196" s="207"/>
      <c r="K1196" s="207"/>
      <c r="L1196" s="207"/>
      <c r="M1196" s="207"/>
    </row>
    <row r="1197" spans="1:13">
      <c r="A1197" s="211"/>
      <c r="B1197" s="212"/>
      <c r="C1197" s="212"/>
      <c r="D1197" s="202"/>
      <c r="E1197" s="214"/>
      <c r="F1197" s="202"/>
      <c r="G1197" s="206"/>
      <c r="H1197" s="202"/>
      <c r="I1197" s="207"/>
      <c r="J1197" s="207"/>
      <c r="K1197" s="207"/>
      <c r="L1197" s="207"/>
      <c r="M1197" s="207"/>
    </row>
    <row r="1198" spans="1:13">
      <c r="A1198" s="211"/>
      <c r="B1198" s="212"/>
      <c r="C1198" s="212"/>
      <c r="D1198" s="202"/>
      <c r="E1198" s="214"/>
      <c r="F1198" s="202"/>
      <c r="G1198" s="206"/>
      <c r="H1198" s="202"/>
      <c r="I1198" s="207"/>
      <c r="J1198" s="207"/>
      <c r="K1198" s="207"/>
      <c r="L1198" s="207"/>
      <c r="M1198" s="207"/>
    </row>
    <row r="1199" spans="1:13">
      <c r="A1199" s="211"/>
      <c r="B1199" s="212"/>
      <c r="C1199" s="212"/>
      <c r="D1199" s="202"/>
      <c r="E1199" s="214"/>
      <c r="F1199" s="202"/>
      <c r="G1199" s="206"/>
      <c r="H1199" s="202"/>
      <c r="I1199" s="207"/>
      <c r="J1199" s="207"/>
      <c r="K1199" s="207"/>
      <c r="L1199" s="207"/>
      <c r="M1199" s="207"/>
    </row>
    <row r="1200" spans="1:13">
      <c r="A1200" s="211"/>
      <c r="B1200" s="212"/>
      <c r="C1200" s="212"/>
      <c r="D1200" s="202"/>
      <c r="E1200" s="214"/>
      <c r="F1200" s="202"/>
      <c r="G1200" s="206"/>
      <c r="H1200" s="202"/>
      <c r="I1200" s="207"/>
      <c r="J1200" s="207"/>
      <c r="K1200" s="207"/>
      <c r="L1200" s="207"/>
      <c r="M1200" s="207"/>
    </row>
    <row r="1201" spans="1:13">
      <c r="A1201" s="211"/>
      <c r="B1201" s="212"/>
      <c r="C1201" s="212"/>
      <c r="D1201" s="202"/>
      <c r="E1201" s="214"/>
      <c r="F1201" s="202"/>
      <c r="G1201" s="206"/>
      <c r="H1201" s="202"/>
      <c r="I1201" s="207"/>
      <c r="J1201" s="207"/>
      <c r="K1201" s="207"/>
      <c r="L1201" s="207"/>
      <c r="M1201" s="207"/>
    </row>
    <row r="1202" spans="1:13">
      <c r="A1202" s="211"/>
      <c r="B1202" s="212"/>
      <c r="C1202" s="212"/>
      <c r="D1202" s="202"/>
      <c r="E1202" s="214"/>
      <c r="F1202" s="202"/>
      <c r="G1202" s="206"/>
      <c r="H1202" s="202"/>
      <c r="I1202" s="207"/>
      <c r="J1202" s="207"/>
      <c r="K1202" s="207"/>
      <c r="L1202" s="207"/>
      <c r="M1202" s="207"/>
    </row>
    <row r="1203" spans="1:13">
      <c r="A1203" s="211"/>
      <c r="B1203" s="212"/>
      <c r="C1203" s="212"/>
      <c r="D1203" s="202"/>
      <c r="E1203" s="214"/>
      <c r="F1203" s="202"/>
      <c r="G1203" s="206"/>
      <c r="H1203" s="202"/>
      <c r="I1203" s="207"/>
      <c r="J1203" s="207"/>
      <c r="K1203" s="207"/>
      <c r="L1203" s="207"/>
      <c r="M1203" s="207"/>
    </row>
    <row r="1204" spans="1:13">
      <c r="A1204" s="211"/>
      <c r="B1204" s="212"/>
      <c r="C1204" s="212"/>
      <c r="D1204" s="202"/>
      <c r="E1204" s="214"/>
      <c r="F1204" s="202"/>
      <c r="G1204" s="206"/>
      <c r="H1204" s="202"/>
      <c r="I1204" s="207"/>
      <c r="J1204" s="207"/>
      <c r="K1204" s="207"/>
      <c r="L1204" s="207"/>
      <c r="M1204" s="207"/>
    </row>
    <row r="1205" spans="1:13">
      <c r="A1205" s="211"/>
      <c r="B1205" s="212"/>
      <c r="C1205" s="212"/>
      <c r="D1205" s="202"/>
      <c r="E1205" s="214"/>
      <c r="F1205" s="202"/>
      <c r="G1205" s="206"/>
      <c r="H1205" s="202"/>
      <c r="I1205" s="207"/>
      <c r="J1205" s="207"/>
      <c r="K1205" s="207"/>
      <c r="L1205" s="207"/>
      <c r="M1205" s="207"/>
    </row>
    <row r="1206" spans="1:13">
      <c r="A1206" s="211"/>
      <c r="B1206" s="212"/>
      <c r="C1206" s="212"/>
      <c r="D1206" s="202"/>
      <c r="E1206" s="214"/>
      <c r="F1206" s="202"/>
      <c r="G1206" s="206"/>
      <c r="H1206" s="202"/>
      <c r="I1206" s="207"/>
      <c r="J1206" s="207"/>
      <c r="K1206" s="207"/>
      <c r="L1206" s="207"/>
      <c r="M1206" s="207"/>
    </row>
    <row r="1207" spans="1:13">
      <c r="A1207" s="211"/>
      <c r="B1207" s="212"/>
      <c r="C1207" s="212"/>
      <c r="D1207" s="202"/>
      <c r="E1207" s="214"/>
      <c r="F1207" s="202"/>
      <c r="G1207" s="206"/>
      <c r="H1207" s="202"/>
      <c r="I1207" s="207"/>
      <c r="J1207" s="207"/>
      <c r="K1207" s="207"/>
      <c r="L1207" s="207"/>
      <c r="M1207" s="207"/>
    </row>
    <row r="1208" spans="1:13">
      <c r="A1208" s="211"/>
      <c r="B1208" s="212"/>
      <c r="C1208" s="212"/>
      <c r="D1208" s="202"/>
      <c r="E1208" s="214"/>
      <c r="F1208" s="202"/>
      <c r="G1208" s="206"/>
      <c r="H1208" s="202"/>
      <c r="I1208" s="207"/>
      <c r="J1208" s="207"/>
      <c r="K1208" s="207"/>
      <c r="L1208" s="207"/>
      <c r="M1208" s="207"/>
    </row>
    <row r="1209" spans="1:13">
      <c r="A1209" s="211"/>
      <c r="B1209" s="212"/>
      <c r="C1209" s="212"/>
      <c r="D1209" s="202"/>
      <c r="E1209" s="214"/>
      <c r="F1209" s="202"/>
      <c r="G1209" s="206"/>
      <c r="H1209" s="202"/>
      <c r="I1209" s="207"/>
      <c r="J1209" s="207"/>
      <c r="K1209" s="207"/>
      <c r="L1209" s="207"/>
      <c r="M1209" s="207"/>
    </row>
    <row r="1210" spans="1:13">
      <c r="A1210" s="211"/>
      <c r="B1210" s="212"/>
      <c r="C1210" s="212"/>
      <c r="D1210" s="202"/>
      <c r="E1210" s="214"/>
      <c r="F1210" s="202"/>
      <c r="G1210" s="206"/>
      <c r="H1210" s="202"/>
      <c r="I1210" s="207"/>
      <c r="J1210" s="207"/>
      <c r="K1210" s="207"/>
      <c r="L1210" s="207"/>
      <c r="M1210" s="207"/>
    </row>
    <row r="1211" spans="1:13">
      <c r="A1211" s="211"/>
      <c r="B1211" s="212"/>
      <c r="C1211" s="212"/>
      <c r="D1211" s="202"/>
      <c r="E1211" s="214"/>
      <c r="F1211" s="202"/>
      <c r="G1211" s="206"/>
      <c r="H1211" s="202"/>
      <c r="I1211" s="207"/>
      <c r="J1211" s="207"/>
      <c r="K1211" s="207"/>
      <c r="L1211" s="207"/>
      <c r="M1211" s="207"/>
    </row>
    <row r="1212" spans="1:13">
      <c r="A1212" s="211"/>
      <c r="B1212" s="212"/>
      <c r="C1212" s="212"/>
      <c r="D1212" s="202"/>
      <c r="E1212" s="214"/>
      <c r="F1212" s="202"/>
      <c r="G1212" s="206"/>
      <c r="H1212" s="202"/>
      <c r="I1212" s="207"/>
      <c r="J1212" s="207"/>
      <c r="K1212" s="207"/>
      <c r="L1212" s="207"/>
      <c r="M1212" s="207"/>
    </row>
    <row r="1213" spans="1:13">
      <c r="A1213" s="211"/>
      <c r="B1213" s="212"/>
      <c r="C1213" s="212"/>
      <c r="D1213" s="202"/>
      <c r="E1213" s="214"/>
      <c r="F1213" s="202"/>
      <c r="G1213" s="206"/>
      <c r="H1213" s="202"/>
      <c r="I1213" s="207"/>
      <c r="J1213" s="207"/>
      <c r="K1213" s="207"/>
      <c r="L1213" s="207"/>
      <c r="M1213" s="207"/>
    </row>
    <row r="1214" spans="1:13">
      <c r="A1214" s="211"/>
      <c r="B1214" s="212"/>
      <c r="C1214" s="212"/>
      <c r="D1214" s="202"/>
      <c r="E1214" s="214"/>
      <c r="F1214" s="202"/>
      <c r="G1214" s="206"/>
      <c r="H1214" s="202"/>
      <c r="I1214" s="207"/>
      <c r="J1214" s="207"/>
      <c r="K1214" s="207"/>
      <c r="L1214" s="207"/>
      <c r="M1214" s="207"/>
    </row>
    <row r="1215" spans="1:13">
      <c r="A1215" s="211"/>
      <c r="B1215" s="212"/>
      <c r="C1215" s="212"/>
      <c r="D1215" s="202"/>
      <c r="E1215" s="214"/>
      <c r="F1215" s="202"/>
      <c r="G1215" s="206"/>
      <c r="H1215" s="202"/>
      <c r="I1215" s="207"/>
      <c r="J1215" s="207"/>
      <c r="K1215" s="207"/>
      <c r="L1215" s="207"/>
      <c r="M1215" s="207"/>
    </row>
    <row r="1216" spans="1:13">
      <c r="A1216" s="211"/>
      <c r="B1216" s="212"/>
      <c r="C1216" s="212"/>
      <c r="D1216" s="202"/>
      <c r="E1216" s="214"/>
      <c r="F1216" s="202"/>
      <c r="G1216" s="206"/>
      <c r="H1216" s="202"/>
      <c r="I1216" s="207"/>
      <c r="J1216" s="207"/>
      <c r="K1216" s="207"/>
      <c r="L1216" s="207"/>
      <c r="M1216" s="207"/>
    </row>
    <row r="1217" spans="1:13">
      <c r="A1217" s="211"/>
      <c r="B1217" s="212"/>
      <c r="C1217" s="212"/>
      <c r="D1217" s="202"/>
      <c r="E1217" s="214"/>
      <c r="F1217" s="202"/>
      <c r="G1217" s="206"/>
      <c r="H1217" s="202"/>
      <c r="I1217" s="207"/>
      <c r="J1217" s="207"/>
      <c r="K1217" s="207"/>
      <c r="L1217" s="207"/>
      <c r="M1217" s="207"/>
    </row>
    <row r="1218" spans="1:13">
      <c r="A1218" s="211"/>
      <c r="B1218" s="212"/>
      <c r="C1218" s="212"/>
      <c r="D1218" s="202"/>
      <c r="E1218" s="214"/>
      <c r="F1218" s="202"/>
      <c r="G1218" s="206"/>
      <c r="H1218" s="202"/>
      <c r="I1218" s="207"/>
      <c r="J1218" s="207"/>
      <c r="K1218" s="207"/>
      <c r="L1218" s="207"/>
      <c r="M1218" s="207"/>
    </row>
    <row r="1219" spans="1:13">
      <c r="A1219" s="211"/>
      <c r="B1219" s="212"/>
      <c r="C1219" s="212"/>
      <c r="D1219" s="202"/>
      <c r="E1219" s="214"/>
      <c r="F1219" s="202"/>
      <c r="G1219" s="206"/>
      <c r="H1219" s="202"/>
      <c r="I1219" s="207"/>
      <c r="J1219" s="207"/>
      <c r="K1219" s="207"/>
      <c r="L1219" s="207"/>
      <c r="M1219" s="207"/>
    </row>
    <row r="1220" spans="1:13">
      <c r="A1220" s="211"/>
      <c r="B1220" s="212"/>
      <c r="C1220" s="212"/>
      <c r="D1220" s="202"/>
      <c r="E1220" s="214"/>
      <c r="F1220" s="202"/>
      <c r="G1220" s="206"/>
      <c r="H1220" s="202"/>
      <c r="I1220" s="207"/>
      <c r="J1220" s="207"/>
      <c r="K1220" s="207"/>
      <c r="L1220" s="207"/>
      <c r="M1220" s="207"/>
    </row>
    <row r="1221" spans="1:13">
      <c r="A1221" s="211"/>
      <c r="B1221" s="212"/>
      <c r="C1221" s="212"/>
      <c r="D1221" s="202"/>
      <c r="E1221" s="214"/>
      <c r="F1221" s="202"/>
      <c r="G1221" s="206"/>
      <c r="H1221" s="202"/>
      <c r="I1221" s="207"/>
      <c r="J1221" s="207"/>
      <c r="K1221" s="207"/>
      <c r="L1221" s="207"/>
      <c r="M1221" s="207"/>
    </row>
    <row r="1222" spans="1:13">
      <c r="A1222" s="211"/>
      <c r="B1222" s="212"/>
      <c r="C1222" s="212"/>
      <c r="D1222" s="202"/>
      <c r="E1222" s="214"/>
      <c r="F1222" s="202"/>
      <c r="G1222" s="206"/>
      <c r="H1222" s="202"/>
      <c r="I1222" s="207"/>
      <c r="J1222" s="207"/>
      <c r="K1222" s="207"/>
      <c r="L1222" s="207"/>
      <c r="M1222" s="207"/>
    </row>
    <row r="1223" spans="1:13">
      <c r="A1223" s="211"/>
      <c r="B1223" s="212"/>
      <c r="C1223" s="212"/>
      <c r="D1223" s="202"/>
      <c r="E1223" s="214"/>
      <c r="F1223" s="202"/>
      <c r="G1223" s="206"/>
      <c r="H1223" s="202"/>
      <c r="I1223" s="207"/>
      <c r="J1223" s="207"/>
      <c r="K1223" s="207"/>
      <c r="L1223" s="207"/>
      <c r="M1223" s="207"/>
    </row>
    <row r="1224" spans="1:13">
      <c r="A1224" s="211"/>
      <c r="B1224" s="212"/>
      <c r="C1224" s="212"/>
      <c r="D1224" s="202"/>
      <c r="E1224" s="214"/>
      <c r="F1224" s="202"/>
      <c r="G1224" s="206"/>
      <c r="H1224" s="202"/>
      <c r="I1224" s="207"/>
      <c r="J1224" s="207"/>
      <c r="K1224" s="207"/>
      <c r="L1224" s="207"/>
      <c r="M1224" s="207"/>
    </row>
    <row r="1225" spans="1:13">
      <c r="A1225" s="211"/>
      <c r="B1225" s="212"/>
      <c r="C1225" s="212"/>
      <c r="D1225" s="202"/>
      <c r="E1225" s="214"/>
      <c r="F1225" s="202"/>
      <c r="G1225" s="206"/>
      <c r="H1225" s="202"/>
      <c r="I1225" s="207"/>
      <c r="J1225" s="207"/>
      <c r="K1225" s="207"/>
      <c r="L1225" s="207"/>
      <c r="M1225" s="207"/>
    </row>
    <row r="1226" spans="1:13">
      <c r="A1226" s="211"/>
      <c r="B1226" s="212"/>
      <c r="C1226" s="212"/>
      <c r="D1226" s="202"/>
      <c r="E1226" s="214"/>
      <c r="F1226" s="202"/>
      <c r="G1226" s="206"/>
      <c r="H1226" s="202"/>
      <c r="I1226" s="207"/>
      <c r="J1226" s="207"/>
      <c r="K1226" s="207"/>
      <c r="L1226" s="207"/>
      <c r="M1226" s="207"/>
    </row>
    <row r="1227" spans="1:13">
      <c r="A1227" s="211"/>
      <c r="B1227" s="212"/>
      <c r="C1227" s="212"/>
      <c r="D1227" s="202"/>
      <c r="E1227" s="214"/>
      <c r="F1227" s="202"/>
      <c r="G1227" s="206"/>
      <c r="H1227" s="202"/>
      <c r="I1227" s="207"/>
      <c r="J1227" s="207"/>
      <c r="K1227" s="207"/>
      <c r="L1227" s="207"/>
      <c r="M1227" s="207"/>
    </row>
    <row r="1228" spans="1:13">
      <c r="A1228" s="211"/>
      <c r="B1228" s="212"/>
      <c r="C1228" s="212"/>
      <c r="D1228" s="202"/>
      <c r="E1228" s="214"/>
      <c r="F1228" s="202"/>
      <c r="G1228" s="206"/>
      <c r="H1228" s="202"/>
      <c r="I1228" s="207"/>
      <c r="J1228" s="207"/>
      <c r="K1228" s="207"/>
      <c r="L1228" s="207"/>
      <c r="M1228" s="207"/>
    </row>
    <row r="1229" spans="1:13">
      <c r="A1229" s="211"/>
      <c r="B1229" s="212"/>
      <c r="C1229" s="212"/>
      <c r="D1229" s="202"/>
      <c r="E1229" s="214"/>
      <c r="F1229" s="202"/>
      <c r="G1229" s="206"/>
      <c r="H1229" s="202"/>
      <c r="I1229" s="207"/>
      <c r="J1229" s="207"/>
      <c r="K1229" s="207"/>
      <c r="L1229" s="207"/>
      <c r="M1229" s="207"/>
    </row>
    <row r="1230" spans="1:13">
      <c r="A1230" s="211"/>
      <c r="B1230" s="212"/>
      <c r="C1230" s="212"/>
      <c r="D1230" s="202"/>
      <c r="E1230" s="214"/>
      <c r="F1230" s="202"/>
      <c r="G1230" s="206"/>
      <c r="H1230" s="202"/>
      <c r="I1230" s="207"/>
      <c r="J1230" s="207"/>
      <c r="K1230" s="207"/>
      <c r="L1230" s="207"/>
      <c r="M1230" s="207"/>
    </row>
    <row r="1231" spans="1:13">
      <c r="A1231" s="211"/>
      <c r="B1231" s="212"/>
      <c r="C1231" s="212"/>
      <c r="D1231" s="202"/>
      <c r="E1231" s="214"/>
      <c r="F1231" s="202"/>
      <c r="G1231" s="206"/>
      <c r="H1231" s="202"/>
      <c r="I1231" s="207"/>
      <c r="J1231" s="207"/>
      <c r="K1231" s="207"/>
      <c r="L1231" s="207"/>
      <c r="M1231" s="207"/>
    </row>
    <row r="1232" spans="1:13">
      <c r="A1232" s="211"/>
      <c r="B1232" s="212"/>
      <c r="C1232" s="212"/>
      <c r="D1232" s="202"/>
      <c r="E1232" s="214"/>
      <c r="F1232" s="202"/>
      <c r="G1232" s="206"/>
      <c r="H1232" s="202"/>
      <c r="I1232" s="207"/>
      <c r="J1232" s="207"/>
      <c r="K1232" s="207"/>
      <c r="L1232" s="207"/>
      <c r="M1232" s="207"/>
    </row>
    <row r="1233" spans="1:13">
      <c r="A1233" s="211"/>
      <c r="B1233" s="212"/>
      <c r="C1233" s="212"/>
      <c r="D1233" s="202"/>
      <c r="E1233" s="214"/>
      <c r="F1233" s="202"/>
      <c r="G1233" s="206"/>
      <c r="H1233" s="202"/>
      <c r="I1233" s="207"/>
      <c r="J1233" s="207"/>
      <c r="K1233" s="207"/>
      <c r="L1233" s="207"/>
      <c r="M1233" s="207"/>
    </row>
    <row r="1234" spans="1:13">
      <c r="A1234" s="211"/>
      <c r="B1234" s="212"/>
      <c r="C1234" s="212"/>
      <c r="D1234" s="202"/>
      <c r="E1234" s="214"/>
      <c r="F1234" s="202"/>
      <c r="G1234" s="206"/>
      <c r="H1234" s="202"/>
      <c r="I1234" s="207"/>
      <c r="J1234" s="207"/>
      <c r="K1234" s="207"/>
      <c r="L1234" s="207"/>
      <c r="M1234" s="207"/>
    </row>
    <row r="1235" spans="1:13">
      <c r="A1235" s="211"/>
      <c r="B1235" s="212"/>
      <c r="C1235" s="212"/>
      <c r="D1235" s="202"/>
      <c r="E1235" s="214"/>
      <c r="F1235" s="202"/>
      <c r="G1235" s="206"/>
      <c r="H1235" s="202"/>
      <c r="I1235" s="207"/>
      <c r="J1235" s="207"/>
      <c r="K1235" s="207"/>
      <c r="L1235" s="207"/>
      <c r="M1235" s="207"/>
    </row>
    <row r="1236" spans="1:13">
      <c r="A1236" s="211"/>
      <c r="B1236" s="212"/>
      <c r="C1236" s="212"/>
      <c r="D1236" s="202"/>
      <c r="E1236" s="214"/>
      <c r="F1236" s="202"/>
      <c r="G1236" s="206"/>
      <c r="H1236" s="202"/>
      <c r="I1236" s="207"/>
      <c r="J1236" s="207"/>
      <c r="K1236" s="207"/>
      <c r="L1236" s="207"/>
      <c r="M1236" s="207"/>
    </row>
    <row r="1237" spans="1:13">
      <c r="A1237" s="211"/>
      <c r="B1237" s="212"/>
      <c r="C1237" s="212"/>
      <c r="D1237" s="202"/>
      <c r="E1237" s="214"/>
      <c r="F1237" s="202"/>
      <c r="G1237" s="206"/>
      <c r="H1237" s="202"/>
      <c r="I1237" s="207"/>
      <c r="J1237" s="207"/>
      <c r="K1237" s="207"/>
      <c r="L1237" s="207"/>
      <c r="M1237" s="207"/>
    </row>
    <row r="1238" spans="1:13">
      <c r="A1238" s="211"/>
      <c r="B1238" s="212"/>
      <c r="C1238" s="212"/>
      <c r="D1238" s="202"/>
      <c r="E1238" s="214"/>
      <c r="F1238" s="202"/>
      <c r="G1238" s="206"/>
      <c r="H1238" s="202"/>
      <c r="I1238" s="207"/>
      <c r="J1238" s="207"/>
      <c r="K1238" s="207"/>
      <c r="L1238" s="207"/>
      <c r="M1238" s="207"/>
    </row>
    <row r="1239" spans="1:13">
      <c r="A1239" s="211"/>
      <c r="B1239" s="212"/>
      <c r="C1239" s="212"/>
      <c r="D1239" s="202"/>
      <c r="E1239" s="214"/>
      <c r="F1239" s="202"/>
      <c r="G1239" s="206"/>
      <c r="H1239" s="202"/>
      <c r="I1239" s="207"/>
      <c r="J1239" s="207"/>
      <c r="K1239" s="207"/>
      <c r="L1239" s="207"/>
      <c r="M1239" s="207"/>
    </row>
    <row r="1240" spans="1:13">
      <c r="A1240" s="211"/>
      <c r="B1240" s="212"/>
      <c r="C1240" s="212"/>
      <c r="D1240" s="202"/>
      <c r="E1240" s="214"/>
      <c r="F1240" s="202"/>
      <c r="G1240" s="206"/>
      <c r="H1240" s="202"/>
      <c r="I1240" s="207"/>
      <c r="J1240" s="207"/>
      <c r="K1240" s="207"/>
      <c r="L1240" s="207"/>
      <c r="M1240" s="207"/>
    </row>
    <row r="1241" spans="1:13">
      <c r="A1241" s="211"/>
      <c r="B1241" s="212"/>
      <c r="C1241" s="212"/>
      <c r="D1241" s="202"/>
      <c r="E1241" s="214"/>
      <c r="F1241" s="202"/>
      <c r="G1241" s="206"/>
      <c r="H1241" s="202"/>
      <c r="I1241" s="207"/>
      <c r="J1241" s="207"/>
      <c r="K1241" s="207"/>
      <c r="L1241" s="207"/>
      <c r="M1241" s="207"/>
    </row>
    <row r="1242" spans="1:13">
      <c r="A1242" s="211"/>
      <c r="B1242" s="212"/>
      <c r="C1242" s="212"/>
      <c r="D1242" s="202"/>
      <c r="E1242" s="214"/>
      <c r="F1242" s="202"/>
      <c r="G1242" s="206"/>
      <c r="H1242" s="202"/>
      <c r="I1242" s="207"/>
      <c r="J1242" s="207"/>
      <c r="K1242" s="207"/>
      <c r="L1242" s="207"/>
      <c r="M1242" s="207"/>
    </row>
    <row r="1243" spans="1:13">
      <c r="A1243" s="211"/>
      <c r="B1243" s="212"/>
      <c r="C1243" s="212"/>
      <c r="D1243" s="202"/>
      <c r="E1243" s="214"/>
      <c r="F1243" s="202"/>
      <c r="G1243" s="206"/>
      <c r="H1243" s="202"/>
      <c r="I1243" s="207"/>
      <c r="J1243" s="207"/>
      <c r="K1243" s="207"/>
      <c r="L1243" s="207"/>
      <c r="M1243" s="207"/>
    </row>
    <row r="1244" spans="1:13">
      <c r="A1244" s="211"/>
      <c r="B1244" s="212"/>
      <c r="C1244" s="212"/>
      <c r="D1244" s="202"/>
      <c r="E1244" s="214"/>
      <c r="F1244" s="202"/>
      <c r="G1244" s="206"/>
      <c r="H1244" s="202"/>
      <c r="I1244" s="207"/>
      <c r="J1244" s="207"/>
      <c r="K1244" s="207"/>
      <c r="L1244" s="207"/>
      <c r="M1244" s="207"/>
    </row>
    <row r="1245" spans="1:13">
      <c r="A1245" s="211"/>
      <c r="B1245" s="212"/>
      <c r="C1245" s="212"/>
      <c r="D1245" s="202"/>
      <c r="E1245" s="214"/>
      <c r="F1245" s="202"/>
      <c r="G1245" s="206"/>
      <c r="H1245" s="202"/>
      <c r="I1245" s="207"/>
      <c r="J1245" s="207"/>
      <c r="K1245" s="207"/>
      <c r="L1245" s="207"/>
      <c r="M1245" s="207"/>
    </row>
    <row r="1246" spans="1:13">
      <c r="A1246" s="211"/>
      <c r="B1246" s="212"/>
      <c r="C1246" s="212"/>
      <c r="D1246" s="202"/>
      <c r="E1246" s="214"/>
      <c r="F1246" s="202"/>
      <c r="G1246" s="206"/>
      <c r="H1246" s="202"/>
      <c r="I1246" s="207"/>
      <c r="J1246" s="207"/>
      <c r="K1246" s="207"/>
      <c r="L1246" s="207"/>
      <c r="M1246" s="207"/>
    </row>
    <row r="1247" spans="1:13">
      <c r="A1247" s="211"/>
      <c r="B1247" s="212"/>
      <c r="C1247" s="212"/>
      <c r="D1247" s="202"/>
      <c r="E1247" s="214"/>
      <c r="F1247" s="202"/>
      <c r="G1247" s="206"/>
      <c r="H1247" s="202"/>
      <c r="I1247" s="207"/>
      <c r="J1247" s="207"/>
      <c r="K1247" s="207"/>
      <c r="L1247" s="207"/>
      <c r="M1247" s="207"/>
    </row>
    <row r="1248" spans="1:13">
      <c r="A1248" s="211"/>
      <c r="B1248" s="212"/>
      <c r="C1248" s="212"/>
      <c r="D1248" s="202"/>
      <c r="E1248" s="214"/>
      <c r="F1248" s="202"/>
      <c r="G1248" s="206"/>
      <c r="H1248" s="202"/>
      <c r="I1248" s="207"/>
      <c r="J1248" s="207"/>
      <c r="K1248" s="207"/>
      <c r="L1248" s="207"/>
      <c r="M1248" s="207"/>
    </row>
    <row r="1249" spans="1:13">
      <c r="A1249" s="211"/>
      <c r="B1249" s="212"/>
      <c r="C1249" s="212"/>
      <c r="D1249" s="202"/>
      <c r="E1249" s="214"/>
      <c r="F1249" s="202"/>
      <c r="G1249" s="206"/>
      <c r="H1249" s="202"/>
      <c r="I1249" s="207"/>
      <c r="J1249" s="207"/>
      <c r="K1249" s="207"/>
      <c r="L1249" s="207"/>
      <c r="M1249" s="207"/>
    </row>
    <row r="1250" spans="1:13">
      <c r="A1250" s="211"/>
      <c r="B1250" s="212"/>
      <c r="C1250" s="212"/>
      <c r="D1250" s="202"/>
      <c r="E1250" s="214"/>
      <c r="F1250" s="202"/>
      <c r="G1250" s="206"/>
      <c r="H1250" s="202"/>
      <c r="I1250" s="207"/>
      <c r="J1250" s="207"/>
      <c r="K1250" s="207"/>
      <c r="L1250" s="207"/>
      <c r="M1250" s="207"/>
    </row>
    <row r="1251" spans="1:13">
      <c r="A1251" s="211"/>
      <c r="B1251" s="212"/>
      <c r="C1251" s="212"/>
      <c r="D1251" s="202"/>
      <c r="E1251" s="214"/>
      <c r="F1251" s="202"/>
      <c r="G1251" s="206"/>
      <c r="H1251" s="202"/>
      <c r="I1251" s="207"/>
      <c r="J1251" s="207"/>
      <c r="K1251" s="207"/>
      <c r="L1251" s="207"/>
      <c r="M1251" s="207"/>
    </row>
    <row r="1252" spans="1:13">
      <c r="A1252" s="211"/>
      <c r="B1252" s="212"/>
      <c r="C1252" s="212"/>
      <c r="D1252" s="202"/>
      <c r="E1252" s="214"/>
      <c r="F1252" s="202"/>
      <c r="G1252" s="206"/>
      <c r="H1252" s="202"/>
      <c r="I1252" s="207"/>
      <c r="J1252" s="207"/>
      <c r="K1252" s="207"/>
      <c r="L1252" s="207"/>
      <c r="M1252" s="207"/>
    </row>
    <row r="1253" spans="1:13">
      <c r="A1253" s="211"/>
      <c r="B1253" s="212"/>
      <c r="C1253" s="212"/>
      <c r="D1253" s="202"/>
      <c r="E1253" s="214"/>
      <c r="F1253" s="202"/>
      <c r="G1253" s="206"/>
      <c r="H1253" s="202"/>
      <c r="I1253" s="207"/>
      <c r="J1253" s="207"/>
      <c r="K1253" s="207"/>
      <c r="L1253" s="207"/>
      <c r="M1253" s="207"/>
    </row>
    <row r="1254" spans="1:13">
      <c r="A1254" s="211"/>
      <c r="B1254" s="212"/>
      <c r="C1254" s="212"/>
      <c r="D1254" s="202"/>
      <c r="E1254" s="214"/>
      <c r="F1254" s="202"/>
      <c r="G1254" s="206"/>
      <c r="H1254" s="202"/>
      <c r="I1254" s="207"/>
      <c r="J1254" s="207"/>
      <c r="K1254" s="207"/>
      <c r="L1254" s="207"/>
      <c r="M1254" s="207"/>
    </row>
    <row r="1255" spans="1:13">
      <c r="A1255" s="211"/>
      <c r="B1255" s="212"/>
      <c r="C1255" s="212"/>
      <c r="D1255" s="202"/>
      <c r="E1255" s="214"/>
      <c r="F1255" s="202"/>
      <c r="G1255" s="206"/>
      <c r="H1255" s="202"/>
      <c r="I1255" s="207"/>
      <c r="J1255" s="207"/>
      <c r="K1255" s="207"/>
      <c r="L1255" s="207"/>
      <c r="M1255" s="207"/>
    </row>
    <row r="1256" spans="1:13">
      <c r="A1256" s="211"/>
      <c r="B1256" s="212"/>
      <c r="C1256" s="212"/>
      <c r="D1256" s="202"/>
      <c r="E1256" s="214"/>
      <c r="F1256" s="202"/>
      <c r="G1256" s="206"/>
      <c r="H1256" s="202"/>
      <c r="I1256" s="207"/>
      <c r="J1256" s="207"/>
      <c r="K1256" s="207"/>
      <c r="L1256" s="207"/>
      <c r="M1256" s="207"/>
    </row>
    <row r="1257" spans="1:13">
      <c r="A1257" s="211"/>
      <c r="B1257" s="212"/>
      <c r="C1257" s="212"/>
      <c r="D1257" s="202"/>
      <c r="E1257" s="214"/>
      <c r="F1257" s="202"/>
      <c r="G1257" s="206"/>
      <c r="H1257" s="202"/>
      <c r="I1257" s="207"/>
      <c r="J1257" s="207"/>
      <c r="K1257" s="207"/>
      <c r="L1257" s="207"/>
      <c r="M1257" s="207"/>
    </row>
    <row r="1258" spans="1:13">
      <c r="A1258" s="211"/>
      <c r="B1258" s="212"/>
      <c r="C1258" s="212"/>
      <c r="D1258" s="202"/>
      <c r="E1258" s="214"/>
      <c r="F1258" s="202"/>
      <c r="G1258" s="206"/>
      <c r="H1258" s="202"/>
      <c r="I1258" s="207"/>
      <c r="J1258" s="207"/>
      <c r="K1258" s="207"/>
      <c r="L1258" s="207"/>
      <c r="M1258" s="207"/>
    </row>
    <row r="1259" spans="1:13">
      <c r="A1259" s="211"/>
      <c r="B1259" s="212"/>
      <c r="C1259" s="212"/>
      <c r="D1259" s="202"/>
      <c r="E1259" s="214"/>
      <c r="F1259" s="202"/>
      <c r="G1259" s="206"/>
      <c r="H1259" s="202"/>
      <c r="I1259" s="207"/>
      <c r="J1259" s="207"/>
      <c r="K1259" s="207"/>
      <c r="L1259" s="207"/>
      <c r="M1259" s="207"/>
    </row>
    <row r="1260" spans="1:13">
      <c r="A1260" s="211"/>
      <c r="B1260" s="212"/>
      <c r="C1260" s="212"/>
      <c r="D1260" s="202"/>
      <c r="E1260" s="214"/>
      <c r="F1260" s="202"/>
      <c r="G1260" s="206"/>
      <c r="H1260" s="202"/>
      <c r="I1260" s="207"/>
      <c r="J1260" s="207"/>
      <c r="K1260" s="207"/>
      <c r="L1260" s="207"/>
      <c r="M1260" s="207"/>
    </row>
    <row r="1261" spans="1:13">
      <c r="A1261" s="211"/>
      <c r="B1261" s="212"/>
      <c r="C1261" s="212"/>
      <c r="D1261" s="202"/>
      <c r="E1261" s="214"/>
      <c r="F1261" s="202"/>
      <c r="G1261" s="206"/>
      <c r="H1261" s="202"/>
      <c r="I1261" s="207"/>
      <c r="J1261" s="207"/>
      <c r="K1261" s="207"/>
      <c r="L1261" s="207"/>
      <c r="M1261" s="207"/>
    </row>
    <row r="1262" spans="1:13">
      <c r="A1262" s="211"/>
      <c r="B1262" s="212"/>
      <c r="C1262" s="212"/>
      <c r="D1262" s="202"/>
      <c r="E1262" s="214"/>
      <c r="F1262" s="202"/>
      <c r="G1262" s="206"/>
      <c r="H1262" s="202"/>
      <c r="I1262" s="207"/>
      <c r="J1262" s="207"/>
      <c r="K1262" s="207"/>
      <c r="L1262" s="207"/>
      <c r="M1262" s="207"/>
    </row>
    <row r="1263" spans="1:13">
      <c r="A1263" s="211"/>
      <c r="B1263" s="212"/>
      <c r="C1263" s="212"/>
      <c r="D1263" s="202"/>
      <c r="E1263" s="214"/>
      <c r="F1263" s="202"/>
      <c r="G1263" s="206"/>
      <c r="H1263" s="202"/>
      <c r="I1263" s="207"/>
      <c r="J1263" s="207"/>
      <c r="K1263" s="207"/>
      <c r="L1263" s="207"/>
      <c r="M1263" s="207"/>
    </row>
    <row r="1264" spans="1:13">
      <c r="A1264" s="211"/>
      <c r="B1264" s="212"/>
      <c r="C1264" s="212"/>
      <c r="D1264" s="202"/>
      <c r="E1264" s="214"/>
      <c r="F1264" s="202"/>
      <c r="G1264" s="206"/>
      <c r="H1264" s="202"/>
      <c r="I1264" s="207"/>
      <c r="J1264" s="207"/>
      <c r="K1264" s="207"/>
      <c r="L1264" s="207"/>
      <c r="M1264" s="207"/>
    </row>
    <row r="1265" spans="1:13">
      <c r="A1265" s="211"/>
      <c r="B1265" s="212"/>
      <c r="C1265" s="212"/>
      <c r="D1265" s="202"/>
      <c r="E1265" s="214"/>
      <c r="F1265" s="202"/>
      <c r="G1265" s="206"/>
      <c r="H1265" s="202"/>
      <c r="I1265" s="207"/>
      <c r="J1265" s="207"/>
      <c r="K1265" s="207"/>
      <c r="L1265" s="207"/>
      <c r="M1265" s="207"/>
    </row>
    <row r="1266" spans="1:13">
      <c r="A1266" s="211"/>
      <c r="B1266" s="212"/>
      <c r="C1266" s="212"/>
      <c r="D1266" s="202"/>
      <c r="E1266" s="214"/>
      <c r="F1266" s="202"/>
      <c r="G1266" s="206"/>
      <c r="H1266" s="202"/>
      <c r="I1266" s="207"/>
      <c r="J1266" s="207"/>
      <c r="K1266" s="207"/>
      <c r="L1266" s="207"/>
      <c r="M1266" s="207"/>
    </row>
    <row r="1267" spans="1:13">
      <c r="A1267" s="211"/>
      <c r="B1267" s="212"/>
      <c r="C1267" s="212"/>
      <c r="D1267" s="202"/>
      <c r="E1267" s="214"/>
      <c r="F1267" s="202"/>
      <c r="G1267" s="206"/>
      <c r="H1267" s="202"/>
      <c r="I1267" s="207"/>
      <c r="J1267" s="207"/>
      <c r="K1267" s="207"/>
      <c r="L1267" s="207"/>
      <c r="M1267" s="207"/>
    </row>
    <row r="1268" spans="1:13">
      <c r="A1268" s="211"/>
      <c r="B1268" s="212"/>
      <c r="C1268" s="212"/>
      <c r="D1268" s="202"/>
      <c r="E1268" s="214"/>
      <c r="F1268" s="202"/>
      <c r="G1268" s="206"/>
      <c r="H1268" s="202"/>
      <c r="I1268" s="207"/>
      <c r="J1268" s="207"/>
      <c r="K1268" s="207"/>
      <c r="L1268" s="207"/>
      <c r="M1268" s="207"/>
    </row>
    <row r="1269" spans="1:13">
      <c r="A1269" s="211"/>
      <c r="B1269" s="212"/>
      <c r="C1269" s="212"/>
      <c r="D1269" s="202"/>
      <c r="E1269" s="214"/>
      <c r="F1269" s="202"/>
      <c r="G1269" s="206"/>
      <c r="H1269" s="202"/>
      <c r="I1269" s="207"/>
      <c r="J1269" s="207"/>
      <c r="K1269" s="207"/>
      <c r="L1269" s="207"/>
      <c r="M1269" s="207"/>
    </row>
    <row r="1270" spans="1:13">
      <c r="A1270" s="211"/>
      <c r="B1270" s="212"/>
      <c r="C1270" s="212"/>
      <c r="D1270" s="202"/>
      <c r="E1270" s="214"/>
      <c r="F1270" s="202"/>
      <c r="G1270" s="206"/>
      <c r="H1270" s="202"/>
      <c r="I1270" s="207"/>
      <c r="J1270" s="207"/>
      <c r="K1270" s="207"/>
      <c r="L1270" s="207"/>
      <c r="M1270" s="207"/>
    </row>
    <row r="1271" spans="1:13">
      <c r="A1271" s="211"/>
      <c r="B1271" s="212"/>
      <c r="C1271" s="212"/>
      <c r="D1271" s="202"/>
      <c r="E1271" s="214"/>
      <c r="F1271" s="202"/>
      <c r="G1271" s="206"/>
      <c r="H1271" s="202"/>
      <c r="I1271" s="207"/>
      <c r="J1271" s="207"/>
      <c r="K1271" s="207"/>
      <c r="L1271" s="207"/>
      <c r="M1271" s="207"/>
    </row>
    <row r="1272" spans="1:13">
      <c r="A1272" s="211"/>
      <c r="B1272" s="212"/>
      <c r="C1272" s="212"/>
      <c r="D1272" s="202"/>
      <c r="E1272" s="214"/>
      <c r="F1272" s="202"/>
      <c r="G1272" s="206"/>
      <c r="H1272" s="202"/>
      <c r="I1272" s="207"/>
      <c r="J1272" s="207"/>
      <c r="K1272" s="207"/>
      <c r="L1272" s="207"/>
      <c r="M1272" s="207"/>
    </row>
    <row r="1273" spans="1:13">
      <c r="A1273" s="211"/>
      <c r="B1273" s="212"/>
      <c r="C1273" s="212"/>
      <c r="D1273" s="202"/>
      <c r="E1273" s="214"/>
      <c r="F1273" s="202"/>
      <c r="G1273" s="206"/>
      <c r="H1273" s="202"/>
      <c r="I1273" s="207"/>
      <c r="J1273" s="207"/>
      <c r="K1273" s="207"/>
      <c r="L1273" s="207"/>
      <c r="M1273" s="207"/>
    </row>
    <row r="1274" spans="1:13">
      <c r="A1274" s="211"/>
      <c r="B1274" s="212"/>
      <c r="C1274" s="212"/>
      <c r="D1274" s="202"/>
      <c r="E1274" s="214"/>
      <c r="F1274" s="202"/>
      <c r="G1274" s="206"/>
      <c r="H1274" s="202"/>
      <c r="I1274" s="207"/>
      <c r="J1274" s="207"/>
      <c r="K1274" s="207"/>
      <c r="L1274" s="207"/>
      <c r="M1274" s="207"/>
    </row>
    <row r="1275" spans="1:13">
      <c r="A1275" s="211"/>
      <c r="B1275" s="212"/>
      <c r="C1275" s="212"/>
      <c r="D1275" s="202"/>
      <c r="E1275" s="214"/>
      <c r="F1275" s="202"/>
      <c r="G1275" s="206"/>
      <c r="H1275" s="202"/>
      <c r="I1275" s="207"/>
      <c r="J1275" s="207"/>
      <c r="K1275" s="207"/>
      <c r="L1275" s="207"/>
      <c r="M1275" s="207"/>
    </row>
    <row r="1276" spans="1:13">
      <c r="A1276" s="211"/>
      <c r="B1276" s="212"/>
      <c r="C1276" s="212"/>
      <c r="D1276" s="202"/>
      <c r="E1276" s="214"/>
      <c r="F1276" s="202"/>
      <c r="G1276" s="206"/>
      <c r="H1276" s="202"/>
      <c r="I1276" s="207"/>
      <c r="J1276" s="207"/>
      <c r="K1276" s="207"/>
      <c r="L1276" s="207"/>
      <c r="M1276" s="207"/>
    </row>
    <row r="1277" spans="1:13">
      <c r="A1277" s="211"/>
      <c r="B1277" s="212"/>
      <c r="C1277" s="212"/>
      <c r="D1277" s="202"/>
      <c r="E1277" s="214"/>
      <c r="F1277" s="202"/>
      <c r="G1277" s="206"/>
      <c r="H1277" s="202"/>
      <c r="I1277" s="207"/>
      <c r="J1277" s="207"/>
      <c r="K1277" s="207"/>
      <c r="L1277" s="207"/>
      <c r="M1277" s="207"/>
    </row>
    <row r="1278" spans="1:13">
      <c r="A1278" s="211"/>
      <c r="B1278" s="212"/>
      <c r="C1278" s="212"/>
      <c r="D1278" s="202"/>
      <c r="E1278" s="214"/>
      <c r="F1278" s="202"/>
      <c r="G1278" s="206"/>
      <c r="H1278" s="202"/>
      <c r="I1278" s="207"/>
      <c r="J1278" s="207"/>
      <c r="K1278" s="207"/>
      <c r="L1278" s="207"/>
      <c r="M1278" s="207"/>
    </row>
    <row r="1279" spans="1:13">
      <c r="A1279" s="211"/>
      <c r="B1279" s="212"/>
      <c r="C1279" s="212"/>
      <c r="D1279" s="202"/>
      <c r="E1279" s="214"/>
      <c r="F1279" s="202"/>
      <c r="G1279" s="206"/>
      <c r="H1279" s="202"/>
      <c r="I1279" s="207"/>
      <c r="J1279" s="207"/>
      <c r="K1279" s="207"/>
      <c r="L1279" s="207"/>
      <c r="M1279" s="207"/>
    </row>
    <row r="1280" spans="1:13">
      <c r="A1280" s="211"/>
      <c r="B1280" s="212"/>
      <c r="C1280" s="212"/>
      <c r="D1280" s="202"/>
      <c r="E1280" s="214"/>
      <c r="F1280" s="202"/>
      <c r="G1280" s="206"/>
      <c r="H1280" s="202"/>
      <c r="I1280" s="207"/>
      <c r="J1280" s="207"/>
      <c r="K1280" s="207"/>
      <c r="L1280" s="207"/>
      <c r="M1280" s="207"/>
    </row>
    <row r="1281" spans="1:13">
      <c r="A1281" s="211"/>
      <c r="B1281" s="212"/>
      <c r="C1281" s="212"/>
      <c r="D1281" s="202"/>
      <c r="E1281" s="214"/>
      <c r="F1281" s="202"/>
      <c r="G1281" s="206"/>
      <c r="H1281" s="202"/>
      <c r="I1281" s="207"/>
      <c r="J1281" s="207"/>
      <c r="K1281" s="207"/>
      <c r="L1281" s="207"/>
      <c r="M1281" s="207"/>
    </row>
    <row r="1282" spans="1:13">
      <c r="A1282" s="211"/>
      <c r="B1282" s="212"/>
      <c r="C1282" s="212"/>
      <c r="D1282" s="202"/>
      <c r="E1282" s="214"/>
      <c r="F1282" s="202"/>
      <c r="G1282" s="206"/>
      <c r="H1282" s="202"/>
      <c r="I1282" s="207"/>
      <c r="J1282" s="207"/>
      <c r="K1282" s="207"/>
      <c r="L1282" s="207"/>
      <c r="M1282" s="207"/>
    </row>
    <row r="1283" spans="1:13">
      <c r="A1283" s="211"/>
      <c r="B1283" s="212"/>
      <c r="C1283" s="212"/>
      <c r="D1283" s="202"/>
      <c r="E1283" s="214"/>
      <c r="F1283" s="202"/>
      <c r="G1283" s="206"/>
      <c r="H1283" s="202"/>
      <c r="I1283" s="207"/>
      <c r="J1283" s="207"/>
      <c r="K1283" s="207"/>
      <c r="L1283" s="207"/>
      <c r="M1283" s="207"/>
    </row>
    <row r="1284" spans="1:13">
      <c r="A1284" s="211"/>
      <c r="B1284" s="212"/>
      <c r="C1284" s="212"/>
      <c r="D1284" s="202"/>
      <c r="E1284" s="214"/>
      <c r="F1284" s="202"/>
      <c r="G1284" s="206"/>
      <c r="H1284" s="202"/>
      <c r="I1284" s="207"/>
      <c r="J1284" s="207"/>
      <c r="K1284" s="207"/>
      <c r="L1284" s="207"/>
      <c r="M1284" s="207"/>
    </row>
    <row r="1285" spans="1:13">
      <c r="A1285" s="211"/>
      <c r="B1285" s="212"/>
      <c r="C1285" s="212"/>
      <c r="D1285" s="202"/>
      <c r="E1285" s="214"/>
      <c r="F1285" s="202"/>
      <c r="G1285" s="206"/>
      <c r="H1285" s="202"/>
      <c r="I1285" s="207"/>
      <c r="J1285" s="207"/>
      <c r="K1285" s="207"/>
      <c r="L1285" s="207"/>
      <c r="M1285" s="207"/>
    </row>
    <row r="1286" spans="1:13">
      <c r="A1286" s="211"/>
      <c r="B1286" s="212"/>
      <c r="C1286" s="212"/>
      <c r="D1286" s="202"/>
      <c r="E1286" s="214"/>
      <c r="F1286" s="202"/>
      <c r="G1286" s="206"/>
      <c r="H1286" s="202"/>
      <c r="I1286" s="207"/>
      <c r="J1286" s="207"/>
      <c r="K1286" s="207"/>
      <c r="L1286" s="207"/>
      <c r="M1286" s="207"/>
    </row>
    <row r="1287" spans="1:13">
      <c r="A1287" s="211"/>
      <c r="B1287" s="212"/>
      <c r="C1287" s="212"/>
      <c r="D1287" s="202"/>
      <c r="E1287" s="214"/>
      <c r="F1287" s="202"/>
      <c r="G1287" s="206"/>
      <c r="H1287" s="202"/>
      <c r="I1287" s="207"/>
      <c r="J1287" s="207"/>
      <c r="K1287" s="207"/>
      <c r="L1287" s="207"/>
      <c r="M1287" s="207"/>
    </row>
    <row r="1288" spans="1:13">
      <c r="A1288" s="211"/>
      <c r="B1288" s="212"/>
      <c r="C1288" s="212"/>
      <c r="D1288" s="202"/>
      <c r="E1288" s="214"/>
      <c r="F1288" s="202"/>
      <c r="G1288" s="206"/>
      <c r="H1288" s="202"/>
      <c r="I1288" s="207"/>
      <c r="J1288" s="207"/>
      <c r="K1288" s="207"/>
      <c r="L1288" s="207"/>
      <c r="M1288" s="207"/>
    </row>
    <row r="1289" spans="1:13">
      <c r="A1289" s="211"/>
      <c r="B1289" s="212"/>
      <c r="C1289" s="212"/>
      <c r="D1289" s="202"/>
      <c r="E1289" s="214"/>
      <c r="F1289" s="202"/>
      <c r="G1289" s="206"/>
      <c r="H1289" s="202"/>
      <c r="I1289" s="207"/>
      <c r="J1289" s="207"/>
      <c r="K1289" s="207"/>
      <c r="L1289" s="207"/>
      <c r="M1289" s="207"/>
    </row>
    <row r="1290" spans="1:13">
      <c r="A1290" s="211"/>
      <c r="B1290" s="212"/>
      <c r="C1290" s="212"/>
      <c r="D1290" s="202"/>
      <c r="E1290" s="214"/>
      <c r="F1290" s="202"/>
      <c r="G1290" s="206"/>
      <c r="H1290" s="202"/>
      <c r="I1290" s="207"/>
      <c r="J1290" s="207"/>
      <c r="K1290" s="207"/>
      <c r="L1290" s="207"/>
      <c r="M1290" s="207"/>
    </row>
    <row r="1291" spans="1:13">
      <c r="A1291" s="211"/>
      <c r="B1291" s="212"/>
      <c r="C1291" s="212"/>
      <c r="D1291" s="202"/>
      <c r="E1291" s="214"/>
      <c r="F1291" s="202"/>
      <c r="G1291" s="206"/>
      <c r="H1291" s="202"/>
      <c r="I1291" s="207"/>
      <c r="J1291" s="207"/>
      <c r="K1291" s="207"/>
      <c r="L1291" s="207"/>
      <c r="M1291" s="207"/>
    </row>
    <row r="1292" spans="1:13">
      <c r="A1292" s="211"/>
      <c r="B1292" s="212"/>
      <c r="C1292" s="212"/>
      <c r="D1292" s="202"/>
      <c r="E1292" s="214"/>
      <c r="F1292" s="202"/>
      <c r="G1292" s="206"/>
      <c r="H1292" s="202"/>
      <c r="I1292" s="207"/>
      <c r="J1292" s="207"/>
      <c r="K1292" s="207"/>
      <c r="L1292" s="207"/>
      <c r="M1292" s="207"/>
    </row>
    <row r="1293" spans="1:13">
      <c r="A1293" s="211"/>
      <c r="B1293" s="212"/>
      <c r="C1293" s="212"/>
      <c r="D1293" s="202"/>
      <c r="E1293" s="214"/>
      <c r="F1293" s="202"/>
      <c r="G1293" s="206"/>
      <c r="H1293" s="202"/>
      <c r="I1293" s="207"/>
      <c r="J1293" s="207"/>
      <c r="K1293" s="207"/>
      <c r="L1293" s="207"/>
      <c r="M1293" s="207"/>
    </row>
    <row r="1294" spans="1:13">
      <c r="A1294" s="211"/>
      <c r="B1294" s="212"/>
      <c r="C1294" s="212"/>
      <c r="D1294" s="202"/>
      <c r="E1294" s="214"/>
      <c r="F1294" s="202"/>
      <c r="G1294" s="206"/>
      <c r="H1294" s="202"/>
      <c r="I1294" s="207"/>
      <c r="J1294" s="207"/>
      <c r="K1294" s="207"/>
      <c r="L1294" s="207"/>
      <c r="M1294" s="207"/>
    </row>
    <row r="1295" spans="1:13">
      <c r="A1295" s="211"/>
      <c r="B1295" s="212"/>
      <c r="C1295" s="212"/>
      <c r="D1295" s="202"/>
      <c r="E1295" s="214"/>
      <c r="F1295" s="202"/>
      <c r="G1295" s="206"/>
      <c r="H1295" s="202"/>
      <c r="I1295" s="207"/>
      <c r="J1295" s="207"/>
      <c r="K1295" s="207"/>
      <c r="L1295" s="207"/>
      <c r="M1295" s="207"/>
    </row>
    <row r="1296" spans="1:13">
      <c r="A1296" s="211"/>
      <c r="B1296" s="212"/>
      <c r="C1296" s="212"/>
      <c r="D1296" s="202"/>
      <c r="E1296" s="214"/>
      <c r="F1296" s="202"/>
      <c r="G1296" s="206"/>
      <c r="H1296" s="202"/>
      <c r="I1296" s="207"/>
      <c r="J1296" s="207"/>
      <c r="K1296" s="207"/>
      <c r="L1296" s="207"/>
      <c r="M1296" s="207"/>
    </row>
    <row r="1297" spans="1:13">
      <c r="A1297" s="211"/>
      <c r="B1297" s="212"/>
      <c r="C1297" s="212"/>
      <c r="D1297" s="202"/>
      <c r="E1297" s="214"/>
      <c r="F1297" s="202"/>
      <c r="G1297" s="206"/>
      <c r="H1297" s="202"/>
      <c r="I1297" s="207"/>
      <c r="J1297" s="207"/>
      <c r="K1297" s="207"/>
      <c r="L1297" s="207"/>
      <c r="M1297" s="207"/>
    </row>
    <row r="1298" spans="1:13">
      <c r="A1298" s="211"/>
      <c r="B1298" s="212"/>
      <c r="C1298" s="212"/>
      <c r="D1298" s="202"/>
      <c r="E1298" s="214"/>
      <c r="F1298" s="202"/>
      <c r="G1298" s="206"/>
      <c r="H1298" s="202"/>
      <c r="I1298" s="207"/>
      <c r="J1298" s="207"/>
      <c r="K1298" s="207"/>
      <c r="L1298" s="207"/>
      <c r="M1298" s="207"/>
    </row>
    <row r="1299" spans="1:13">
      <c r="A1299" s="211"/>
      <c r="B1299" s="212"/>
      <c r="C1299" s="212"/>
      <c r="D1299" s="202"/>
      <c r="E1299" s="214"/>
      <c r="F1299" s="202"/>
      <c r="G1299" s="206"/>
      <c r="H1299" s="202"/>
      <c r="I1299" s="207"/>
      <c r="J1299" s="207"/>
      <c r="K1299" s="207"/>
      <c r="L1299" s="207"/>
      <c r="M1299" s="207"/>
    </row>
    <row r="1300" spans="1:13">
      <c r="A1300" s="211"/>
      <c r="B1300" s="212"/>
      <c r="C1300" s="212"/>
      <c r="D1300" s="202"/>
      <c r="E1300" s="214"/>
      <c r="F1300" s="202"/>
      <c r="G1300" s="206"/>
      <c r="H1300" s="202"/>
      <c r="I1300" s="207"/>
      <c r="J1300" s="207"/>
      <c r="K1300" s="207"/>
      <c r="L1300" s="207"/>
      <c r="M1300" s="207"/>
    </row>
    <row r="1301" spans="1:13">
      <c r="A1301" s="211"/>
      <c r="B1301" s="212"/>
      <c r="C1301" s="212"/>
      <c r="D1301" s="202"/>
      <c r="E1301" s="214"/>
      <c r="F1301" s="202"/>
      <c r="G1301" s="206"/>
      <c r="H1301" s="202"/>
      <c r="I1301" s="207"/>
      <c r="J1301" s="207"/>
      <c r="K1301" s="207"/>
      <c r="L1301" s="207"/>
      <c r="M1301" s="207"/>
    </row>
    <row r="1302" spans="1:13">
      <c r="A1302" s="211"/>
      <c r="B1302" s="212"/>
      <c r="C1302" s="212"/>
      <c r="D1302" s="202"/>
      <c r="E1302" s="214"/>
      <c r="F1302" s="202"/>
      <c r="G1302" s="206"/>
      <c r="H1302" s="202"/>
      <c r="I1302" s="207"/>
      <c r="J1302" s="207"/>
      <c r="K1302" s="207"/>
      <c r="L1302" s="207"/>
      <c r="M1302" s="207"/>
    </row>
    <row r="1303" spans="1:13">
      <c r="A1303" s="211"/>
      <c r="B1303" s="212"/>
      <c r="C1303" s="212"/>
      <c r="D1303" s="202"/>
      <c r="E1303" s="214"/>
      <c r="F1303" s="202"/>
      <c r="G1303" s="206"/>
      <c r="H1303" s="202"/>
      <c r="I1303" s="207"/>
      <c r="J1303" s="207"/>
      <c r="K1303" s="207"/>
      <c r="L1303" s="207"/>
      <c r="M1303" s="207"/>
    </row>
    <row r="1304" spans="1:13">
      <c r="A1304" s="211"/>
      <c r="B1304" s="212"/>
      <c r="C1304" s="212"/>
      <c r="D1304" s="202"/>
      <c r="E1304" s="214"/>
      <c r="F1304" s="202"/>
      <c r="G1304" s="206"/>
      <c r="H1304" s="202"/>
      <c r="I1304" s="207"/>
      <c r="J1304" s="207"/>
      <c r="K1304" s="207"/>
      <c r="L1304" s="207"/>
      <c r="M1304" s="207"/>
    </row>
    <row r="1305" spans="1:13">
      <c r="A1305" s="211"/>
      <c r="B1305" s="212"/>
      <c r="C1305" s="212"/>
      <c r="D1305" s="202"/>
      <c r="E1305" s="214"/>
      <c r="F1305" s="202"/>
      <c r="G1305" s="206"/>
      <c r="H1305" s="202"/>
      <c r="I1305" s="207"/>
      <c r="J1305" s="207"/>
      <c r="K1305" s="207"/>
      <c r="L1305" s="207"/>
      <c r="M1305" s="207"/>
    </row>
    <row r="1306" spans="1:13">
      <c r="A1306" s="211"/>
      <c r="B1306" s="212"/>
      <c r="C1306" s="212"/>
      <c r="D1306" s="202"/>
      <c r="E1306" s="214"/>
      <c r="F1306" s="202"/>
      <c r="G1306" s="206"/>
      <c r="H1306" s="202"/>
      <c r="I1306" s="207"/>
      <c r="J1306" s="207"/>
      <c r="K1306" s="207"/>
      <c r="L1306" s="207"/>
      <c r="M1306" s="207"/>
    </row>
    <row r="1307" spans="1:13">
      <c r="A1307" s="211"/>
      <c r="B1307" s="212"/>
      <c r="C1307" s="212"/>
      <c r="D1307" s="202"/>
      <c r="E1307" s="214"/>
      <c r="F1307" s="202"/>
      <c r="G1307" s="206"/>
      <c r="H1307" s="202"/>
      <c r="I1307" s="207"/>
      <c r="J1307" s="207"/>
      <c r="K1307" s="207"/>
      <c r="L1307" s="207"/>
      <c r="M1307" s="207"/>
    </row>
    <row r="1308" spans="1:13">
      <c r="A1308" s="211"/>
      <c r="B1308" s="212"/>
      <c r="C1308" s="212"/>
      <c r="D1308" s="202"/>
      <c r="E1308" s="214"/>
      <c r="F1308" s="202"/>
      <c r="G1308" s="206"/>
      <c r="H1308" s="202"/>
      <c r="I1308" s="207"/>
      <c r="J1308" s="207"/>
      <c r="K1308" s="207"/>
      <c r="L1308" s="207"/>
      <c r="M1308" s="207"/>
    </row>
    <row r="1309" spans="1:13">
      <c r="A1309" s="211"/>
      <c r="B1309" s="212"/>
      <c r="C1309" s="212"/>
      <c r="D1309" s="202"/>
      <c r="E1309" s="214"/>
      <c r="F1309" s="202"/>
      <c r="G1309" s="206"/>
      <c r="H1309" s="202"/>
      <c r="I1309" s="207"/>
      <c r="J1309" s="207"/>
      <c r="K1309" s="207"/>
      <c r="L1309" s="207"/>
      <c r="M1309" s="207"/>
    </row>
    <row r="1310" spans="1:13">
      <c r="A1310" s="211"/>
      <c r="B1310" s="212"/>
      <c r="C1310" s="212"/>
      <c r="D1310" s="202"/>
      <c r="E1310" s="214"/>
      <c r="F1310" s="202"/>
      <c r="G1310" s="206"/>
      <c r="H1310" s="202"/>
      <c r="I1310" s="207"/>
      <c r="J1310" s="207"/>
      <c r="K1310" s="207"/>
      <c r="L1310" s="207"/>
      <c r="M1310" s="207"/>
    </row>
    <row r="1311" spans="1:13">
      <c r="A1311" s="211"/>
      <c r="B1311" s="212"/>
      <c r="C1311" s="212"/>
      <c r="D1311" s="202"/>
      <c r="E1311" s="214"/>
      <c r="F1311" s="202"/>
      <c r="G1311" s="206"/>
      <c r="H1311" s="202"/>
      <c r="I1311" s="207"/>
      <c r="J1311" s="207"/>
      <c r="K1311" s="207"/>
      <c r="L1311" s="207"/>
      <c r="M1311" s="207"/>
    </row>
    <row r="1312" spans="1:13">
      <c r="A1312" s="211"/>
      <c r="B1312" s="212"/>
      <c r="C1312" s="212"/>
      <c r="D1312" s="202"/>
      <c r="E1312" s="214"/>
      <c r="F1312" s="202"/>
      <c r="G1312" s="206"/>
      <c r="H1312" s="202"/>
      <c r="I1312" s="207"/>
      <c r="J1312" s="207"/>
      <c r="K1312" s="207"/>
      <c r="L1312" s="207"/>
      <c r="M1312" s="207"/>
    </row>
    <row r="1313" spans="1:13">
      <c r="A1313" s="211"/>
      <c r="B1313" s="212"/>
      <c r="C1313" s="212"/>
      <c r="D1313" s="202"/>
      <c r="E1313" s="214"/>
      <c r="F1313" s="202"/>
      <c r="G1313" s="206"/>
      <c r="H1313" s="202"/>
      <c r="I1313" s="207"/>
      <c r="J1313" s="207"/>
      <c r="K1313" s="207"/>
      <c r="L1313" s="207"/>
      <c r="M1313" s="207"/>
    </row>
    <row r="1314" spans="1:13">
      <c r="A1314" s="211"/>
      <c r="B1314" s="212"/>
      <c r="C1314" s="212"/>
      <c r="D1314" s="202"/>
      <c r="E1314" s="214"/>
      <c r="F1314" s="202"/>
      <c r="G1314" s="206"/>
      <c r="H1314" s="202"/>
      <c r="I1314" s="207"/>
      <c r="J1314" s="207"/>
      <c r="K1314" s="207"/>
      <c r="L1314" s="207"/>
      <c r="M1314" s="207"/>
    </row>
    <row r="1315" spans="1:13">
      <c r="A1315" s="211"/>
      <c r="B1315" s="212"/>
      <c r="C1315" s="212"/>
      <c r="D1315" s="202"/>
      <c r="E1315" s="214"/>
      <c r="F1315" s="202"/>
      <c r="G1315" s="206"/>
      <c r="H1315" s="202"/>
      <c r="I1315" s="207"/>
      <c r="J1315" s="207"/>
      <c r="K1315" s="207"/>
      <c r="L1315" s="207"/>
      <c r="M1315" s="207"/>
    </row>
    <row r="1316" spans="1:13">
      <c r="A1316" s="211"/>
      <c r="B1316" s="212"/>
      <c r="C1316" s="212"/>
      <c r="D1316" s="202"/>
      <c r="E1316" s="214"/>
      <c r="F1316" s="202"/>
      <c r="G1316" s="206"/>
      <c r="H1316" s="202"/>
      <c r="I1316" s="207"/>
      <c r="J1316" s="207"/>
      <c r="K1316" s="207"/>
      <c r="L1316" s="207"/>
      <c r="M1316" s="207"/>
    </row>
    <row r="1317" spans="1:13">
      <c r="A1317" s="211"/>
      <c r="B1317" s="212"/>
      <c r="C1317" s="212"/>
      <c r="D1317" s="202"/>
      <c r="E1317" s="214"/>
      <c r="F1317" s="202"/>
      <c r="G1317" s="206"/>
      <c r="H1317" s="202"/>
      <c r="I1317" s="207"/>
      <c r="J1317" s="207"/>
      <c r="K1317" s="207"/>
      <c r="L1317" s="207"/>
      <c r="M1317" s="207"/>
    </row>
    <row r="1318" spans="1:13">
      <c r="A1318" s="211"/>
      <c r="B1318" s="212"/>
      <c r="C1318" s="212"/>
      <c r="D1318" s="202"/>
      <c r="E1318" s="214"/>
      <c r="F1318" s="202"/>
      <c r="G1318" s="206"/>
      <c r="H1318" s="202"/>
      <c r="I1318" s="207"/>
      <c r="J1318" s="207"/>
      <c r="K1318" s="207"/>
      <c r="L1318" s="207"/>
      <c r="M1318" s="207"/>
    </row>
    <row r="1319" spans="1:13">
      <c r="A1319" s="211"/>
      <c r="B1319" s="212"/>
      <c r="C1319" s="212"/>
      <c r="D1319" s="202"/>
      <c r="E1319" s="214"/>
      <c r="F1319" s="202"/>
      <c r="G1319" s="206"/>
      <c r="H1319" s="202"/>
      <c r="I1319" s="207"/>
      <c r="J1319" s="207"/>
      <c r="K1319" s="207"/>
      <c r="L1319" s="207"/>
      <c r="M1319" s="207"/>
    </row>
    <row r="1320" spans="1:13">
      <c r="A1320" s="211"/>
      <c r="B1320" s="212"/>
      <c r="C1320" s="212"/>
      <c r="D1320" s="202"/>
      <c r="E1320" s="214"/>
      <c r="F1320" s="202"/>
      <c r="G1320" s="206"/>
      <c r="H1320" s="202"/>
      <c r="I1320" s="207"/>
      <c r="J1320" s="207"/>
      <c r="K1320" s="207"/>
      <c r="L1320" s="207"/>
      <c r="M1320" s="207"/>
    </row>
    <row r="1321" spans="1:13">
      <c r="A1321" s="211"/>
      <c r="B1321" s="212"/>
      <c r="C1321" s="212"/>
      <c r="D1321" s="202"/>
      <c r="E1321" s="214"/>
      <c r="F1321" s="202"/>
      <c r="G1321" s="206"/>
      <c r="H1321" s="202"/>
      <c r="I1321" s="207"/>
      <c r="J1321" s="207"/>
      <c r="K1321" s="207"/>
      <c r="L1321" s="207"/>
      <c r="M1321" s="207"/>
    </row>
    <row r="1322" spans="1:13">
      <c r="A1322" s="211"/>
      <c r="B1322" s="212"/>
      <c r="C1322" s="212"/>
      <c r="D1322" s="202"/>
      <c r="E1322" s="214"/>
      <c r="F1322" s="202"/>
      <c r="G1322" s="206"/>
      <c r="H1322" s="202"/>
      <c r="I1322" s="207"/>
      <c r="J1322" s="207"/>
      <c r="K1322" s="207"/>
      <c r="L1322" s="207"/>
      <c r="M1322" s="207"/>
    </row>
    <row r="1323" spans="1:13">
      <c r="A1323" s="211"/>
      <c r="B1323" s="212"/>
      <c r="C1323" s="212"/>
      <c r="D1323" s="202"/>
      <c r="E1323" s="214"/>
      <c r="F1323" s="202"/>
      <c r="G1323" s="206"/>
      <c r="H1323" s="202"/>
      <c r="I1323" s="207"/>
      <c r="J1323" s="207"/>
      <c r="K1323" s="207"/>
      <c r="L1323" s="207"/>
      <c r="M1323" s="207"/>
    </row>
    <row r="1324" spans="1:13">
      <c r="A1324" s="211"/>
      <c r="B1324" s="212"/>
      <c r="C1324" s="212"/>
      <c r="D1324" s="202"/>
      <c r="E1324" s="214"/>
      <c r="F1324" s="202"/>
      <c r="G1324" s="206"/>
      <c r="H1324" s="202"/>
      <c r="I1324" s="207"/>
      <c r="J1324" s="207"/>
      <c r="K1324" s="207"/>
      <c r="L1324" s="207"/>
      <c r="M1324" s="207"/>
    </row>
    <row r="1325" spans="1:13">
      <c r="A1325" s="211"/>
      <c r="B1325" s="212"/>
      <c r="C1325" s="212"/>
      <c r="D1325" s="202"/>
      <c r="E1325" s="214"/>
      <c r="F1325" s="202"/>
      <c r="G1325" s="206"/>
      <c r="H1325" s="202"/>
      <c r="I1325" s="207"/>
      <c r="J1325" s="207"/>
      <c r="K1325" s="207"/>
      <c r="L1325" s="207"/>
      <c r="M1325" s="207"/>
    </row>
    <row r="1326" spans="1:13">
      <c r="A1326" s="211"/>
      <c r="B1326" s="212"/>
      <c r="C1326" s="212"/>
      <c r="D1326" s="202"/>
      <c r="E1326" s="214"/>
      <c r="F1326" s="202"/>
      <c r="G1326" s="206"/>
      <c r="H1326" s="202"/>
      <c r="I1326" s="207"/>
      <c r="J1326" s="207"/>
      <c r="K1326" s="207"/>
      <c r="L1326" s="207"/>
      <c r="M1326" s="207"/>
    </row>
    <row r="1327" spans="1:13">
      <c r="A1327" s="211"/>
      <c r="B1327" s="212"/>
      <c r="C1327" s="212"/>
      <c r="D1327" s="202"/>
      <c r="E1327" s="214"/>
      <c r="F1327" s="202"/>
      <c r="G1327" s="206"/>
      <c r="H1327" s="202"/>
      <c r="I1327" s="207"/>
      <c r="J1327" s="207"/>
      <c r="K1327" s="207"/>
      <c r="L1327" s="207"/>
      <c r="M1327" s="207"/>
    </row>
    <row r="1328" spans="1:13">
      <c r="A1328" s="211"/>
      <c r="B1328" s="212"/>
      <c r="C1328" s="212"/>
      <c r="D1328" s="202"/>
      <c r="E1328" s="214"/>
      <c r="F1328" s="202"/>
      <c r="G1328" s="206"/>
      <c r="H1328" s="202"/>
      <c r="I1328" s="207"/>
      <c r="J1328" s="207"/>
      <c r="K1328" s="207"/>
      <c r="L1328" s="207"/>
      <c r="M1328" s="207"/>
    </row>
    <row r="1329" spans="1:13">
      <c r="A1329" s="211"/>
      <c r="B1329" s="212"/>
      <c r="C1329" s="212"/>
      <c r="D1329" s="202"/>
      <c r="E1329" s="214"/>
      <c r="F1329" s="202"/>
      <c r="G1329" s="206"/>
      <c r="H1329" s="202"/>
      <c r="I1329" s="207"/>
      <c r="J1329" s="207"/>
      <c r="K1329" s="207"/>
      <c r="L1329" s="207"/>
      <c r="M1329" s="207"/>
    </row>
    <row r="1330" spans="1:13">
      <c r="A1330" s="211"/>
      <c r="B1330" s="212"/>
      <c r="C1330" s="212"/>
      <c r="D1330" s="202"/>
      <c r="E1330" s="214"/>
      <c r="F1330" s="202"/>
      <c r="G1330" s="206"/>
      <c r="H1330" s="202"/>
      <c r="I1330" s="207"/>
      <c r="J1330" s="207"/>
      <c r="K1330" s="207"/>
      <c r="L1330" s="207"/>
      <c r="M1330" s="207"/>
    </row>
    <row r="1331" spans="1:13">
      <c r="A1331" s="211"/>
      <c r="B1331" s="212"/>
      <c r="C1331" s="212"/>
      <c r="D1331" s="202"/>
      <c r="E1331" s="214"/>
      <c r="F1331" s="202"/>
      <c r="G1331" s="206"/>
      <c r="H1331" s="202"/>
      <c r="I1331" s="207"/>
      <c r="J1331" s="207"/>
      <c r="K1331" s="207"/>
      <c r="L1331" s="207"/>
      <c r="M1331" s="207"/>
    </row>
    <row r="1332" spans="1:13">
      <c r="A1332" s="211"/>
      <c r="B1332" s="212"/>
      <c r="C1332" s="212"/>
      <c r="D1332" s="202"/>
      <c r="E1332" s="214"/>
      <c r="F1332" s="202"/>
      <c r="G1332" s="206"/>
      <c r="H1332" s="202"/>
      <c r="I1332" s="207"/>
      <c r="J1332" s="207"/>
      <c r="K1332" s="207"/>
      <c r="L1332" s="207"/>
      <c r="M1332" s="207"/>
    </row>
    <row r="1333" spans="1:13">
      <c r="A1333" s="211"/>
      <c r="B1333" s="212"/>
      <c r="C1333" s="212"/>
      <c r="D1333" s="202"/>
      <c r="E1333" s="214"/>
      <c r="F1333" s="202"/>
      <c r="G1333" s="206"/>
      <c r="H1333" s="202"/>
      <c r="I1333" s="207"/>
      <c r="J1333" s="207"/>
      <c r="K1333" s="207"/>
      <c r="L1333" s="207"/>
      <c r="M1333" s="207"/>
    </row>
    <row r="1334" spans="1:13">
      <c r="A1334" s="211"/>
      <c r="B1334" s="212"/>
      <c r="C1334" s="212"/>
      <c r="D1334" s="202"/>
      <c r="E1334" s="214"/>
      <c r="F1334" s="202"/>
      <c r="G1334" s="206"/>
      <c r="H1334" s="202"/>
      <c r="I1334" s="207"/>
      <c r="J1334" s="207"/>
      <c r="K1334" s="207"/>
      <c r="L1334" s="207"/>
      <c r="M1334" s="207"/>
    </row>
    <row r="1335" spans="1:13">
      <c r="A1335" s="211"/>
      <c r="B1335" s="212"/>
      <c r="C1335" s="212"/>
      <c r="D1335" s="202"/>
      <c r="E1335" s="214"/>
      <c r="F1335" s="202"/>
      <c r="G1335" s="206"/>
      <c r="H1335" s="202"/>
      <c r="I1335" s="207"/>
      <c r="J1335" s="207"/>
      <c r="K1335" s="207"/>
      <c r="L1335" s="207"/>
      <c r="M1335" s="207"/>
    </row>
    <row r="1336" spans="1:13">
      <c r="A1336" s="211"/>
      <c r="B1336" s="212"/>
      <c r="C1336" s="212"/>
      <c r="D1336" s="202"/>
      <c r="E1336" s="214"/>
      <c r="F1336" s="202"/>
      <c r="G1336" s="206"/>
      <c r="H1336" s="202"/>
      <c r="I1336" s="207"/>
      <c r="J1336" s="207"/>
      <c r="K1336" s="207"/>
      <c r="L1336" s="207"/>
      <c r="M1336" s="207"/>
    </row>
    <row r="1337" spans="1:13">
      <c r="A1337" s="211"/>
      <c r="B1337" s="212"/>
      <c r="C1337" s="212"/>
      <c r="D1337" s="202"/>
      <c r="E1337" s="214"/>
      <c r="F1337" s="202"/>
      <c r="G1337" s="206"/>
      <c r="H1337" s="202"/>
      <c r="I1337" s="207"/>
      <c r="J1337" s="207"/>
      <c r="K1337" s="207"/>
      <c r="L1337" s="207"/>
      <c r="M1337" s="207"/>
    </row>
    <row r="1338" spans="1:13">
      <c r="A1338" s="211"/>
      <c r="B1338" s="212"/>
      <c r="C1338" s="212"/>
      <c r="D1338" s="202"/>
      <c r="E1338" s="214"/>
      <c r="F1338" s="202"/>
      <c r="G1338" s="206"/>
      <c r="H1338" s="202"/>
      <c r="I1338" s="207"/>
      <c r="J1338" s="207"/>
      <c r="K1338" s="207"/>
      <c r="L1338" s="207"/>
      <c r="M1338" s="207"/>
    </row>
    <row r="1339" spans="1:13">
      <c r="A1339" s="211"/>
      <c r="B1339" s="212"/>
      <c r="C1339" s="212"/>
      <c r="D1339" s="202"/>
      <c r="E1339" s="214"/>
      <c r="F1339" s="202"/>
      <c r="G1339" s="206"/>
      <c r="H1339" s="202"/>
      <c r="I1339" s="207"/>
      <c r="J1339" s="207"/>
      <c r="K1339" s="207"/>
      <c r="L1339" s="207"/>
      <c r="M1339" s="207"/>
    </row>
    <row r="1340" spans="1:13">
      <c r="A1340" s="211"/>
      <c r="B1340" s="212"/>
      <c r="C1340" s="212"/>
      <c r="D1340" s="202"/>
      <c r="E1340" s="214"/>
      <c r="F1340" s="202"/>
      <c r="G1340" s="206"/>
      <c r="H1340" s="202"/>
      <c r="I1340" s="207"/>
      <c r="J1340" s="207"/>
      <c r="K1340" s="207"/>
      <c r="L1340" s="207"/>
      <c r="M1340" s="207"/>
    </row>
    <row r="1341" spans="1:13">
      <c r="A1341" s="211"/>
      <c r="B1341" s="212"/>
      <c r="C1341" s="212"/>
      <c r="D1341" s="202"/>
      <c r="E1341" s="214"/>
      <c r="F1341" s="202"/>
      <c r="G1341" s="206"/>
      <c r="H1341" s="202"/>
      <c r="I1341" s="207"/>
      <c r="J1341" s="207"/>
      <c r="K1341" s="207"/>
      <c r="L1341" s="207"/>
      <c r="M1341" s="207"/>
    </row>
    <row r="1342" spans="1:13">
      <c r="A1342" s="211"/>
      <c r="B1342" s="212"/>
      <c r="C1342" s="212"/>
      <c r="D1342" s="202"/>
      <c r="E1342" s="214"/>
      <c r="F1342" s="202"/>
      <c r="G1342" s="206"/>
      <c r="H1342" s="202"/>
      <c r="I1342" s="207"/>
      <c r="J1342" s="207"/>
      <c r="K1342" s="207"/>
      <c r="L1342" s="207"/>
      <c r="M1342" s="207"/>
    </row>
    <row r="1343" spans="1:13">
      <c r="A1343" s="211"/>
      <c r="B1343" s="212"/>
      <c r="C1343" s="212"/>
      <c r="D1343" s="202"/>
      <c r="E1343" s="214"/>
      <c r="F1343" s="202"/>
      <c r="G1343" s="206"/>
      <c r="H1343" s="202"/>
      <c r="I1343" s="207"/>
      <c r="J1343" s="207"/>
      <c r="K1343" s="207"/>
      <c r="L1343" s="207"/>
      <c r="M1343" s="207"/>
    </row>
    <row r="1344" spans="1:13">
      <c r="A1344" s="211"/>
      <c r="B1344" s="212"/>
      <c r="C1344" s="212"/>
      <c r="D1344" s="202"/>
      <c r="E1344" s="214"/>
      <c r="F1344" s="202"/>
      <c r="G1344" s="206"/>
      <c r="H1344" s="202"/>
      <c r="I1344" s="207"/>
      <c r="J1344" s="207"/>
      <c r="K1344" s="207"/>
      <c r="L1344" s="207"/>
      <c r="M1344" s="207"/>
    </row>
    <row r="1345" spans="1:13">
      <c r="A1345" s="211"/>
      <c r="B1345" s="212"/>
      <c r="C1345" s="212"/>
      <c r="D1345" s="202"/>
      <c r="E1345" s="214"/>
      <c r="F1345" s="202"/>
      <c r="G1345" s="206"/>
      <c r="H1345" s="202"/>
      <c r="I1345" s="207"/>
      <c r="J1345" s="207"/>
      <c r="K1345" s="207"/>
      <c r="L1345" s="207"/>
      <c r="M1345" s="207"/>
    </row>
    <row r="1346" spans="1:13">
      <c r="A1346" s="211"/>
      <c r="B1346" s="212"/>
      <c r="C1346" s="212"/>
      <c r="D1346" s="202"/>
      <c r="E1346" s="214"/>
      <c r="F1346" s="202"/>
      <c r="G1346" s="206"/>
      <c r="H1346" s="202"/>
      <c r="I1346" s="207"/>
      <c r="J1346" s="207"/>
      <c r="K1346" s="207"/>
      <c r="L1346" s="207"/>
      <c r="M1346" s="207"/>
    </row>
    <row r="1347" spans="1:13">
      <c r="A1347" s="211"/>
      <c r="B1347" s="212"/>
      <c r="C1347" s="212"/>
      <c r="D1347" s="202"/>
      <c r="E1347" s="214"/>
      <c r="F1347" s="202"/>
      <c r="G1347" s="206"/>
      <c r="H1347" s="202"/>
      <c r="I1347" s="207"/>
      <c r="J1347" s="207"/>
      <c r="K1347" s="207"/>
      <c r="L1347" s="207"/>
      <c r="M1347" s="207"/>
    </row>
    <row r="1348" spans="1:13">
      <c r="A1348" s="211"/>
      <c r="B1348" s="212"/>
      <c r="C1348" s="212"/>
      <c r="D1348" s="202"/>
      <c r="E1348" s="214"/>
      <c r="F1348" s="202"/>
      <c r="G1348" s="206"/>
      <c r="H1348" s="202"/>
      <c r="I1348" s="207"/>
      <c r="J1348" s="207"/>
      <c r="K1348" s="207"/>
      <c r="L1348" s="207"/>
      <c r="M1348" s="207"/>
    </row>
    <row r="1349" spans="1:13">
      <c r="A1349" s="211"/>
      <c r="B1349" s="212"/>
      <c r="C1349" s="212"/>
      <c r="D1349" s="202"/>
      <c r="E1349" s="214"/>
      <c r="F1349" s="202"/>
      <c r="G1349" s="206"/>
      <c r="H1349" s="202"/>
      <c r="I1349" s="207"/>
      <c r="J1349" s="207"/>
      <c r="K1349" s="207"/>
      <c r="L1349" s="207"/>
      <c r="M1349" s="207"/>
    </row>
    <row r="1350" spans="1:13">
      <c r="A1350" s="211"/>
      <c r="B1350" s="212"/>
      <c r="C1350" s="212"/>
      <c r="D1350" s="202"/>
      <c r="E1350" s="214"/>
      <c r="F1350" s="202"/>
      <c r="G1350" s="206"/>
      <c r="H1350" s="202"/>
      <c r="I1350" s="207"/>
      <c r="J1350" s="207"/>
      <c r="K1350" s="207"/>
      <c r="L1350" s="207"/>
      <c r="M1350" s="207"/>
    </row>
    <row r="1351" spans="1:13">
      <c r="A1351" s="211"/>
      <c r="B1351" s="212"/>
      <c r="C1351" s="212"/>
      <c r="D1351" s="202"/>
      <c r="E1351" s="214"/>
      <c r="F1351" s="202"/>
      <c r="G1351" s="206"/>
      <c r="H1351" s="202"/>
      <c r="I1351" s="207"/>
      <c r="J1351" s="207"/>
      <c r="K1351" s="207"/>
      <c r="L1351" s="207"/>
      <c r="M1351" s="207"/>
    </row>
    <row r="1352" spans="1:13">
      <c r="A1352" s="211"/>
      <c r="B1352" s="212"/>
      <c r="C1352" s="212"/>
      <c r="D1352" s="202"/>
      <c r="E1352" s="214"/>
      <c r="F1352" s="202"/>
      <c r="G1352" s="206"/>
      <c r="H1352" s="202"/>
      <c r="I1352" s="207"/>
      <c r="J1352" s="207"/>
      <c r="K1352" s="207"/>
      <c r="L1352" s="207"/>
      <c r="M1352" s="207"/>
    </row>
    <row r="1353" spans="1:13">
      <c r="A1353" s="211"/>
      <c r="B1353" s="212"/>
      <c r="C1353" s="212"/>
      <c r="D1353" s="202"/>
      <c r="E1353" s="214"/>
      <c r="F1353" s="202"/>
      <c r="G1353" s="206"/>
      <c r="H1353" s="202"/>
      <c r="I1353" s="207"/>
      <c r="J1353" s="207"/>
      <c r="K1353" s="207"/>
      <c r="L1353" s="207"/>
      <c r="M1353" s="207"/>
    </row>
    <row r="1354" spans="1:13">
      <c r="A1354" s="211"/>
      <c r="B1354" s="212"/>
      <c r="C1354" s="212"/>
      <c r="D1354" s="202"/>
      <c r="E1354" s="214"/>
      <c r="F1354" s="202"/>
      <c r="G1354" s="206"/>
      <c r="H1354" s="202"/>
      <c r="I1354" s="207"/>
      <c r="J1354" s="207"/>
      <c r="K1354" s="207"/>
      <c r="L1354" s="207"/>
      <c r="M1354" s="207"/>
    </row>
    <row r="1355" spans="1:13">
      <c r="A1355" s="211"/>
      <c r="B1355" s="212"/>
      <c r="C1355" s="212"/>
      <c r="D1355" s="202"/>
      <c r="E1355" s="214"/>
      <c r="F1355" s="202"/>
      <c r="G1355" s="206"/>
      <c r="H1355" s="202"/>
      <c r="I1355" s="207"/>
      <c r="J1355" s="207"/>
      <c r="K1355" s="207"/>
      <c r="L1355" s="207"/>
      <c r="M1355" s="207"/>
    </row>
    <row r="1356" spans="1:13">
      <c r="A1356" s="211"/>
      <c r="B1356" s="212"/>
      <c r="C1356" s="212"/>
      <c r="D1356" s="202"/>
      <c r="E1356" s="214"/>
      <c r="F1356" s="202"/>
      <c r="G1356" s="206"/>
      <c r="H1356" s="202"/>
      <c r="I1356" s="207"/>
      <c r="J1356" s="207"/>
      <c r="K1356" s="207"/>
      <c r="L1356" s="207"/>
      <c r="M1356" s="207"/>
    </row>
    <row r="1357" spans="1:13">
      <c r="A1357" s="211"/>
      <c r="B1357" s="212"/>
      <c r="C1357" s="212"/>
      <c r="D1357" s="202"/>
      <c r="E1357" s="214"/>
      <c r="F1357" s="202"/>
      <c r="G1357" s="206"/>
      <c r="H1357" s="202"/>
      <c r="I1357" s="207"/>
      <c r="J1357" s="207"/>
      <c r="K1357" s="207"/>
      <c r="L1357" s="207"/>
      <c r="M1357" s="207"/>
    </row>
    <row r="1358" spans="1:13">
      <c r="A1358" s="211"/>
      <c r="B1358" s="212"/>
      <c r="C1358" s="212"/>
      <c r="D1358" s="202"/>
      <c r="E1358" s="214"/>
      <c r="F1358" s="202"/>
      <c r="G1358" s="206"/>
      <c r="H1358" s="202"/>
      <c r="I1358" s="207"/>
      <c r="J1358" s="207"/>
      <c r="K1358" s="207"/>
      <c r="L1358" s="207"/>
      <c r="M1358" s="207"/>
    </row>
    <row r="1359" spans="1:13">
      <c r="A1359" s="211"/>
      <c r="B1359" s="212"/>
      <c r="C1359" s="212"/>
      <c r="D1359" s="202"/>
      <c r="E1359" s="214"/>
      <c r="F1359" s="202"/>
      <c r="G1359" s="206"/>
      <c r="H1359" s="202"/>
      <c r="I1359" s="207"/>
      <c r="J1359" s="207"/>
      <c r="K1359" s="207"/>
      <c r="L1359" s="207"/>
      <c r="M1359" s="207"/>
    </row>
    <row r="1360" spans="1:13">
      <c r="A1360" s="211"/>
      <c r="B1360" s="212"/>
      <c r="C1360" s="212"/>
      <c r="D1360" s="202"/>
      <c r="E1360" s="214"/>
      <c r="F1360" s="202"/>
      <c r="G1360" s="206"/>
      <c r="H1360" s="202"/>
      <c r="I1360" s="207"/>
      <c r="J1360" s="207"/>
      <c r="K1360" s="207"/>
      <c r="L1360" s="207"/>
      <c r="M1360" s="207"/>
    </row>
    <row r="1361" spans="1:13">
      <c r="A1361" s="211"/>
      <c r="B1361" s="212"/>
      <c r="C1361" s="212"/>
      <c r="D1361" s="202"/>
      <c r="E1361" s="214"/>
      <c r="F1361" s="202"/>
      <c r="G1361" s="206"/>
      <c r="H1361" s="202"/>
      <c r="I1361" s="207"/>
      <c r="J1361" s="207"/>
      <c r="K1361" s="207"/>
      <c r="L1361" s="207"/>
      <c r="M1361" s="207"/>
    </row>
    <row r="1362" spans="1:13">
      <c r="A1362" s="211"/>
      <c r="B1362" s="212"/>
      <c r="C1362" s="212"/>
      <c r="D1362" s="202"/>
      <c r="E1362" s="214"/>
      <c r="F1362" s="202"/>
      <c r="G1362" s="206"/>
      <c r="H1362" s="202"/>
      <c r="I1362" s="207"/>
      <c r="J1362" s="207"/>
      <c r="K1362" s="207"/>
      <c r="L1362" s="207"/>
      <c r="M1362" s="207"/>
    </row>
    <row r="1363" spans="1:13">
      <c r="A1363" s="211"/>
      <c r="B1363" s="212"/>
      <c r="C1363" s="212"/>
      <c r="D1363" s="202"/>
      <c r="E1363" s="214"/>
      <c r="F1363" s="202"/>
      <c r="G1363" s="206"/>
      <c r="H1363" s="202"/>
      <c r="I1363" s="207"/>
      <c r="J1363" s="207"/>
      <c r="K1363" s="207"/>
      <c r="L1363" s="207"/>
      <c r="M1363" s="207"/>
    </row>
    <row r="1364" spans="1:13">
      <c r="A1364" s="211"/>
      <c r="B1364" s="212"/>
      <c r="C1364" s="212"/>
      <c r="D1364" s="202"/>
      <c r="E1364" s="214"/>
      <c r="F1364" s="202"/>
      <c r="G1364" s="206"/>
      <c r="H1364" s="202"/>
      <c r="I1364" s="207"/>
      <c r="J1364" s="207"/>
      <c r="K1364" s="207"/>
      <c r="L1364" s="207"/>
      <c r="M1364" s="207"/>
    </row>
    <row r="1365" spans="1:13">
      <c r="A1365" s="211"/>
      <c r="B1365" s="212"/>
      <c r="C1365" s="212"/>
      <c r="D1365" s="202"/>
      <c r="E1365" s="214"/>
      <c r="F1365" s="202"/>
      <c r="G1365" s="206"/>
      <c r="H1365" s="202"/>
      <c r="I1365" s="207"/>
      <c r="J1365" s="207"/>
      <c r="K1365" s="207"/>
      <c r="L1365" s="207"/>
      <c r="M1365" s="207"/>
    </row>
    <row r="1366" spans="1:13">
      <c r="A1366" s="211"/>
      <c r="B1366" s="212"/>
      <c r="C1366" s="212"/>
      <c r="D1366" s="202"/>
      <c r="E1366" s="214"/>
      <c r="F1366" s="202"/>
      <c r="G1366" s="206"/>
      <c r="H1366" s="202"/>
      <c r="I1366" s="207"/>
      <c r="J1366" s="207"/>
      <c r="K1366" s="207"/>
      <c r="L1366" s="207"/>
      <c r="M1366" s="207"/>
    </row>
    <row r="1367" spans="1:13">
      <c r="A1367" s="211"/>
      <c r="B1367" s="212"/>
      <c r="C1367" s="212"/>
      <c r="D1367" s="202"/>
      <c r="E1367" s="214"/>
      <c r="F1367" s="202"/>
      <c r="G1367" s="206"/>
      <c r="H1367" s="202"/>
      <c r="I1367" s="207"/>
      <c r="J1367" s="207"/>
      <c r="K1367" s="207"/>
      <c r="L1367" s="207"/>
      <c r="M1367" s="207"/>
    </row>
    <row r="1368" spans="1:13">
      <c r="A1368" s="211"/>
      <c r="B1368" s="212"/>
      <c r="C1368" s="212"/>
      <c r="D1368" s="202"/>
      <c r="E1368" s="214"/>
      <c r="F1368" s="202"/>
      <c r="G1368" s="206"/>
      <c r="H1368" s="202"/>
      <c r="I1368" s="207"/>
      <c r="J1368" s="207"/>
      <c r="K1368" s="207"/>
      <c r="L1368" s="207"/>
      <c r="M1368" s="207"/>
    </row>
    <row r="1369" spans="1:13">
      <c r="A1369" s="211"/>
      <c r="B1369" s="212"/>
      <c r="C1369" s="212"/>
      <c r="D1369" s="202"/>
      <c r="E1369" s="214"/>
      <c r="F1369" s="202"/>
      <c r="G1369" s="206"/>
      <c r="H1369" s="202"/>
      <c r="I1369" s="207"/>
      <c r="J1369" s="207"/>
      <c r="K1369" s="207"/>
      <c r="L1369" s="207"/>
      <c r="M1369" s="207"/>
    </row>
    <row r="1370" spans="1:13">
      <c r="A1370" s="211"/>
      <c r="B1370" s="212"/>
      <c r="C1370" s="212"/>
      <c r="D1370" s="202"/>
      <c r="E1370" s="214"/>
      <c r="F1370" s="202"/>
      <c r="G1370" s="206"/>
      <c r="H1370" s="202"/>
      <c r="I1370" s="207"/>
      <c r="J1370" s="207"/>
      <c r="K1370" s="207"/>
      <c r="L1370" s="207"/>
      <c r="M1370" s="207"/>
    </row>
    <row r="1371" spans="1:13">
      <c r="A1371" s="211"/>
      <c r="B1371" s="212"/>
      <c r="C1371" s="212"/>
      <c r="D1371" s="202"/>
      <c r="E1371" s="214"/>
      <c r="F1371" s="202"/>
      <c r="G1371" s="206"/>
      <c r="H1371" s="202"/>
      <c r="I1371" s="207"/>
      <c r="J1371" s="207"/>
      <c r="K1371" s="207"/>
      <c r="L1371" s="207"/>
      <c r="M1371" s="207"/>
    </row>
    <row r="1372" spans="1:13">
      <c r="A1372" s="211"/>
      <c r="B1372" s="212"/>
      <c r="C1372" s="212"/>
      <c r="D1372" s="202"/>
      <c r="E1372" s="214"/>
      <c r="F1372" s="202"/>
      <c r="G1372" s="206"/>
      <c r="H1372" s="202"/>
      <c r="I1372" s="207"/>
      <c r="J1372" s="207"/>
      <c r="K1372" s="207"/>
      <c r="L1372" s="207"/>
      <c r="M1372" s="207"/>
    </row>
    <row r="1373" spans="1:13">
      <c r="A1373" s="211"/>
      <c r="B1373" s="212"/>
      <c r="C1373" s="212"/>
      <c r="D1373" s="202"/>
      <c r="E1373" s="214"/>
      <c r="F1373" s="202"/>
      <c r="G1373" s="206"/>
      <c r="H1373" s="202"/>
      <c r="I1373" s="207"/>
      <c r="J1373" s="207"/>
      <c r="K1373" s="207"/>
      <c r="L1373" s="207"/>
      <c r="M1373" s="207"/>
    </row>
    <row r="1374" spans="1:13">
      <c r="A1374" s="211"/>
      <c r="B1374" s="212"/>
      <c r="C1374" s="212"/>
      <c r="D1374" s="202"/>
      <c r="E1374" s="214"/>
      <c r="F1374" s="202"/>
      <c r="G1374" s="206"/>
      <c r="H1374" s="202"/>
      <c r="I1374" s="207"/>
      <c r="J1374" s="207"/>
      <c r="K1374" s="207"/>
      <c r="L1374" s="207"/>
      <c r="M1374" s="207"/>
    </row>
    <row r="1375" spans="1:13">
      <c r="A1375" s="211"/>
      <c r="B1375" s="212"/>
      <c r="C1375" s="212"/>
      <c r="D1375" s="202"/>
      <c r="E1375" s="214"/>
      <c r="F1375" s="202"/>
      <c r="G1375" s="206"/>
      <c r="H1375" s="202"/>
      <c r="I1375" s="207"/>
      <c r="J1375" s="207"/>
      <c r="K1375" s="207"/>
      <c r="L1375" s="207"/>
      <c r="M1375" s="207"/>
    </row>
    <row r="1376" spans="1:13">
      <c r="A1376" s="211"/>
      <c r="B1376" s="212"/>
      <c r="C1376" s="212"/>
      <c r="D1376" s="202"/>
      <c r="E1376" s="214"/>
      <c r="F1376" s="202"/>
      <c r="G1376" s="206"/>
      <c r="H1376" s="202"/>
      <c r="I1376" s="207"/>
      <c r="J1376" s="207"/>
      <c r="K1376" s="207"/>
      <c r="L1376" s="207"/>
      <c r="M1376" s="207"/>
    </row>
    <row r="1377" spans="1:13">
      <c r="A1377" s="211"/>
      <c r="B1377" s="212"/>
      <c r="C1377" s="212"/>
      <c r="D1377" s="202"/>
      <c r="E1377" s="214"/>
      <c r="F1377" s="202"/>
      <c r="G1377" s="206"/>
      <c r="H1377" s="202"/>
      <c r="I1377" s="207"/>
      <c r="J1377" s="207"/>
      <c r="K1377" s="207"/>
      <c r="L1377" s="207"/>
      <c r="M1377" s="207"/>
    </row>
    <row r="1378" spans="1:13">
      <c r="A1378" s="211"/>
      <c r="B1378" s="212"/>
      <c r="C1378" s="212"/>
      <c r="D1378" s="202"/>
      <c r="E1378" s="214"/>
      <c r="F1378" s="202"/>
      <c r="G1378" s="206"/>
      <c r="H1378" s="202"/>
      <c r="I1378" s="207"/>
      <c r="J1378" s="207"/>
      <c r="K1378" s="207"/>
      <c r="L1378" s="207"/>
      <c r="M1378" s="207"/>
    </row>
    <row r="1379" spans="1:13">
      <c r="A1379" s="211"/>
      <c r="B1379" s="212"/>
      <c r="C1379" s="212"/>
      <c r="D1379" s="202"/>
      <c r="E1379" s="214"/>
      <c r="F1379" s="202"/>
      <c r="G1379" s="206"/>
      <c r="H1379" s="202"/>
      <c r="I1379" s="207"/>
      <c r="J1379" s="207"/>
      <c r="K1379" s="207"/>
      <c r="L1379" s="207"/>
      <c r="M1379" s="207"/>
    </row>
    <row r="1380" spans="1:13">
      <c r="A1380" s="211"/>
      <c r="B1380" s="212"/>
      <c r="C1380" s="212"/>
      <c r="D1380" s="202"/>
      <c r="E1380" s="214"/>
      <c r="F1380" s="202"/>
      <c r="G1380" s="206"/>
      <c r="H1380" s="202"/>
      <c r="I1380" s="207"/>
      <c r="J1380" s="207"/>
      <c r="K1380" s="207"/>
      <c r="L1380" s="207"/>
      <c r="M1380" s="207"/>
    </row>
    <row r="1381" spans="1:13">
      <c r="A1381" s="211"/>
      <c r="B1381" s="212"/>
      <c r="C1381" s="212"/>
      <c r="D1381" s="202"/>
      <c r="E1381" s="214"/>
      <c r="F1381" s="202"/>
      <c r="G1381" s="206"/>
      <c r="H1381" s="202"/>
      <c r="I1381" s="207"/>
      <c r="J1381" s="207"/>
      <c r="K1381" s="207"/>
      <c r="L1381" s="207"/>
      <c r="M1381" s="207"/>
    </row>
    <row r="1382" spans="1:13">
      <c r="A1382" s="211"/>
      <c r="B1382" s="212"/>
      <c r="C1382" s="212"/>
      <c r="D1382" s="202"/>
      <c r="E1382" s="214"/>
      <c r="F1382" s="202"/>
      <c r="G1382" s="206"/>
      <c r="H1382" s="202"/>
      <c r="I1382" s="207"/>
      <c r="J1382" s="207"/>
      <c r="K1382" s="207"/>
      <c r="L1382" s="207"/>
      <c r="M1382" s="207"/>
    </row>
    <row r="1383" spans="1:13">
      <c r="A1383" s="211"/>
      <c r="B1383" s="212"/>
      <c r="C1383" s="212"/>
      <c r="D1383" s="202"/>
      <c r="E1383" s="214"/>
      <c r="F1383" s="202"/>
      <c r="G1383" s="206"/>
      <c r="H1383" s="202"/>
      <c r="I1383" s="207"/>
      <c r="J1383" s="207"/>
      <c r="K1383" s="207"/>
      <c r="L1383" s="207"/>
      <c r="M1383" s="207"/>
    </row>
    <row r="1384" spans="1:13">
      <c r="A1384" s="211"/>
      <c r="B1384" s="212"/>
      <c r="C1384" s="212"/>
      <c r="D1384" s="202"/>
      <c r="E1384" s="214"/>
      <c r="F1384" s="202"/>
      <c r="G1384" s="206"/>
      <c r="H1384" s="202"/>
      <c r="I1384" s="207"/>
      <c r="J1384" s="207"/>
      <c r="K1384" s="207"/>
      <c r="L1384" s="207"/>
      <c r="M1384" s="207"/>
    </row>
    <row r="1385" spans="1:13">
      <c r="A1385" s="211"/>
      <c r="B1385" s="212"/>
      <c r="C1385" s="212"/>
      <c r="D1385" s="202"/>
      <c r="E1385" s="214"/>
      <c r="F1385" s="202"/>
      <c r="G1385" s="206"/>
      <c r="H1385" s="202"/>
      <c r="I1385" s="207"/>
      <c r="J1385" s="207"/>
      <c r="K1385" s="207"/>
      <c r="L1385" s="207"/>
      <c r="M1385" s="207"/>
    </row>
    <row r="1386" spans="1:13">
      <c r="A1386" s="211"/>
      <c r="B1386" s="212"/>
      <c r="C1386" s="212"/>
      <c r="D1386" s="202"/>
      <c r="E1386" s="214"/>
      <c r="F1386" s="202"/>
      <c r="G1386" s="206"/>
      <c r="H1386" s="202"/>
      <c r="I1386" s="207"/>
      <c r="J1386" s="207"/>
      <c r="K1386" s="207"/>
      <c r="L1386" s="207"/>
      <c r="M1386" s="207"/>
    </row>
    <row r="1387" spans="1:13">
      <c r="A1387" s="211"/>
      <c r="B1387" s="212"/>
      <c r="C1387" s="212"/>
      <c r="D1387" s="202"/>
      <c r="E1387" s="214"/>
      <c r="F1387" s="202"/>
      <c r="G1387" s="206"/>
      <c r="H1387" s="202"/>
      <c r="I1387" s="207"/>
      <c r="J1387" s="207"/>
      <c r="K1387" s="207"/>
      <c r="L1387" s="207"/>
      <c r="M1387" s="207"/>
    </row>
    <row r="1388" spans="1:13">
      <c r="A1388" s="211"/>
      <c r="B1388" s="212"/>
      <c r="C1388" s="212"/>
      <c r="D1388" s="202"/>
      <c r="E1388" s="214"/>
      <c r="F1388" s="202"/>
      <c r="G1388" s="206"/>
      <c r="H1388" s="202"/>
      <c r="I1388" s="207"/>
      <c r="J1388" s="207"/>
      <c r="K1388" s="207"/>
      <c r="L1388" s="207"/>
      <c r="M1388" s="207"/>
    </row>
    <row r="1389" spans="1:13">
      <c r="A1389" s="211"/>
      <c r="B1389" s="212"/>
      <c r="C1389" s="212"/>
      <c r="D1389" s="202"/>
      <c r="E1389" s="214"/>
      <c r="F1389" s="202"/>
      <c r="G1389" s="206"/>
      <c r="H1389" s="202"/>
      <c r="I1389" s="207"/>
      <c r="J1389" s="207"/>
      <c r="K1389" s="207"/>
      <c r="L1389" s="207"/>
      <c r="M1389" s="207"/>
    </row>
    <row r="1390" spans="1:13">
      <c r="A1390" s="211"/>
      <c r="B1390" s="212"/>
      <c r="C1390" s="212"/>
      <c r="D1390" s="202"/>
      <c r="E1390" s="214"/>
      <c r="F1390" s="202"/>
      <c r="G1390" s="206"/>
      <c r="H1390" s="202"/>
      <c r="I1390" s="207"/>
      <c r="J1390" s="207"/>
      <c r="K1390" s="207"/>
      <c r="L1390" s="207"/>
      <c r="M1390" s="207"/>
    </row>
    <row r="1391" spans="1:13">
      <c r="A1391" s="211"/>
      <c r="B1391" s="212"/>
      <c r="C1391" s="212"/>
      <c r="D1391" s="202"/>
      <c r="E1391" s="214"/>
      <c r="F1391" s="202"/>
      <c r="G1391" s="206"/>
      <c r="H1391" s="202"/>
      <c r="I1391" s="207"/>
      <c r="J1391" s="207"/>
      <c r="K1391" s="207"/>
      <c r="L1391" s="207"/>
      <c r="M1391" s="207"/>
    </row>
    <row r="1392" spans="1:13">
      <c r="A1392" s="211"/>
      <c r="B1392" s="212"/>
      <c r="C1392" s="212"/>
      <c r="D1392" s="202"/>
      <c r="E1392" s="214"/>
      <c r="F1392" s="202"/>
      <c r="G1392" s="206"/>
      <c r="H1392" s="202"/>
      <c r="I1392" s="207"/>
      <c r="J1392" s="207"/>
      <c r="K1392" s="207"/>
      <c r="L1392" s="207"/>
      <c r="M1392" s="207"/>
    </row>
    <row r="1393" spans="1:13">
      <c r="A1393" s="211"/>
      <c r="B1393" s="212"/>
      <c r="C1393" s="212"/>
      <c r="D1393" s="202"/>
      <c r="E1393" s="214"/>
      <c r="F1393" s="202"/>
      <c r="G1393" s="206"/>
      <c r="H1393" s="202"/>
      <c r="I1393" s="207"/>
      <c r="J1393" s="207"/>
      <c r="K1393" s="207"/>
      <c r="L1393" s="207"/>
      <c r="M1393" s="207"/>
    </row>
    <row r="1394" spans="1:13">
      <c r="A1394" s="211"/>
      <c r="B1394" s="212"/>
      <c r="C1394" s="212"/>
      <c r="D1394" s="202"/>
      <c r="E1394" s="214"/>
      <c r="F1394" s="202"/>
      <c r="G1394" s="206"/>
      <c r="H1394" s="202"/>
      <c r="I1394" s="207"/>
      <c r="J1394" s="207"/>
      <c r="K1394" s="207"/>
      <c r="L1394" s="207"/>
      <c r="M1394" s="207"/>
    </row>
    <row r="1395" spans="1:13">
      <c r="A1395" s="211"/>
      <c r="B1395" s="212"/>
      <c r="C1395" s="212"/>
      <c r="D1395" s="202"/>
      <c r="E1395" s="214"/>
      <c r="F1395" s="202"/>
      <c r="G1395" s="206"/>
      <c r="H1395" s="202"/>
      <c r="I1395" s="207"/>
      <c r="J1395" s="207"/>
      <c r="K1395" s="207"/>
      <c r="L1395" s="207"/>
      <c r="M1395" s="207"/>
    </row>
    <row r="1396" spans="1:13">
      <c r="A1396" s="211"/>
      <c r="B1396" s="212"/>
      <c r="C1396" s="212"/>
      <c r="D1396" s="202"/>
      <c r="E1396" s="214"/>
      <c r="F1396" s="202"/>
      <c r="G1396" s="206"/>
      <c r="H1396" s="202"/>
      <c r="I1396" s="207"/>
      <c r="J1396" s="207"/>
      <c r="K1396" s="207"/>
      <c r="L1396" s="207"/>
      <c r="M1396" s="207"/>
    </row>
    <row r="1397" spans="1:13">
      <c r="A1397" s="211"/>
      <c r="B1397" s="212"/>
      <c r="C1397" s="212"/>
      <c r="D1397" s="202"/>
      <c r="E1397" s="214"/>
      <c r="F1397" s="202"/>
      <c r="G1397" s="206"/>
      <c r="H1397" s="202"/>
      <c r="I1397" s="207"/>
      <c r="J1397" s="207"/>
      <c r="K1397" s="207"/>
      <c r="L1397" s="207"/>
      <c r="M1397" s="207"/>
    </row>
    <row r="1398" spans="1:13">
      <c r="A1398" s="211"/>
      <c r="B1398" s="212"/>
      <c r="C1398" s="212"/>
      <c r="D1398" s="202"/>
      <c r="E1398" s="214"/>
      <c r="F1398" s="202"/>
      <c r="G1398" s="206"/>
      <c r="H1398" s="202"/>
      <c r="I1398" s="207"/>
      <c r="J1398" s="207"/>
      <c r="K1398" s="207"/>
      <c r="L1398" s="207"/>
      <c r="M1398" s="207"/>
    </row>
    <row r="1399" spans="1:13">
      <c r="A1399" s="211"/>
      <c r="B1399" s="212"/>
      <c r="C1399" s="212"/>
      <c r="D1399" s="202"/>
      <c r="E1399" s="214"/>
      <c r="F1399" s="202"/>
      <c r="G1399" s="206"/>
      <c r="H1399" s="202"/>
      <c r="I1399" s="207"/>
      <c r="J1399" s="207"/>
      <c r="K1399" s="207"/>
      <c r="L1399" s="207"/>
      <c r="M1399" s="207"/>
    </row>
    <row r="1400" spans="1:13">
      <c r="A1400" s="211"/>
      <c r="B1400" s="212"/>
      <c r="C1400" s="212"/>
      <c r="D1400" s="202"/>
      <c r="E1400" s="214"/>
      <c r="F1400" s="202"/>
      <c r="G1400" s="206"/>
      <c r="H1400" s="202"/>
      <c r="I1400" s="207"/>
      <c r="J1400" s="207"/>
      <c r="K1400" s="207"/>
      <c r="L1400" s="207"/>
      <c r="M1400" s="207"/>
    </row>
    <row r="1401" spans="1:13">
      <c r="A1401" s="211"/>
      <c r="B1401" s="212"/>
      <c r="C1401" s="212"/>
      <c r="D1401" s="202"/>
      <c r="E1401" s="214"/>
      <c r="F1401" s="202"/>
      <c r="G1401" s="206"/>
      <c r="H1401" s="202"/>
      <c r="I1401" s="207"/>
      <c r="J1401" s="207"/>
      <c r="K1401" s="207"/>
      <c r="L1401" s="207"/>
      <c r="M1401" s="207"/>
    </row>
    <row r="1402" spans="1:13">
      <c r="A1402" s="211"/>
      <c r="B1402" s="212"/>
      <c r="C1402" s="212"/>
      <c r="D1402" s="202"/>
      <c r="E1402" s="214"/>
      <c r="F1402" s="202"/>
      <c r="G1402" s="206"/>
      <c r="H1402" s="202"/>
      <c r="I1402" s="207"/>
      <c r="J1402" s="207"/>
      <c r="K1402" s="207"/>
      <c r="L1402" s="207"/>
      <c r="M1402" s="207"/>
    </row>
    <row r="1403" spans="1:13">
      <c r="A1403" s="211"/>
      <c r="B1403" s="212"/>
      <c r="C1403" s="212"/>
      <c r="D1403" s="202"/>
      <c r="E1403" s="214"/>
      <c r="F1403" s="202"/>
      <c r="G1403" s="206"/>
      <c r="H1403" s="202"/>
      <c r="I1403" s="207"/>
      <c r="J1403" s="207"/>
      <c r="K1403" s="207"/>
      <c r="L1403" s="207"/>
      <c r="M1403" s="207"/>
    </row>
    <row r="1404" spans="1:13">
      <c r="A1404" s="211"/>
      <c r="B1404" s="212"/>
      <c r="C1404" s="212"/>
      <c r="D1404" s="202"/>
      <c r="E1404" s="214"/>
      <c r="F1404" s="202"/>
      <c r="G1404" s="206"/>
      <c r="H1404" s="202"/>
      <c r="I1404" s="207"/>
      <c r="J1404" s="207"/>
      <c r="K1404" s="207"/>
      <c r="L1404" s="207"/>
      <c r="M1404" s="207"/>
    </row>
    <row r="1405" spans="1:13">
      <c r="A1405" s="211"/>
      <c r="B1405" s="212"/>
      <c r="C1405" s="212"/>
      <c r="D1405" s="202"/>
      <c r="E1405" s="214"/>
      <c r="F1405" s="202"/>
      <c r="G1405" s="206"/>
      <c r="H1405" s="202"/>
      <c r="I1405" s="207"/>
      <c r="J1405" s="207"/>
      <c r="K1405" s="207"/>
      <c r="L1405" s="207"/>
      <c r="M1405" s="207"/>
    </row>
    <row r="1406" spans="1:13">
      <c r="A1406" s="211"/>
      <c r="B1406" s="212"/>
      <c r="C1406" s="212"/>
      <c r="D1406" s="202"/>
      <c r="E1406" s="214"/>
      <c r="F1406" s="202"/>
      <c r="G1406" s="206"/>
      <c r="H1406" s="202"/>
      <c r="I1406" s="207"/>
      <c r="J1406" s="207"/>
      <c r="K1406" s="207"/>
      <c r="L1406" s="207"/>
      <c r="M1406" s="207"/>
    </row>
    <row r="1407" spans="1:13">
      <c r="A1407" s="211"/>
      <c r="B1407" s="212"/>
      <c r="C1407" s="212"/>
      <c r="D1407" s="202"/>
      <c r="E1407" s="214"/>
      <c r="F1407" s="202"/>
      <c r="G1407" s="206"/>
      <c r="H1407" s="202"/>
      <c r="I1407" s="207"/>
      <c r="J1407" s="207"/>
      <c r="K1407" s="207"/>
      <c r="L1407" s="207"/>
      <c r="M1407" s="207"/>
    </row>
    <row r="1408" spans="1:13">
      <c r="A1408" s="211"/>
      <c r="B1408" s="212"/>
      <c r="C1408" s="212"/>
      <c r="D1408" s="202"/>
      <c r="E1408" s="214"/>
      <c r="F1408" s="202"/>
      <c r="G1408" s="206"/>
      <c r="H1408" s="202"/>
      <c r="I1408" s="207"/>
      <c r="J1408" s="207"/>
      <c r="K1408" s="207"/>
      <c r="L1408" s="207"/>
      <c r="M1408" s="207"/>
    </row>
    <row r="1409" spans="1:13">
      <c r="A1409" s="211"/>
      <c r="B1409" s="212"/>
      <c r="C1409" s="212"/>
      <c r="D1409" s="202"/>
      <c r="E1409" s="214"/>
      <c r="F1409" s="202"/>
      <c r="G1409" s="206"/>
      <c r="H1409" s="202"/>
      <c r="I1409" s="207"/>
      <c r="J1409" s="207"/>
      <c r="K1409" s="207"/>
      <c r="L1409" s="207"/>
      <c r="M1409" s="207"/>
    </row>
    <row r="1410" spans="1:13">
      <c r="A1410" s="211"/>
      <c r="B1410" s="212"/>
      <c r="C1410" s="212"/>
      <c r="D1410" s="202"/>
      <c r="E1410" s="214"/>
      <c r="F1410" s="202"/>
      <c r="G1410" s="206"/>
      <c r="H1410" s="202"/>
      <c r="I1410" s="207"/>
      <c r="J1410" s="207"/>
      <c r="K1410" s="207"/>
      <c r="L1410" s="207"/>
      <c r="M1410" s="207"/>
    </row>
    <row r="1411" spans="1:13">
      <c r="A1411" s="211"/>
      <c r="B1411" s="212"/>
      <c r="C1411" s="212"/>
      <c r="D1411" s="202"/>
      <c r="E1411" s="214"/>
      <c r="F1411" s="202"/>
      <c r="G1411" s="206"/>
      <c r="H1411" s="202"/>
      <c r="I1411" s="207"/>
      <c r="J1411" s="207"/>
      <c r="K1411" s="207"/>
      <c r="L1411" s="207"/>
      <c r="M1411" s="207"/>
    </row>
    <row r="1412" spans="1:13">
      <c r="A1412" s="211"/>
      <c r="B1412" s="212"/>
      <c r="C1412" s="212"/>
      <c r="D1412" s="202"/>
      <c r="E1412" s="214"/>
      <c r="F1412" s="202"/>
      <c r="G1412" s="206"/>
      <c r="H1412" s="202"/>
      <c r="I1412" s="207"/>
      <c r="J1412" s="207"/>
      <c r="K1412" s="207"/>
      <c r="L1412" s="207"/>
      <c r="M1412" s="207"/>
    </row>
    <row r="1413" spans="1:13">
      <c r="A1413" s="211"/>
      <c r="B1413" s="212"/>
      <c r="C1413" s="212"/>
      <c r="D1413" s="202"/>
      <c r="E1413" s="214"/>
      <c r="F1413" s="202"/>
      <c r="G1413" s="206"/>
      <c r="H1413" s="202"/>
      <c r="I1413" s="207"/>
      <c r="J1413" s="207"/>
      <c r="K1413" s="207"/>
      <c r="L1413" s="207"/>
      <c r="M1413" s="207"/>
    </row>
    <row r="1414" spans="1:13">
      <c r="A1414" s="211"/>
      <c r="B1414" s="212"/>
      <c r="C1414" s="212"/>
      <c r="D1414" s="202"/>
      <c r="E1414" s="214"/>
      <c r="F1414" s="202"/>
      <c r="G1414" s="206"/>
      <c r="H1414" s="202"/>
      <c r="I1414" s="207"/>
      <c r="J1414" s="207"/>
      <c r="K1414" s="207"/>
      <c r="L1414" s="207"/>
      <c r="M1414" s="207"/>
    </row>
    <row r="1415" spans="1:13">
      <c r="A1415" s="211"/>
      <c r="B1415" s="212"/>
      <c r="C1415" s="212"/>
      <c r="D1415" s="202"/>
      <c r="E1415" s="214"/>
      <c r="F1415" s="202"/>
      <c r="G1415" s="206"/>
      <c r="H1415" s="202"/>
      <c r="I1415" s="207"/>
      <c r="J1415" s="207"/>
      <c r="K1415" s="207"/>
      <c r="L1415" s="207"/>
      <c r="M1415" s="207"/>
    </row>
    <row r="1416" spans="1:13">
      <c r="A1416" s="211"/>
      <c r="B1416" s="212"/>
      <c r="C1416" s="212"/>
      <c r="D1416" s="202"/>
      <c r="E1416" s="214"/>
      <c r="F1416" s="202"/>
      <c r="G1416" s="206"/>
      <c r="H1416" s="202"/>
      <c r="I1416" s="207"/>
      <c r="J1416" s="207"/>
      <c r="K1416" s="207"/>
      <c r="L1416" s="207"/>
      <c r="M1416" s="207"/>
    </row>
    <row r="1417" spans="1:13">
      <c r="A1417" s="211"/>
      <c r="B1417" s="212"/>
      <c r="C1417" s="212"/>
      <c r="D1417" s="202"/>
      <c r="E1417" s="214"/>
      <c r="F1417" s="202"/>
      <c r="G1417" s="206"/>
      <c r="H1417" s="202"/>
      <c r="I1417" s="207"/>
      <c r="J1417" s="207"/>
      <c r="K1417" s="207"/>
      <c r="L1417" s="207"/>
      <c r="M1417" s="207"/>
    </row>
    <row r="1418" spans="1:13">
      <c r="A1418" s="211"/>
      <c r="B1418" s="212"/>
      <c r="C1418" s="212"/>
      <c r="D1418" s="202"/>
      <c r="E1418" s="214"/>
      <c r="F1418" s="202"/>
      <c r="G1418" s="206"/>
      <c r="H1418" s="202"/>
      <c r="I1418" s="207"/>
      <c r="J1418" s="207"/>
      <c r="K1418" s="207"/>
      <c r="L1418" s="207"/>
      <c r="M1418" s="207"/>
    </row>
    <row r="1419" spans="1:13">
      <c r="A1419" s="211"/>
      <c r="B1419" s="212"/>
      <c r="C1419" s="212"/>
      <c r="D1419" s="202"/>
      <c r="E1419" s="214"/>
      <c r="F1419" s="202"/>
      <c r="G1419" s="206"/>
      <c r="H1419" s="202"/>
      <c r="I1419" s="207"/>
      <c r="J1419" s="207"/>
      <c r="K1419" s="207"/>
      <c r="L1419" s="207"/>
      <c r="M1419" s="207"/>
    </row>
    <row r="1420" spans="1:13">
      <c r="A1420" s="211"/>
      <c r="B1420" s="212"/>
      <c r="C1420" s="212"/>
      <c r="D1420" s="202"/>
      <c r="E1420" s="214"/>
      <c r="F1420" s="202"/>
      <c r="G1420" s="206"/>
      <c r="H1420" s="202"/>
      <c r="I1420" s="207"/>
      <c r="J1420" s="207"/>
      <c r="K1420" s="207"/>
      <c r="L1420" s="207"/>
      <c r="M1420" s="207"/>
    </row>
    <row r="1421" spans="1:13">
      <c r="A1421" s="211"/>
      <c r="B1421" s="212"/>
      <c r="C1421" s="212"/>
      <c r="D1421" s="202"/>
      <c r="E1421" s="214"/>
      <c r="F1421" s="202"/>
      <c r="G1421" s="206"/>
      <c r="H1421" s="202"/>
      <c r="I1421" s="207"/>
      <c r="J1421" s="207"/>
      <c r="K1421" s="207"/>
      <c r="L1421" s="207"/>
      <c r="M1421" s="207"/>
    </row>
    <row r="1422" spans="1:13">
      <c r="A1422" s="211"/>
      <c r="B1422" s="212"/>
      <c r="C1422" s="212"/>
      <c r="D1422" s="202"/>
      <c r="E1422" s="214"/>
      <c r="F1422" s="202"/>
      <c r="G1422" s="206"/>
      <c r="H1422" s="202"/>
      <c r="I1422" s="207"/>
      <c r="J1422" s="207"/>
      <c r="K1422" s="207"/>
      <c r="L1422" s="207"/>
      <c r="M1422" s="207"/>
    </row>
    <row r="1423" spans="1:13">
      <c r="A1423" s="211"/>
      <c r="B1423" s="212"/>
      <c r="C1423" s="212"/>
      <c r="D1423" s="202"/>
      <c r="E1423" s="214"/>
      <c r="F1423" s="202"/>
      <c r="G1423" s="206"/>
      <c r="H1423" s="202"/>
      <c r="I1423" s="207"/>
      <c r="J1423" s="207"/>
      <c r="K1423" s="207"/>
      <c r="L1423" s="207"/>
      <c r="M1423" s="207"/>
    </row>
    <row r="1424" spans="1:13">
      <c r="A1424" s="211"/>
      <c r="B1424" s="212"/>
      <c r="C1424" s="212"/>
      <c r="D1424" s="202"/>
      <c r="E1424" s="214"/>
      <c r="F1424" s="202"/>
      <c r="G1424" s="206"/>
      <c r="H1424" s="202"/>
      <c r="I1424" s="207"/>
      <c r="J1424" s="207"/>
      <c r="K1424" s="207"/>
      <c r="L1424" s="207"/>
      <c r="M1424" s="207"/>
    </row>
    <row r="1425" spans="1:13">
      <c r="A1425" s="211"/>
      <c r="B1425" s="212"/>
      <c r="C1425" s="212"/>
      <c r="D1425" s="202"/>
      <c r="E1425" s="214"/>
      <c r="F1425" s="202"/>
      <c r="G1425" s="206"/>
      <c r="H1425" s="202"/>
      <c r="I1425" s="207"/>
      <c r="J1425" s="207"/>
      <c r="K1425" s="207"/>
      <c r="L1425" s="207"/>
      <c r="M1425" s="207"/>
    </row>
    <row r="1426" spans="1:13">
      <c r="A1426" s="211"/>
      <c r="B1426" s="212"/>
      <c r="C1426" s="212"/>
      <c r="D1426" s="202"/>
      <c r="E1426" s="214"/>
      <c r="F1426" s="202"/>
      <c r="G1426" s="206"/>
      <c r="H1426" s="202"/>
      <c r="I1426" s="207"/>
      <c r="J1426" s="207"/>
      <c r="K1426" s="207"/>
      <c r="L1426" s="207"/>
      <c r="M1426" s="207"/>
    </row>
    <row r="1427" spans="1:13">
      <c r="A1427" s="211"/>
      <c r="B1427" s="212"/>
      <c r="C1427" s="212"/>
      <c r="D1427" s="202"/>
      <c r="E1427" s="214"/>
      <c r="F1427" s="202"/>
      <c r="G1427" s="206"/>
      <c r="H1427" s="202"/>
      <c r="I1427" s="207"/>
      <c r="J1427" s="207"/>
      <c r="K1427" s="207"/>
      <c r="L1427" s="207"/>
      <c r="M1427" s="207"/>
    </row>
    <row r="1428" spans="1:13">
      <c r="A1428" s="211"/>
      <c r="B1428" s="212"/>
      <c r="C1428" s="212"/>
      <c r="D1428" s="202"/>
      <c r="E1428" s="214"/>
      <c r="F1428" s="202"/>
      <c r="G1428" s="206"/>
      <c r="H1428" s="202"/>
      <c r="I1428" s="207"/>
      <c r="J1428" s="207"/>
      <c r="K1428" s="207"/>
      <c r="L1428" s="207"/>
      <c r="M1428" s="207"/>
    </row>
    <row r="1429" spans="1:13">
      <c r="A1429" s="211"/>
      <c r="B1429" s="212"/>
      <c r="C1429" s="212"/>
      <c r="D1429" s="202"/>
      <c r="E1429" s="214"/>
      <c r="F1429" s="202"/>
      <c r="G1429" s="206"/>
      <c r="H1429" s="202"/>
      <c r="I1429" s="207"/>
      <c r="J1429" s="207"/>
      <c r="K1429" s="207"/>
      <c r="L1429" s="207"/>
      <c r="M1429" s="207"/>
    </row>
    <row r="1430" spans="1:13">
      <c r="A1430" s="211"/>
      <c r="B1430" s="212"/>
      <c r="C1430" s="212"/>
      <c r="D1430" s="202"/>
      <c r="E1430" s="214"/>
      <c r="F1430" s="202"/>
      <c r="G1430" s="206"/>
      <c r="H1430" s="202"/>
      <c r="I1430" s="207"/>
      <c r="J1430" s="207"/>
      <c r="K1430" s="207"/>
      <c r="L1430" s="207"/>
      <c r="M1430" s="207"/>
    </row>
    <row r="1431" spans="1:13">
      <c r="A1431" s="211"/>
      <c r="B1431" s="212"/>
      <c r="C1431" s="212"/>
      <c r="D1431" s="202"/>
      <c r="E1431" s="214"/>
      <c r="F1431" s="202"/>
      <c r="G1431" s="206"/>
      <c r="H1431" s="202"/>
      <c r="I1431" s="207"/>
      <c r="J1431" s="207"/>
      <c r="K1431" s="207"/>
      <c r="L1431" s="207"/>
      <c r="M1431" s="207"/>
    </row>
    <row r="1432" spans="1:13">
      <c r="A1432" s="211"/>
      <c r="B1432" s="212"/>
      <c r="C1432" s="212"/>
      <c r="D1432" s="202"/>
      <c r="E1432" s="214"/>
      <c r="F1432" s="202"/>
      <c r="G1432" s="206"/>
      <c r="H1432" s="202"/>
      <c r="I1432" s="207"/>
      <c r="J1432" s="207"/>
      <c r="K1432" s="207"/>
      <c r="L1432" s="207"/>
      <c r="M1432" s="207"/>
    </row>
    <row r="1433" spans="1:13">
      <c r="A1433" s="211"/>
      <c r="B1433" s="212"/>
      <c r="C1433" s="212"/>
      <c r="D1433" s="202"/>
      <c r="E1433" s="214"/>
      <c r="F1433" s="202"/>
      <c r="G1433" s="206"/>
      <c r="H1433" s="202"/>
      <c r="I1433" s="207"/>
      <c r="J1433" s="207"/>
      <c r="K1433" s="207"/>
      <c r="L1433" s="207"/>
      <c r="M1433" s="207"/>
    </row>
    <row r="1434" spans="1:13">
      <c r="A1434" s="211"/>
      <c r="B1434" s="212"/>
      <c r="C1434" s="212"/>
      <c r="D1434" s="202"/>
      <c r="E1434" s="214"/>
      <c r="F1434" s="202"/>
      <c r="G1434" s="206"/>
      <c r="H1434" s="202"/>
      <c r="I1434" s="207"/>
      <c r="J1434" s="207"/>
      <c r="K1434" s="207"/>
      <c r="L1434" s="207"/>
      <c r="M1434" s="207"/>
    </row>
    <row r="1435" spans="1:13">
      <c r="A1435" s="211"/>
      <c r="B1435" s="212"/>
      <c r="C1435" s="212"/>
      <c r="D1435" s="202"/>
      <c r="E1435" s="214"/>
      <c r="F1435" s="202"/>
      <c r="G1435" s="206"/>
      <c r="H1435" s="202"/>
      <c r="I1435" s="207"/>
      <c r="J1435" s="207"/>
      <c r="K1435" s="207"/>
      <c r="L1435" s="207"/>
      <c r="M1435" s="207"/>
    </row>
    <row r="1436" spans="1:13">
      <c r="A1436" s="211"/>
      <c r="B1436" s="212"/>
      <c r="C1436" s="212"/>
      <c r="D1436" s="202"/>
      <c r="E1436" s="214"/>
      <c r="F1436" s="202"/>
      <c r="G1436" s="206"/>
      <c r="H1436" s="202"/>
      <c r="I1436" s="207"/>
      <c r="J1436" s="207"/>
      <c r="K1436" s="207"/>
      <c r="L1436" s="207"/>
      <c r="M1436" s="207"/>
    </row>
    <row r="1437" spans="1:13">
      <c r="A1437" s="211"/>
      <c r="B1437" s="212"/>
      <c r="C1437" s="212"/>
      <c r="D1437" s="202"/>
      <c r="E1437" s="214"/>
      <c r="F1437" s="202"/>
      <c r="G1437" s="206"/>
      <c r="H1437" s="202"/>
      <c r="I1437" s="207"/>
      <c r="J1437" s="207"/>
      <c r="K1437" s="207"/>
      <c r="L1437" s="207"/>
      <c r="M1437" s="207"/>
    </row>
    <row r="1438" spans="1:13">
      <c r="A1438" s="211"/>
      <c r="B1438" s="212"/>
      <c r="C1438" s="212"/>
      <c r="D1438" s="202"/>
      <c r="E1438" s="214"/>
      <c r="F1438" s="202"/>
      <c r="G1438" s="206"/>
      <c r="H1438" s="202"/>
      <c r="I1438" s="207"/>
      <c r="J1438" s="207"/>
      <c r="K1438" s="207"/>
      <c r="L1438" s="207"/>
      <c r="M1438" s="207"/>
    </row>
    <row r="1439" spans="1:13">
      <c r="A1439" s="211"/>
      <c r="B1439" s="212"/>
      <c r="C1439" s="212"/>
      <c r="D1439" s="202"/>
      <c r="E1439" s="214"/>
      <c r="F1439" s="202"/>
      <c r="G1439" s="206"/>
      <c r="H1439" s="202"/>
      <c r="I1439" s="207"/>
      <c r="J1439" s="207"/>
      <c r="K1439" s="207"/>
      <c r="L1439" s="207"/>
      <c r="M1439" s="207"/>
    </row>
    <row r="1440" spans="1:13">
      <c r="A1440" s="211"/>
      <c r="B1440" s="212"/>
      <c r="C1440" s="212"/>
      <c r="D1440" s="202"/>
      <c r="E1440" s="214"/>
      <c r="F1440" s="202"/>
      <c r="G1440" s="206"/>
      <c r="H1440" s="202"/>
      <c r="I1440" s="207"/>
      <c r="J1440" s="207"/>
      <c r="K1440" s="207"/>
      <c r="L1440" s="207"/>
      <c r="M1440" s="207"/>
    </row>
    <row r="1441" spans="1:13">
      <c r="A1441" s="211"/>
      <c r="B1441" s="212"/>
      <c r="C1441" s="212"/>
      <c r="D1441" s="202"/>
      <c r="E1441" s="214"/>
      <c r="F1441" s="202"/>
      <c r="G1441" s="206"/>
      <c r="H1441" s="202"/>
      <c r="I1441" s="207"/>
      <c r="J1441" s="207"/>
      <c r="K1441" s="207"/>
      <c r="L1441" s="207"/>
      <c r="M1441" s="207"/>
    </row>
    <row r="1442" spans="1:13">
      <c r="A1442" s="211"/>
      <c r="B1442" s="212"/>
      <c r="C1442" s="212"/>
      <c r="D1442" s="202"/>
      <c r="E1442" s="214"/>
      <c r="F1442" s="202"/>
      <c r="G1442" s="206"/>
      <c r="H1442" s="202"/>
      <c r="I1442" s="207"/>
      <c r="J1442" s="207"/>
      <c r="K1442" s="207"/>
      <c r="L1442" s="207"/>
      <c r="M1442" s="207"/>
    </row>
    <row r="1443" spans="1:13">
      <c r="A1443" s="211"/>
      <c r="B1443" s="212"/>
      <c r="C1443" s="212"/>
      <c r="D1443" s="202"/>
      <c r="E1443" s="214"/>
      <c r="F1443" s="202"/>
      <c r="G1443" s="206"/>
      <c r="H1443" s="202"/>
      <c r="I1443" s="207"/>
      <c r="J1443" s="207"/>
      <c r="K1443" s="207"/>
      <c r="L1443" s="207"/>
      <c r="M1443" s="207"/>
    </row>
    <row r="1444" spans="1:13">
      <c r="A1444" s="211"/>
      <c r="B1444" s="212"/>
      <c r="C1444" s="212"/>
      <c r="D1444" s="202"/>
      <c r="E1444" s="214"/>
      <c r="F1444" s="202"/>
      <c r="G1444" s="206"/>
      <c r="H1444" s="202"/>
      <c r="I1444" s="207"/>
      <c r="J1444" s="207"/>
      <c r="K1444" s="207"/>
      <c r="L1444" s="207"/>
      <c r="M1444" s="207"/>
    </row>
    <row r="1445" spans="1:13">
      <c r="A1445" s="211"/>
      <c r="B1445" s="212"/>
      <c r="C1445" s="212"/>
      <c r="D1445" s="202"/>
      <c r="E1445" s="214"/>
      <c r="F1445" s="202"/>
      <c r="G1445" s="206"/>
      <c r="H1445" s="202"/>
      <c r="I1445" s="207"/>
      <c r="J1445" s="207"/>
      <c r="K1445" s="207"/>
      <c r="L1445" s="207"/>
      <c r="M1445" s="207"/>
    </row>
    <row r="1446" spans="1:13">
      <c r="A1446" s="211"/>
      <c r="B1446" s="212"/>
      <c r="C1446" s="212"/>
      <c r="D1446" s="202"/>
      <c r="E1446" s="214"/>
      <c r="F1446" s="202"/>
      <c r="G1446" s="206"/>
      <c r="H1446" s="202"/>
      <c r="I1446" s="207"/>
      <c r="J1446" s="207"/>
      <c r="K1446" s="207"/>
      <c r="L1446" s="207"/>
      <c r="M1446" s="207"/>
    </row>
    <row r="1447" spans="1:13">
      <c r="A1447" s="211"/>
      <c r="B1447" s="212"/>
      <c r="C1447" s="212"/>
      <c r="D1447" s="202"/>
      <c r="E1447" s="214"/>
      <c r="F1447" s="202"/>
      <c r="G1447" s="206"/>
      <c r="H1447" s="202"/>
      <c r="I1447" s="207"/>
      <c r="J1447" s="207"/>
      <c r="K1447" s="207"/>
      <c r="L1447" s="207"/>
      <c r="M1447" s="207"/>
    </row>
    <row r="1448" spans="1:13">
      <c r="A1448" s="211"/>
      <c r="B1448" s="212"/>
      <c r="C1448" s="212"/>
      <c r="D1448" s="202"/>
      <c r="E1448" s="214"/>
      <c r="F1448" s="202"/>
      <c r="G1448" s="206"/>
      <c r="H1448" s="202"/>
      <c r="I1448" s="207"/>
      <c r="J1448" s="207"/>
      <c r="K1448" s="207"/>
      <c r="L1448" s="207"/>
      <c r="M1448" s="207"/>
    </row>
    <row r="1449" spans="1:13">
      <c r="A1449" s="211"/>
      <c r="B1449" s="212"/>
      <c r="C1449" s="212"/>
      <c r="D1449" s="202"/>
      <c r="E1449" s="214"/>
      <c r="F1449" s="202"/>
      <c r="G1449" s="206"/>
      <c r="H1449" s="202"/>
      <c r="I1449" s="207"/>
      <c r="J1449" s="207"/>
      <c r="K1449" s="207"/>
      <c r="L1449" s="207"/>
      <c r="M1449" s="207"/>
    </row>
    <row r="1450" spans="1:13">
      <c r="A1450" s="211"/>
      <c r="B1450" s="212"/>
      <c r="C1450" s="212"/>
      <c r="D1450" s="202"/>
      <c r="E1450" s="214"/>
      <c r="F1450" s="202"/>
      <c r="G1450" s="206"/>
      <c r="H1450" s="202"/>
      <c r="I1450" s="207"/>
      <c r="J1450" s="207"/>
      <c r="K1450" s="207"/>
      <c r="L1450" s="207"/>
      <c r="M1450" s="207"/>
    </row>
    <row r="1451" spans="1:13">
      <c r="A1451" s="211"/>
      <c r="B1451" s="212"/>
      <c r="C1451" s="212"/>
      <c r="D1451" s="202"/>
      <c r="E1451" s="214"/>
      <c r="F1451" s="202"/>
      <c r="G1451" s="206"/>
      <c r="H1451" s="202"/>
      <c r="I1451" s="207"/>
      <c r="J1451" s="207"/>
      <c r="K1451" s="207"/>
      <c r="L1451" s="207"/>
      <c r="M1451" s="207"/>
    </row>
    <row r="1452" spans="1:13">
      <c r="A1452" s="211"/>
      <c r="B1452" s="212"/>
      <c r="C1452" s="212"/>
      <c r="D1452" s="202"/>
      <c r="E1452" s="214"/>
      <c r="F1452" s="202"/>
      <c r="G1452" s="206"/>
      <c r="H1452" s="202"/>
      <c r="I1452" s="207"/>
      <c r="J1452" s="207"/>
      <c r="K1452" s="207"/>
      <c r="L1452" s="207"/>
      <c r="M1452" s="207"/>
    </row>
    <row r="1453" spans="1:13">
      <c r="A1453" s="211"/>
      <c r="B1453" s="212"/>
      <c r="C1453" s="212"/>
      <c r="D1453" s="202"/>
      <c r="E1453" s="214"/>
      <c r="F1453" s="202"/>
      <c r="G1453" s="206"/>
      <c r="H1453" s="202"/>
      <c r="I1453" s="207"/>
      <c r="J1453" s="207"/>
      <c r="K1453" s="207"/>
      <c r="L1453" s="207"/>
      <c r="M1453" s="207"/>
    </row>
    <row r="1454" spans="1:13">
      <c r="A1454" s="211"/>
      <c r="B1454" s="212"/>
      <c r="C1454" s="212"/>
      <c r="D1454" s="202"/>
      <c r="E1454" s="214"/>
      <c r="F1454" s="202"/>
      <c r="G1454" s="206"/>
      <c r="H1454" s="202"/>
      <c r="I1454" s="207"/>
      <c r="J1454" s="207"/>
      <c r="K1454" s="207"/>
      <c r="L1454" s="207"/>
      <c r="M1454" s="207"/>
    </row>
    <row r="1455" spans="1:13">
      <c r="A1455" s="211"/>
      <c r="B1455" s="212"/>
      <c r="C1455" s="212"/>
      <c r="D1455" s="202"/>
      <c r="E1455" s="214"/>
      <c r="F1455" s="202"/>
      <c r="G1455" s="206"/>
      <c r="H1455" s="202"/>
      <c r="I1455" s="207"/>
      <c r="J1455" s="207"/>
      <c r="K1455" s="207"/>
      <c r="L1455" s="207"/>
      <c r="M1455" s="207"/>
    </row>
    <row r="1456" spans="1:13">
      <c r="A1456" s="211"/>
      <c r="B1456" s="212"/>
      <c r="C1456" s="212"/>
      <c r="D1456" s="202"/>
      <c r="E1456" s="214"/>
      <c r="F1456" s="202"/>
      <c r="G1456" s="206"/>
      <c r="H1456" s="202"/>
      <c r="I1456" s="207"/>
      <c r="J1456" s="207"/>
      <c r="K1456" s="207"/>
      <c r="L1456" s="207"/>
      <c r="M1456" s="207"/>
    </row>
    <row r="1457" spans="1:13">
      <c r="A1457" s="211"/>
      <c r="B1457" s="212"/>
      <c r="C1457" s="212"/>
      <c r="D1457" s="202"/>
      <c r="E1457" s="214"/>
      <c r="F1457" s="202"/>
      <c r="G1457" s="206"/>
      <c r="H1457" s="202"/>
      <c r="I1457" s="207"/>
      <c r="J1457" s="207"/>
      <c r="K1457" s="207"/>
      <c r="L1457" s="207"/>
      <c r="M1457" s="207"/>
    </row>
    <row r="1458" spans="1:13">
      <c r="A1458" s="211"/>
      <c r="B1458" s="212"/>
      <c r="C1458" s="212"/>
      <c r="D1458" s="202"/>
      <c r="E1458" s="214"/>
      <c r="F1458" s="202"/>
      <c r="G1458" s="206"/>
      <c r="H1458" s="202"/>
      <c r="I1458" s="207"/>
      <c r="J1458" s="207"/>
      <c r="K1458" s="207"/>
      <c r="L1458" s="207"/>
      <c r="M1458" s="207"/>
    </row>
    <row r="1459" spans="1:13">
      <c r="A1459" s="211"/>
      <c r="B1459" s="212"/>
      <c r="C1459" s="212"/>
      <c r="D1459" s="202"/>
      <c r="E1459" s="214"/>
      <c r="F1459" s="202"/>
      <c r="G1459" s="206"/>
      <c r="H1459" s="202"/>
      <c r="I1459" s="207"/>
      <c r="J1459" s="207"/>
      <c r="K1459" s="207"/>
      <c r="L1459" s="207"/>
      <c r="M1459" s="207"/>
    </row>
    <row r="1460" spans="1:13">
      <c r="A1460" s="211"/>
      <c r="B1460" s="212"/>
      <c r="C1460" s="212"/>
      <c r="D1460" s="202"/>
      <c r="E1460" s="214"/>
      <c r="F1460" s="202"/>
      <c r="G1460" s="206"/>
      <c r="H1460" s="202"/>
      <c r="I1460" s="207"/>
      <c r="J1460" s="207"/>
      <c r="K1460" s="207"/>
      <c r="L1460" s="207"/>
      <c r="M1460" s="207"/>
    </row>
    <row r="1461" spans="1:13">
      <c r="A1461" s="211"/>
      <c r="B1461" s="212"/>
      <c r="C1461" s="212"/>
      <c r="D1461" s="202"/>
      <c r="E1461" s="214"/>
      <c r="F1461" s="202"/>
      <c r="G1461" s="206"/>
      <c r="H1461" s="202"/>
      <c r="I1461" s="207"/>
      <c r="J1461" s="207"/>
      <c r="K1461" s="207"/>
      <c r="L1461" s="207"/>
      <c r="M1461" s="207"/>
    </row>
    <row r="1462" spans="1:13">
      <c r="A1462" s="211"/>
      <c r="B1462" s="212"/>
      <c r="C1462" s="212"/>
      <c r="D1462" s="202"/>
      <c r="E1462" s="214"/>
      <c r="F1462" s="202"/>
      <c r="G1462" s="206"/>
      <c r="H1462" s="202"/>
      <c r="I1462" s="207"/>
      <c r="J1462" s="207"/>
      <c r="K1462" s="207"/>
      <c r="L1462" s="207"/>
      <c r="M1462" s="207"/>
    </row>
    <row r="1463" spans="1:13">
      <c r="A1463" s="211"/>
      <c r="B1463" s="212"/>
      <c r="C1463" s="212"/>
      <c r="D1463" s="202"/>
      <c r="E1463" s="214"/>
      <c r="F1463" s="202"/>
      <c r="G1463" s="206"/>
      <c r="H1463" s="202"/>
      <c r="I1463" s="207"/>
      <c r="J1463" s="207"/>
      <c r="K1463" s="207"/>
      <c r="L1463" s="207"/>
      <c r="M1463" s="207"/>
    </row>
    <row r="1464" spans="1:13">
      <c r="A1464" s="211"/>
      <c r="B1464" s="212"/>
      <c r="C1464" s="212"/>
      <c r="D1464" s="202"/>
      <c r="E1464" s="214"/>
      <c r="F1464" s="202"/>
      <c r="G1464" s="206"/>
      <c r="H1464" s="202"/>
      <c r="I1464" s="207"/>
      <c r="J1464" s="207"/>
      <c r="K1464" s="207"/>
      <c r="L1464" s="207"/>
      <c r="M1464" s="207"/>
    </row>
    <row r="1465" spans="1:13">
      <c r="A1465" s="211"/>
      <c r="B1465" s="212"/>
      <c r="C1465" s="212"/>
      <c r="D1465" s="202"/>
      <c r="E1465" s="214"/>
      <c r="F1465" s="202"/>
      <c r="G1465" s="206"/>
      <c r="H1465" s="202"/>
      <c r="I1465" s="207"/>
      <c r="J1465" s="207"/>
      <c r="K1465" s="207"/>
      <c r="L1465" s="207"/>
      <c r="M1465" s="207"/>
    </row>
    <row r="1466" spans="1:13">
      <c r="A1466" s="211"/>
      <c r="B1466" s="212"/>
      <c r="C1466" s="212"/>
      <c r="D1466" s="202"/>
      <c r="E1466" s="214"/>
      <c r="F1466" s="202"/>
      <c r="G1466" s="206"/>
      <c r="H1466" s="202"/>
      <c r="I1466" s="207"/>
      <c r="J1466" s="207"/>
      <c r="K1466" s="207"/>
      <c r="L1466" s="207"/>
      <c r="M1466" s="207"/>
    </row>
    <row r="1467" spans="1:13">
      <c r="A1467" s="211"/>
      <c r="B1467" s="212"/>
      <c r="C1467" s="212"/>
      <c r="D1467" s="202"/>
      <c r="E1467" s="214"/>
      <c r="F1467" s="202"/>
      <c r="G1467" s="206"/>
      <c r="H1467" s="202"/>
      <c r="I1467" s="207"/>
      <c r="J1467" s="207"/>
      <c r="K1467" s="207"/>
      <c r="L1467" s="207"/>
      <c r="M1467" s="207"/>
    </row>
    <row r="1468" spans="1:13">
      <c r="A1468" s="211"/>
      <c r="B1468" s="212"/>
      <c r="C1468" s="212"/>
      <c r="D1468" s="202"/>
      <c r="E1468" s="214"/>
      <c r="F1468" s="202"/>
      <c r="G1468" s="206"/>
      <c r="H1468" s="202"/>
      <c r="I1468" s="207"/>
      <c r="J1468" s="207"/>
      <c r="K1468" s="207"/>
      <c r="L1468" s="207"/>
      <c r="M1468" s="207"/>
    </row>
    <row r="1469" spans="1:13">
      <c r="A1469" s="211"/>
      <c r="B1469" s="212"/>
      <c r="C1469" s="212"/>
      <c r="D1469" s="202"/>
      <c r="E1469" s="214"/>
      <c r="F1469" s="202"/>
      <c r="G1469" s="206"/>
      <c r="H1469" s="202"/>
      <c r="I1469" s="207"/>
      <c r="J1469" s="207"/>
      <c r="K1469" s="207"/>
      <c r="L1469" s="207"/>
      <c r="M1469" s="207"/>
    </row>
    <row r="1470" spans="1:13">
      <c r="A1470" s="211"/>
      <c r="B1470" s="212"/>
      <c r="C1470" s="212"/>
      <c r="D1470" s="202"/>
      <c r="E1470" s="214"/>
      <c r="F1470" s="202"/>
      <c r="G1470" s="206"/>
      <c r="H1470" s="202"/>
      <c r="I1470" s="207"/>
      <c r="J1470" s="207"/>
      <c r="K1470" s="207"/>
      <c r="L1470" s="207"/>
      <c r="M1470" s="207"/>
    </row>
    <row r="1471" spans="1:13">
      <c r="A1471" s="211"/>
      <c r="B1471" s="212"/>
      <c r="C1471" s="212"/>
      <c r="D1471" s="202"/>
      <c r="E1471" s="214"/>
      <c r="F1471" s="202"/>
      <c r="G1471" s="206"/>
      <c r="H1471" s="202"/>
      <c r="I1471" s="207"/>
      <c r="J1471" s="207"/>
      <c r="K1471" s="207"/>
      <c r="L1471" s="207"/>
      <c r="M1471" s="207"/>
    </row>
    <row r="1472" spans="1:13">
      <c r="A1472" s="202"/>
      <c r="B1472" s="212"/>
      <c r="C1472" s="212"/>
      <c r="D1472" s="202"/>
      <c r="E1472" s="214"/>
      <c r="F1472" s="202"/>
      <c r="G1472" s="206"/>
      <c r="H1472" s="202"/>
      <c r="I1472" s="207"/>
      <c r="J1472" s="207"/>
      <c r="K1472" s="207"/>
      <c r="L1472" s="207"/>
      <c r="M1472" s="207"/>
    </row>
    <row r="1473" spans="1:13">
      <c r="A1473" s="202"/>
      <c r="B1473" s="212"/>
      <c r="C1473" s="212"/>
      <c r="D1473" s="202"/>
      <c r="E1473" s="214"/>
      <c r="F1473" s="202"/>
      <c r="G1473" s="206"/>
      <c r="H1473" s="202"/>
      <c r="I1473" s="207"/>
      <c r="J1473" s="207"/>
      <c r="K1473" s="207"/>
      <c r="L1473" s="207"/>
      <c r="M1473" s="207"/>
    </row>
    <row r="1474" spans="1:13">
      <c r="A1474" s="202"/>
      <c r="B1474" s="212"/>
      <c r="C1474" s="212"/>
      <c r="D1474" s="202"/>
      <c r="E1474" s="214"/>
      <c r="F1474" s="202"/>
      <c r="G1474" s="206"/>
      <c r="H1474" s="202"/>
      <c r="I1474" s="207"/>
      <c r="J1474" s="207"/>
      <c r="K1474" s="207"/>
      <c r="L1474" s="207"/>
      <c r="M1474" s="207"/>
    </row>
    <row r="1475" spans="1:13">
      <c r="A1475" s="202"/>
      <c r="B1475" s="212"/>
      <c r="C1475" s="212"/>
      <c r="D1475" s="202"/>
      <c r="E1475" s="214"/>
      <c r="F1475" s="202"/>
      <c r="G1475" s="206"/>
      <c r="H1475" s="202"/>
      <c r="I1475" s="207"/>
      <c r="J1475" s="207"/>
      <c r="K1475" s="207"/>
      <c r="L1475" s="207"/>
      <c r="M1475" s="207"/>
    </row>
    <row r="1476" spans="1:13">
      <c r="A1476" s="202"/>
      <c r="B1476" s="212"/>
      <c r="C1476" s="212"/>
      <c r="D1476" s="202"/>
      <c r="E1476" s="214"/>
      <c r="F1476" s="202"/>
      <c r="G1476" s="206"/>
      <c r="H1476" s="202"/>
      <c r="I1476" s="207"/>
      <c r="J1476" s="207"/>
      <c r="K1476" s="207"/>
      <c r="L1476" s="207"/>
      <c r="M1476" s="207"/>
    </row>
    <row r="1477" spans="1:13">
      <c r="A1477" s="202"/>
      <c r="B1477" s="212"/>
      <c r="C1477" s="212"/>
      <c r="D1477" s="202"/>
      <c r="E1477" s="214"/>
      <c r="F1477" s="202"/>
      <c r="G1477" s="206"/>
      <c r="H1477" s="202"/>
      <c r="I1477" s="207"/>
      <c r="J1477" s="207"/>
      <c r="K1477" s="207"/>
      <c r="L1477" s="207"/>
      <c r="M1477" s="207"/>
    </row>
    <row r="1478" spans="1:13">
      <c r="A1478" s="202"/>
      <c r="B1478" s="212"/>
      <c r="C1478" s="212"/>
      <c r="D1478" s="202"/>
      <c r="E1478" s="214"/>
      <c r="F1478" s="202"/>
      <c r="G1478" s="206"/>
      <c r="H1478" s="202"/>
      <c r="I1478" s="207"/>
      <c r="J1478" s="207"/>
      <c r="K1478" s="207"/>
      <c r="L1478" s="207"/>
      <c r="M1478" s="207"/>
    </row>
    <row r="1479" spans="1:13">
      <c r="A1479" s="202"/>
      <c r="B1479" s="212"/>
      <c r="C1479" s="212"/>
      <c r="D1479" s="202"/>
      <c r="E1479" s="214"/>
      <c r="F1479" s="202"/>
      <c r="G1479" s="206"/>
      <c r="H1479" s="202"/>
      <c r="I1479" s="207"/>
      <c r="J1479" s="207"/>
      <c r="K1479" s="207"/>
      <c r="L1479" s="207"/>
      <c r="M1479" s="207"/>
    </row>
    <row r="1480" spans="1:13">
      <c r="A1480" s="202"/>
      <c r="B1480" s="212"/>
      <c r="C1480" s="212"/>
      <c r="D1480" s="202"/>
      <c r="E1480" s="214"/>
      <c r="F1480" s="202"/>
      <c r="G1480" s="206"/>
      <c r="H1480" s="202"/>
      <c r="I1480" s="207"/>
      <c r="J1480" s="207"/>
      <c r="K1480" s="207"/>
      <c r="L1480" s="207"/>
      <c r="M1480" s="207"/>
    </row>
    <row r="1481" spans="1:13">
      <c r="A1481" s="202"/>
      <c r="B1481" s="212"/>
      <c r="C1481" s="212"/>
      <c r="D1481" s="202"/>
      <c r="E1481" s="214"/>
      <c r="F1481" s="202"/>
      <c r="G1481" s="206"/>
      <c r="H1481" s="202"/>
      <c r="I1481" s="207"/>
      <c r="J1481" s="207"/>
      <c r="K1481" s="207"/>
      <c r="L1481" s="207"/>
      <c r="M1481" s="207"/>
    </row>
    <row r="1482" spans="1:13">
      <c r="A1482" s="202"/>
      <c r="B1482" s="212"/>
      <c r="C1482" s="212"/>
      <c r="D1482" s="202"/>
      <c r="E1482" s="214"/>
      <c r="F1482" s="202"/>
      <c r="G1482" s="206"/>
      <c r="H1482" s="202"/>
      <c r="I1482" s="207"/>
      <c r="J1482" s="207"/>
      <c r="K1482" s="207"/>
      <c r="L1482" s="207"/>
      <c r="M1482" s="207"/>
    </row>
    <row r="1483" spans="1:13">
      <c r="A1483" s="202"/>
      <c r="B1483" s="212"/>
      <c r="C1483" s="212"/>
      <c r="D1483" s="202"/>
      <c r="E1483" s="214"/>
      <c r="F1483" s="202"/>
      <c r="G1483" s="206"/>
      <c r="H1483" s="202"/>
      <c r="I1483" s="207"/>
      <c r="J1483" s="207"/>
      <c r="K1483" s="207"/>
      <c r="L1483" s="207"/>
      <c r="M1483" s="207"/>
    </row>
    <row r="1484" spans="1:13">
      <c r="A1484" s="202"/>
      <c r="B1484" s="212"/>
      <c r="C1484" s="212"/>
      <c r="D1484" s="202"/>
      <c r="E1484" s="214"/>
      <c r="F1484" s="202"/>
      <c r="G1484" s="206"/>
      <c r="H1484" s="202"/>
      <c r="I1484" s="207"/>
      <c r="J1484" s="207"/>
      <c r="K1484" s="207"/>
      <c r="L1484" s="207"/>
      <c r="M1484" s="207"/>
    </row>
    <row r="1485" spans="1:13">
      <c r="A1485" s="202"/>
      <c r="B1485" s="212"/>
      <c r="C1485" s="212"/>
      <c r="D1485" s="202"/>
      <c r="E1485" s="214"/>
      <c r="F1485" s="202"/>
      <c r="G1485" s="206"/>
      <c r="H1485" s="202"/>
      <c r="I1485" s="207"/>
      <c r="J1485" s="207"/>
      <c r="K1485" s="207"/>
      <c r="L1485" s="207"/>
      <c r="M1485" s="207"/>
    </row>
    <row r="1486" spans="1:13">
      <c r="A1486" s="202"/>
      <c r="B1486" s="212"/>
      <c r="C1486" s="212"/>
      <c r="D1486" s="202"/>
      <c r="E1486" s="214"/>
      <c r="F1486" s="202"/>
      <c r="G1486" s="206"/>
      <c r="H1486" s="202"/>
      <c r="I1486" s="207"/>
      <c r="J1486" s="207"/>
      <c r="K1486" s="207"/>
      <c r="L1486" s="207"/>
      <c r="M1486" s="207"/>
    </row>
    <row r="1487" spans="1:13">
      <c r="A1487" s="202"/>
      <c r="B1487" s="212"/>
      <c r="C1487" s="212"/>
      <c r="D1487" s="202"/>
      <c r="E1487" s="214"/>
      <c r="F1487" s="202"/>
      <c r="G1487" s="206"/>
      <c r="H1487" s="202"/>
      <c r="I1487" s="207"/>
      <c r="J1487" s="207"/>
      <c r="K1487" s="207"/>
      <c r="L1487" s="207"/>
      <c r="M1487" s="207"/>
    </row>
    <row r="1488" spans="1:13">
      <c r="A1488" s="202"/>
      <c r="B1488" s="212"/>
      <c r="C1488" s="212"/>
      <c r="D1488" s="202"/>
      <c r="E1488" s="214"/>
      <c r="F1488" s="202"/>
      <c r="G1488" s="206"/>
      <c r="H1488" s="202"/>
      <c r="I1488" s="207"/>
      <c r="J1488" s="207"/>
      <c r="K1488" s="207"/>
      <c r="L1488" s="207"/>
      <c r="M1488" s="207"/>
    </row>
    <row r="1489" spans="1:13">
      <c r="A1489" s="202"/>
      <c r="B1489" s="212"/>
      <c r="C1489" s="212"/>
      <c r="D1489" s="202"/>
      <c r="E1489" s="214"/>
      <c r="F1489" s="202"/>
      <c r="G1489" s="206"/>
      <c r="H1489" s="202"/>
      <c r="I1489" s="207"/>
      <c r="J1489" s="207"/>
      <c r="K1489" s="207"/>
      <c r="L1489" s="207"/>
      <c r="M1489" s="207"/>
    </row>
    <row r="1490" spans="1:13">
      <c r="A1490" s="202"/>
      <c r="B1490" s="212"/>
      <c r="C1490" s="212"/>
      <c r="D1490" s="202"/>
      <c r="E1490" s="214"/>
      <c r="F1490" s="202"/>
      <c r="G1490" s="206"/>
      <c r="H1490" s="202"/>
      <c r="I1490" s="207"/>
      <c r="J1490" s="207"/>
      <c r="K1490" s="207"/>
      <c r="L1490" s="207"/>
      <c r="M1490" s="207"/>
    </row>
    <row r="1491" spans="1:13">
      <c r="A1491" s="202"/>
      <c r="B1491" s="212"/>
      <c r="C1491" s="212"/>
      <c r="D1491" s="202"/>
      <c r="E1491" s="214"/>
      <c r="F1491" s="202"/>
      <c r="G1491" s="206"/>
      <c r="H1491" s="202"/>
      <c r="I1491" s="207"/>
      <c r="J1491" s="207"/>
      <c r="K1491" s="207"/>
      <c r="L1491" s="207"/>
      <c r="M1491" s="207"/>
    </row>
    <row r="1492" spans="1:13">
      <c r="A1492" s="202"/>
      <c r="B1492" s="212"/>
      <c r="C1492" s="212"/>
      <c r="D1492" s="202"/>
      <c r="E1492" s="214"/>
      <c r="F1492" s="202"/>
      <c r="G1492" s="206"/>
      <c r="H1492" s="202"/>
      <c r="I1492" s="207"/>
      <c r="J1492" s="207"/>
      <c r="K1492" s="207"/>
      <c r="L1492" s="207"/>
      <c r="M1492" s="207"/>
    </row>
    <row r="1493" spans="1:13">
      <c r="A1493" s="202"/>
      <c r="B1493" s="212"/>
      <c r="C1493" s="212"/>
      <c r="D1493" s="202"/>
      <c r="E1493" s="214"/>
      <c r="F1493" s="202"/>
      <c r="G1493" s="206"/>
      <c r="H1493" s="202"/>
      <c r="I1493" s="207"/>
      <c r="J1493" s="207"/>
      <c r="K1493" s="207"/>
      <c r="L1493" s="207"/>
      <c r="M1493" s="207"/>
    </row>
    <row r="1494" spans="1:13">
      <c r="A1494" s="202"/>
      <c r="B1494" s="212"/>
      <c r="C1494" s="212"/>
      <c r="D1494" s="202"/>
      <c r="E1494" s="214"/>
      <c r="F1494" s="202"/>
      <c r="G1494" s="206"/>
      <c r="H1494" s="202"/>
      <c r="I1494" s="207"/>
      <c r="J1494" s="207"/>
      <c r="K1494" s="207"/>
      <c r="L1494" s="207"/>
      <c r="M1494" s="207"/>
    </row>
    <row r="1495" spans="1:13">
      <c r="A1495" s="202"/>
      <c r="B1495" s="212"/>
      <c r="C1495" s="212"/>
      <c r="D1495" s="202"/>
      <c r="E1495" s="214"/>
      <c r="F1495" s="202"/>
      <c r="G1495" s="206"/>
      <c r="H1495" s="202"/>
      <c r="I1495" s="207"/>
      <c r="J1495" s="207"/>
      <c r="K1495" s="207"/>
      <c r="L1495" s="207"/>
      <c r="M1495" s="207"/>
    </row>
    <row r="1496" spans="1:13">
      <c r="A1496" s="202"/>
      <c r="B1496" s="212"/>
      <c r="C1496" s="212"/>
      <c r="D1496" s="202"/>
      <c r="E1496" s="214"/>
      <c r="F1496" s="202"/>
      <c r="G1496" s="206"/>
      <c r="H1496" s="202"/>
      <c r="I1496" s="207"/>
      <c r="J1496" s="207"/>
      <c r="K1496" s="207"/>
      <c r="L1496" s="207"/>
      <c r="M1496" s="207"/>
    </row>
    <row r="1497" spans="1:13">
      <c r="A1497" s="202"/>
      <c r="B1497" s="212"/>
      <c r="C1497" s="212"/>
      <c r="D1497" s="202"/>
      <c r="E1497" s="214"/>
      <c r="F1497" s="202"/>
      <c r="G1497" s="206"/>
      <c r="H1497" s="202"/>
      <c r="I1497" s="207"/>
      <c r="J1497" s="207"/>
      <c r="K1497" s="207"/>
      <c r="L1497" s="207"/>
      <c r="M1497" s="207"/>
    </row>
    <row r="1498" spans="1:13">
      <c r="A1498" s="202"/>
      <c r="B1498" s="212"/>
      <c r="C1498" s="212"/>
      <c r="D1498" s="202"/>
      <c r="E1498" s="214"/>
      <c r="F1498" s="202"/>
      <c r="G1498" s="206"/>
      <c r="H1498" s="202"/>
      <c r="I1498" s="207"/>
      <c r="J1498" s="207"/>
      <c r="K1498" s="207"/>
      <c r="L1498" s="207"/>
      <c r="M1498" s="207"/>
    </row>
    <row r="1499" spans="1:13">
      <c r="A1499" s="202"/>
      <c r="B1499" s="212"/>
      <c r="C1499" s="212"/>
      <c r="D1499" s="202"/>
      <c r="E1499" s="214"/>
      <c r="F1499" s="202"/>
      <c r="G1499" s="206"/>
      <c r="H1499" s="202"/>
      <c r="I1499" s="207"/>
      <c r="J1499" s="207"/>
      <c r="K1499" s="207"/>
      <c r="L1499" s="207"/>
      <c r="M1499" s="207"/>
    </row>
    <row r="1500" spans="1:13">
      <c r="A1500" s="202"/>
      <c r="B1500" s="212"/>
      <c r="C1500" s="212"/>
      <c r="D1500" s="202"/>
      <c r="E1500" s="214"/>
      <c r="F1500" s="202"/>
      <c r="G1500" s="206"/>
      <c r="H1500" s="202"/>
      <c r="I1500" s="207"/>
      <c r="J1500" s="207"/>
      <c r="K1500" s="207"/>
      <c r="L1500" s="207"/>
      <c r="M1500" s="207"/>
    </row>
    <row r="1501" spans="1:13">
      <c r="A1501" s="202"/>
      <c r="B1501" s="212"/>
      <c r="C1501" s="212"/>
      <c r="D1501" s="202"/>
      <c r="E1501" s="214"/>
      <c r="F1501" s="202"/>
      <c r="G1501" s="206"/>
      <c r="H1501" s="202"/>
      <c r="I1501" s="207"/>
      <c r="J1501" s="207"/>
      <c r="K1501" s="207"/>
      <c r="L1501" s="207"/>
      <c r="M1501" s="207"/>
    </row>
    <row r="1502" spans="1:13">
      <c r="A1502" s="202"/>
      <c r="B1502" s="212"/>
      <c r="C1502" s="212"/>
      <c r="D1502" s="202"/>
      <c r="E1502" s="214"/>
      <c r="F1502" s="202"/>
      <c r="G1502" s="206"/>
      <c r="H1502" s="202"/>
      <c r="I1502" s="207"/>
      <c r="J1502" s="207"/>
      <c r="K1502" s="207"/>
      <c r="L1502" s="207"/>
      <c r="M1502" s="207"/>
    </row>
    <row r="1503" spans="1:13">
      <c r="A1503" s="202"/>
      <c r="B1503" s="212"/>
      <c r="C1503" s="212"/>
      <c r="D1503" s="202"/>
      <c r="E1503" s="214"/>
      <c r="F1503" s="202"/>
      <c r="G1503" s="206"/>
      <c r="H1503" s="202"/>
      <c r="I1503" s="207"/>
      <c r="J1503" s="207"/>
      <c r="K1503" s="207"/>
      <c r="L1503" s="207"/>
      <c r="M1503" s="207"/>
    </row>
    <row r="1504" spans="1:13">
      <c r="A1504" s="202"/>
      <c r="B1504" s="212"/>
      <c r="C1504" s="212"/>
      <c r="D1504" s="202"/>
      <c r="E1504" s="214"/>
      <c r="F1504" s="202"/>
      <c r="G1504" s="206"/>
      <c r="H1504" s="202"/>
      <c r="I1504" s="207"/>
      <c r="J1504" s="207"/>
      <c r="K1504" s="207"/>
      <c r="L1504" s="207"/>
      <c r="M1504" s="207"/>
    </row>
    <row r="1505" spans="1:13">
      <c r="A1505" s="202"/>
      <c r="B1505" s="212"/>
      <c r="C1505" s="212"/>
      <c r="D1505" s="202"/>
      <c r="E1505" s="214"/>
      <c r="F1505" s="202"/>
      <c r="G1505" s="206"/>
      <c r="H1505" s="202"/>
      <c r="I1505" s="207"/>
      <c r="J1505" s="207"/>
      <c r="K1505" s="207"/>
      <c r="L1505" s="207"/>
      <c r="M1505" s="207"/>
    </row>
    <row r="1506" spans="1:13">
      <c r="A1506" s="202"/>
      <c r="B1506" s="212"/>
      <c r="C1506" s="212"/>
      <c r="D1506" s="202"/>
      <c r="E1506" s="214"/>
      <c r="F1506" s="202"/>
      <c r="G1506" s="206"/>
      <c r="H1506" s="202"/>
      <c r="I1506" s="207"/>
      <c r="J1506" s="207"/>
      <c r="K1506" s="207"/>
      <c r="L1506" s="207"/>
      <c r="M1506" s="207"/>
    </row>
    <row r="1507" spans="1:13">
      <c r="A1507" s="202"/>
      <c r="B1507" s="212"/>
      <c r="C1507" s="212"/>
      <c r="D1507" s="202"/>
      <c r="E1507" s="214"/>
      <c r="F1507" s="202"/>
      <c r="G1507" s="206"/>
      <c r="H1507" s="202"/>
      <c r="I1507" s="207"/>
      <c r="J1507" s="207"/>
      <c r="K1507" s="207"/>
      <c r="L1507" s="207"/>
      <c r="M1507" s="207"/>
    </row>
    <row r="1508" spans="1:13">
      <c r="A1508" s="202"/>
      <c r="B1508" s="212"/>
      <c r="C1508" s="212"/>
      <c r="D1508" s="202"/>
      <c r="E1508" s="214"/>
      <c r="F1508" s="202"/>
      <c r="G1508" s="206"/>
      <c r="H1508" s="202"/>
      <c r="I1508" s="207"/>
      <c r="J1508" s="207"/>
      <c r="K1508" s="207"/>
      <c r="L1508" s="207"/>
      <c r="M1508" s="207"/>
    </row>
    <row r="1509" spans="1:13">
      <c r="A1509" s="202"/>
      <c r="B1509" s="212"/>
      <c r="C1509" s="212"/>
      <c r="D1509" s="202"/>
      <c r="E1509" s="214"/>
      <c r="F1509" s="202"/>
      <c r="G1509" s="206"/>
      <c r="H1509" s="202"/>
      <c r="I1509" s="207"/>
      <c r="J1509" s="207"/>
      <c r="K1509" s="207"/>
      <c r="L1509" s="207"/>
      <c r="M1509" s="207"/>
    </row>
    <row r="1510" spans="1:13">
      <c r="A1510" s="202"/>
      <c r="B1510" s="212"/>
      <c r="C1510" s="212"/>
      <c r="D1510" s="202"/>
      <c r="E1510" s="214"/>
      <c r="F1510" s="202"/>
      <c r="G1510" s="206"/>
      <c r="H1510" s="202"/>
      <c r="I1510" s="207"/>
      <c r="J1510" s="207"/>
      <c r="K1510" s="207"/>
      <c r="L1510" s="207"/>
      <c r="M1510" s="207"/>
    </row>
    <row r="1511" spans="1:13">
      <c r="A1511" s="202"/>
      <c r="B1511" s="212"/>
      <c r="C1511" s="212"/>
      <c r="D1511" s="202"/>
      <c r="E1511" s="214"/>
      <c r="F1511" s="202"/>
      <c r="G1511" s="206"/>
      <c r="H1511" s="202"/>
      <c r="I1511" s="207"/>
      <c r="J1511" s="207"/>
      <c r="K1511" s="207"/>
      <c r="L1511" s="207"/>
      <c r="M1511" s="207"/>
    </row>
    <row r="1512" spans="1:13">
      <c r="A1512" s="202"/>
      <c r="B1512" s="212"/>
      <c r="C1512" s="212"/>
      <c r="D1512" s="202"/>
      <c r="E1512" s="214"/>
      <c r="F1512" s="202"/>
      <c r="G1512" s="206"/>
      <c r="H1512" s="202"/>
      <c r="I1512" s="207"/>
      <c r="J1512" s="207"/>
      <c r="K1512" s="207"/>
      <c r="L1512" s="207"/>
      <c r="M1512" s="207"/>
    </row>
    <row r="1513" spans="1:13">
      <c r="A1513" s="202"/>
      <c r="B1513" s="212"/>
      <c r="C1513" s="212"/>
      <c r="D1513" s="202"/>
      <c r="E1513" s="214"/>
      <c r="F1513" s="202"/>
      <c r="G1513" s="206"/>
      <c r="H1513" s="202"/>
      <c r="I1513" s="207"/>
      <c r="J1513" s="207"/>
      <c r="K1513" s="207"/>
      <c r="L1513" s="207"/>
      <c r="M1513" s="207"/>
    </row>
    <row r="1514" spans="1:13">
      <c r="A1514" s="202"/>
      <c r="B1514" s="212"/>
      <c r="C1514" s="212"/>
      <c r="D1514" s="202"/>
      <c r="E1514" s="214"/>
      <c r="F1514" s="202"/>
      <c r="G1514" s="206"/>
      <c r="H1514" s="202"/>
      <c r="I1514" s="207"/>
      <c r="J1514" s="207"/>
      <c r="K1514" s="207"/>
      <c r="L1514" s="207"/>
      <c r="M1514" s="207"/>
    </row>
    <row r="1515" spans="1:13">
      <c r="A1515" s="202"/>
      <c r="B1515" s="212"/>
      <c r="C1515" s="212"/>
      <c r="D1515" s="202"/>
      <c r="E1515" s="214"/>
      <c r="F1515" s="202"/>
      <c r="G1515" s="206"/>
      <c r="H1515" s="202"/>
      <c r="I1515" s="207"/>
      <c r="J1515" s="207"/>
      <c r="K1515" s="207"/>
      <c r="L1515" s="207"/>
      <c r="M1515" s="207"/>
    </row>
    <row r="1516" spans="1:13">
      <c r="A1516" s="202"/>
      <c r="B1516" s="212"/>
      <c r="C1516" s="212"/>
      <c r="D1516" s="202"/>
      <c r="E1516" s="214"/>
      <c r="F1516" s="202"/>
      <c r="G1516" s="206"/>
      <c r="H1516" s="202"/>
      <c r="I1516" s="207"/>
      <c r="J1516" s="207"/>
      <c r="K1516" s="207"/>
      <c r="L1516" s="207"/>
      <c r="M1516" s="207"/>
    </row>
    <row r="1517" spans="1:13">
      <c r="A1517" s="202"/>
      <c r="B1517" s="212"/>
      <c r="C1517" s="212"/>
      <c r="D1517" s="202"/>
      <c r="E1517" s="214"/>
      <c r="F1517" s="202"/>
      <c r="G1517" s="206"/>
      <c r="H1517" s="202"/>
      <c r="I1517" s="207"/>
      <c r="J1517" s="207"/>
      <c r="K1517" s="207"/>
      <c r="L1517" s="207"/>
      <c r="M1517" s="207"/>
    </row>
    <row r="1518" spans="1:13">
      <c r="A1518" s="202"/>
      <c r="B1518" s="212"/>
      <c r="C1518" s="212"/>
      <c r="D1518" s="202"/>
      <c r="E1518" s="214"/>
      <c r="F1518" s="202"/>
      <c r="G1518" s="206"/>
      <c r="H1518" s="202"/>
      <c r="I1518" s="207"/>
      <c r="J1518" s="207"/>
      <c r="K1518" s="207"/>
      <c r="L1518" s="207"/>
      <c r="M1518" s="207"/>
    </row>
    <row r="1519" spans="1:13">
      <c r="A1519" s="202"/>
      <c r="B1519" s="212"/>
      <c r="C1519" s="212"/>
      <c r="D1519" s="202"/>
      <c r="E1519" s="214"/>
      <c r="F1519" s="202"/>
      <c r="G1519" s="206"/>
      <c r="H1519" s="202"/>
      <c r="I1519" s="207"/>
      <c r="J1519" s="207"/>
      <c r="K1519" s="207"/>
      <c r="L1519" s="207"/>
      <c r="M1519" s="207"/>
    </row>
    <row r="1520" spans="1:13">
      <c r="A1520" s="202"/>
      <c r="B1520" s="212"/>
      <c r="C1520" s="212"/>
      <c r="D1520" s="202"/>
      <c r="E1520" s="214"/>
      <c r="F1520" s="202"/>
      <c r="G1520" s="206"/>
      <c r="H1520" s="202"/>
      <c r="I1520" s="207"/>
      <c r="J1520" s="207"/>
      <c r="K1520" s="207"/>
      <c r="L1520" s="207"/>
      <c r="M1520" s="207"/>
    </row>
    <row r="1521" spans="1:13">
      <c r="A1521" s="202"/>
      <c r="B1521" s="212"/>
      <c r="C1521" s="212"/>
      <c r="D1521" s="202"/>
      <c r="E1521" s="214"/>
      <c r="F1521" s="202"/>
      <c r="G1521" s="206"/>
      <c r="H1521" s="202"/>
      <c r="I1521" s="207"/>
      <c r="J1521" s="207"/>
      <c r="K1521" s="207"/>
      <c r="L1521" s="207"/>
      <c r="M1521" s="207"/>
    </row>
    <row r="1522" spans="1:13">
      <c r="A1522" s="202"/>
      <c r="B1522" s="212"/>
      <c r="C1522" s="212"/>
      <c r="D1522" s="202"/>
      <c r="E1522" s="214"/>
      <c r="F1522" s="202"/>
      <c r="G1522" s="206"/>
      <c r="H1522" s="202"/>
      <c r="I1522" s="207"/>
      <c r="J1522" s="207"/>
      <c r="K1522" s="207"/>
      <c r="L1522" s="207"/>
      <c r="M1522" s="207"/>
    </row>
    <row r="1523" spans="1:13">
      <c r="A1523" s="202"/>
      <c r="B1523" s="212"/>
      <c r="C1523" s="212"/>
      <c r="D1523" s="202"/>
      <c r="E1523" s="214"/>
      <c r="F1523" s="202"/>
      <c r="G1523" s="206"/>
      <c r="H1523" s="202"/>
      <c r="I1523" s="207"/>
      <c r="J1523" s="207"/>
      <c r="K1523" s="207"/>
      <c r="L1523" s="207"/>
      <c r="M1523" s="207"/>
    </row>
    <row r="1524" spans="1:13">
      <c r="A1524" s="202"/>
      <c r="B1524" s="212"/>
      <c r="C1524" s="212"/>
      <c r="D1524" s="202"/>
      <c r="E1524" s="214"/>
      <c r="F1524" s="202"/>
      <c r="G1524" s="206"/>
      <c r="H1524" s="202"/>
      <c r="I1524" s="207"/>
      <c r="J1524" s="207"/>
      <c r="K1524" s="207"/>
      <c r="L1524" s="207"/>
      <c r="M1524" s="207"/>
    </row>
    <row r="1525" spans="1:13">
      <c r="A1525" s="202"/>
      <c r="B1525" s="212"/>
      <c r="C1525" s="212"/>
      <c r="D1525" s="202"/>
      <c r="E1525" s="214"/>
      <c r="F1525" s="202"/>
      <c r="G1525" s="206"/>
      <c r="H1525" s="202"/>
      <c r="I1525" s="207"/>
      <c r="J1525" s="207"/>
      <c r="K1525" s="207"/>
      <c r="L1525" s="207"/>
      <c r="M1525" s="207"/>
    </row>
    <row r="1526" spans="1:13">
      <c r="A1526" s="202"/>
      <c r="B1526" s="212"/>
      <c r="C1526" s="212"/>
      <c r="D1526" s="202"/>
      <c r="E1526" s="214"/>
      <c r="F1526" s="202"/>
      <c r="G1526" s="206"/>
      <c r="H1526" s="202"/>
      <c r="I1526" s="207"/>
      <c r="J1526" s="207"/>
      <c r="K1526" s="207"/>
      <c r="L1526" s="207"/>
      <c r="M1526" s="207"/>
    </row>
    <row r="1527" spans="1:13">
      <c r="A1527" s="202"/>
      <c r="B1527" s="212"/>
      <c r="C1527" s="212"/>
      <c r="D1527" s="202"/>
      <c r="E1527" s="214"/>
      <c r="F1527" s="202"/>
      <c r="G1527" s="206"/>
      <c r="H1527" s="202"/>
      <c r="I1527" s="207"/>
      <c r="J1527" s="207"/>
      <c r="K1527" s="207"/>
      <c r="L1527" s="207"/>
      <c r="M1527" s="207"/>
    </row>
    <row r="1528" spans="1:13">
      <c r="A1528" s="202"/>
      <c r="B1528" s="212"/>
      <c r="C1528" s="212"/>
      <c r="D1528" s="202"/>
      <c r="E1528" s="214"/>
      <c r="F1528" s="202"/>
      <c r="G1528" s="206"/>
      <c r="H1528" s="202"/>
      <c r="I1528" s="207"/>
      <c r="J1528" s="207"/>
      <c r="K1528" s="207"/>
      <c r="L1528" s="207"/>
      <c r="M1528" s="207"/>
    </row>
    <row r="1529" spans="1:13">
      <c r="A1529" s="202"/>
      <c r="B1529" s="212"/>
      <c r="C1529" s="212"/>
      <c r="D1529" s="202"/>
      <c r="E1529" s="214"/>
      <c r="F1529" s="202"/>
      <c r="G1529" s="206"/>
      <c r="H1529" s="202"/>
      <c r="I1529" s="207"/>
      <c r="J1529" s="207"/>
      <c r="K1529" s="207"/>
      <c r="L1529" s="207"/>
      <c r="M1529" s="207"/>
    </row>
    <row r="1530" spans="1:13">
      <c r="A1530" s="202"/>
      <c r="B1530" s="212"/>
      <c r="C1530" s="212"/>
      <c r="D1530" s="202"/>
      <c r="E1530" s="214"/>
      <c r="F1530" s="202"/>
      <c r="G1530" s="206"/>
      <c r="H1530" s="202"/>
      <c r="I1530" s="207"/>
      <c r="J1530" s="207"/>
      <c r="K1530" s="207"/>
      <c r="L1530" s="207"/>
      <c r="M1530" s="207"/>
    </row>
    <row r="1531" spans="1:13">
      <c r="A1531" s="202"/>
      <c r="B1531" s="212"/>
      <c r="C1531" s="212"/>
      <c r="D1531" s="202"/>
      <c r="E1531" s="214"/>
      <c r="F1531" s="202"/>
      <c r="G1531" s="206"/>
      <c r="H1531" s="202"/>
      <c r="I1531" s="207"/>
      <c r="J1531" s="207"/>
      <c r="K1531" s="207"/>
      <c r="L1531" s="207"/>
      <c r="M1531" s="207"/>
    </row>
    <row r="1532" spans="1:13">
      <c r="A1532" s="202"/>
      <c r="B1532" s="212"/>
      <c r="C1532" s="212"/>
      <c r="D1532" s="202"/>
      <c r="E1532" s="214"/>
      <c r="F1532" s="202"/>
      <c r="G1532" s="206"/>
      <c r="H1532" s="202"/>
      <c r="I1532" s="207"/>
      <c r="J1532" s="207"/>
      <c r="K1532" s="207"/>
      <c r="L1532" s="207"/>
      <c r="M1532" s="207"/>
    </row>
    <row r="1533" spans="1:13">
      <c r="A1533" s="202"/>
      <c r="B1533" s="212"/>
      <c r="C1533" s="212"/>
      <c r="D1533" s="202"/>
      <c r="E1533" s="214"/>
      <c r="F1533" s="202"/>
      <c r="G1533" s="206"/>
      <c r="H1533" s="202"/>
      <c r="I1533" s="207"/>
      <c r="J1533" s="207"/>
      <c r="K1533" s="207"/>
      <c r="L1533" s="207"/>
      <c r="M1533" s="207"/>
    </row>
    <row r="1534" spans="1:13">
      <c r="A1534" s="202"/>
      <c r="B1534" s="212"/>
      <c r="C1534" s="212"/>
      <c r="D1534" s="202"/>
      <c r="E1534" s="214"/>
      <c r="F1534" s="202"/>
      <c r="G1534" s="206"/>
      <c r="H1534" s="202"/>
      <c r="I1534" s="207"/>
      <c r="J1534" s="207"/>
      <c r="K1534" s="207"/>
      <c r="L1534" s="207"/>
      <c r="M1534" s="207"/>
    </row>
    <row r="1535" spans="1:13">
      <c r="A1535" s="202"/>
      <c r="B1535" s="212"/>
      <c r="C1535" s="212"/>
      <c r="D1535" s="202"/>
      <c r="E1535" s="214"/>
      <c r="F1535" s="202"/>
      <c r="G1535" s="206"/>
      <c r="H1535" s="202"/>
      <c r="I1535" s="207"/>
      <c r="J1535" s="207"/>
      <c r="K1535" s="207"/>
      <c r="L1535" s="207"/>
      <c r="M1535" s="207"/>
    </row>
    <row r="1536" spans="1:13">
      <c r="A1536" s="202"/>
      <c r="B1536" s="212"/>
      <c r="C1536" s="212"/>
      <c r="D1536" s="202"/>
      <c r="E1536" s="214"/>
      <c r="F1536" s="202"/>
      <c r="G1536" s="206"/>
      <c r="H1536" s="202"/>
      <c r="I1536" s="207"/>
      <c r="J1536" s="207"/>
      <c r="K1536" s="207"/>
      <c r="L1536" s="207"/>
      <c r="M1536" s="207"/>
    </row>
    <row r="1537" spans="1:13">
      <c r="A1537" s="202"/>
      <c r="B1537" s="212"/>
      <c r="C1537" s="212"/>
      <c r="D1537" s="202"/>
      <c r="E1537" s="214"/>
      <c r="F1537" s="202"/>
      <c r="G1537" s="206"/>
      <c r="H1537" s="202"/>
      <c r="I1537" s="207"/>
      <c r="J1537" s="207"/>
      <c r="K1537" s="207"/>
      <c r="L1537" s="207"/>
      <c r="M1537" s="207"/>
    </row>
    <row r="1538" spans="1:13">
      <c r="A1538" s="202"/>
      <c r="B1538" s="212"/>
      <c r="C1538" s="212"/>
      <c r="D1538" s="202"/>
      <c r="E1538" s="214"/>
      <c r="F1538" s="202"/>
      <c r="G1538" s="206"/>
      <c r="H1538" s="202"/>
      <c r="I1538" s="207"/>
      <c r="J1538" s="207"/>
      <c r="K1538" s="207"/>
      <c r="L1538" s="207"/>
      <c r="M1538" s="207"/>
    </row>
    <row r="1539" spans="1:13">
      <c r="A1539" s="202"/>
      <c r="B1539" s="212"/>
      <c r="C1539" s="212"/>
      <c r="D1539" s="202"/>
      <c r="E1539" s="214"/>
      <c r="F1539" s="202"/>
      <c r="G1539" s="206"/>
      <c r="H1539" s="202"/>
      <c r="I1539" s="207"/>
      <c r="J1539" s="207"/>
      <c r="K1539" s="207"/>
      <c r="L1539" s="207"/>
      <c r="M1539" s="207"/>
    </row>
    <row r="1540" spans="1:13">
      <c r="A1540" s="202"/>
      <c r="B1540" s="212"/>
      <c r="C1540" s="212"/>
      <c r="D1540" s="202"/>
      <c r="E1540" s="214"/>
      <c r="F1540" s="202"/>
      <c r="G1540" s="206"/>
      <c r="H1540" s="202"/>
      <c r="I1540" s="207"/>
      <c r="J1540" s="207"/>
      <c r="K1540" s="207"/>
      <c r="L1540" s="207"/>
      <c r="M1540" s="207"/>
    </row>
    <row r="1541" spans="1:13">
      <c r="A1541" s="202"/>
      <c r="B1541" s="212"/>
      <c r="C1541" s="212"/>
      <c r="D1541" s="202"/>
      <c r="E1541" s="214"/>
      <c r="F1541" s="202"/>
      <c r="G1541" s="206"/>
      <c r="H1541" s="202"/>
      <c r="I1541" s="207"/>
      <c r="J1541" s="207"/>
      <c r="K1541" s="207"/>
      <c r="L1541" s="207"/>
      <c r="M1541" s="207"/>
    </row>
    <row r="1542" spans="1:13">
      <c r="A1542" s="202"/>
      <c r="B1542" s="212"/>
      <c r="C1542" s="212"/>
      <c r="D1542" s="202"/>
      <c r="E1542" s="214"/>
      <c r="F1542" s="202"/>
      <c r="G1542" s="206"/>
      <c r="H1542" s="202"/>
      <c r="I1542" s="207"/>
      <c r="J1542" s="207"/>
      <c r="K1542" s="207"/>
      <c r="L1542" s="207"/>
      <c r="M1542" s="207"/>
    </row>
    <row r="1543" spans="1:13">
      <c r="A1543" s="202"/>
      <c r="B1543" s="212"/>
      <c r="C1543" s="212"/>
      <c r="D1543" s="202"/>
      <c r="E1543" s="214"/>
      <c r="F1543" s="202"/>
      <c r="G1543" s="206"/>
      <c r="H1543" s="202"/>
      <c r="I1543" s="207"/>
      <c r="J1543" s="207"/>
      <c r="K1543" s="207"/>
      <c r="L1543" s="207"/>
      <c r="M1543" s="207"/>
    </row>
    <row r="1544" spans="1:13">
      <c r="A1544" s="202"/>
      <c r="B1544" s="212"/>
      <c r="C1544" s="212"/>
      <c r="D1544" s="202"/>
      <c r="E1544" s="214"/>
      <c r="F1544" s="202"/>
      <c r="G1544" s="206"/>
      <c r="H1544" s="202"/>
      <c r="I1544" s="207"/>
      <c r="J1544" s="207"/>
      <c r="K1544" s="207"/>
      <c r="L1544" s="207"/>
      <c r="M1544" s="207"/>
    </row>
    <row r="1545" spans="1:13">
      <c r="A1545" s="202"/>
      <c r="B1545" s="212"/>
      <c r="C1545" s="212"/>
      <c r="D1545" s="202"/>
      <c r="E1545" s="214"/>
      <c r="F1545" s="202"/>
      <c r="G1545" s="206"/>
      <c r="H1545" s="202"/>
      <c r="I1545" s="207"/>
      <c r="J1545" s="207"/>
      <c r="K1545" s="207"/>
      <c r="L1545" s="207"/>
      <c r="M1545" s="207"/>
    </row>
    <row r="1546" spans="1:13">
      <c r="A1546" s="202"/>
      <c r="B1546" s="212"/>
      <c r="C1546" s="212"/>
      <c r="D1546" s="202"/>
      <c r="E1546" s="214"/>
      <c r="F1546" s="202"/>
      <c r="G1546" s="206"/>
      <c r="H1546" s="202"/>
      <c r="I1546" s="207"/>
      <c r="J1546" s="207"/>
      <c r="K1546" s="207"/>
      <c r="L1546" s="207"/>
      <c r="M1546" s="207"/>
    </row>
    <row r="1547" spans="1:13">
      <c r="A1547" s="202"/>
      <c r="B1547" s="212"/>
      <c r="C1547" s="212"/>
      <c r="D1547" s="202"/>
      <c r="E1547" s="214"/>
      <c r="F1547" s="202"/>
      <c r="G1547" s="206"/>
      <c r="H1547" s="202"/>
      <c r="I1547" s="207"/>
      <c r="J1547" s="207"/>
      <c r="K1547" s="207"/>
      <c r="L1547" s="207"/>
      <c r="M1547" s="207"/>
    </row>
    <row r="1548" spans="1:13">
      <c r="A1548" s="202"/>
      <c r="B1548" s="212"/>
      <c r="C1548" s="212"/>
      <c r="D1548" s="202"/>
      <c r="E1548" s="214"/>
      <c r="F1548" s="202"/>
      <c r="G1548" s="206"/>
      <c r="H1548" s="202"/>
      <c r="I1548" s="207"/>
      <c r="J1548" s="207"/>
      <c r="K1548" s="207"/>
      <c r="L1548" s="207"/>
      <c r="M1548" s="207"/>
    </row>
    <row r="1549" spans="1:13">
      <c r="A1549" s="202"/>
      <c r="B1549" s="212"/>
      <c r="C1549" s="212"/>
      <c r="D1549" s="202"/>
      <c r="E1549" s="214"/>
      <c r="F1549" s="202"/>
      <c r="G1549" s="206"/>
      <c r="H1549" s="202"/>
      <c r="I1549" s="207"/>
      <c r="J1549" s="207"/>
      <c r="K1549" s="207"/>
      <c r="L1549" s="207"/>
      <c r="M1549" s="207"/>
    </row>
    <row r="1550" spans="1:13">
      <c r="A1550" s="202"/>
      <c r="B1550" s="212"/>
      <c r="C1550" s="212"/>
      <c r="D1550" s="202"/>
      <c r="E1550" s="214"/>
      <c r="F1550" s="202"/>
      <c r="G1550" s="206"/>
      <c r="H1550" s="202"/>
      <c r="I1550" s="207"/>
      <c r="J1550" s="207"/>
      <c r="K1550" s="207"/>
      <c r="L1550" s="207"/>
      <c r="M1550" s="207"/>
    </row>
    <row r="1551" spans="1:13">
      <c r="A1551" s="202"/>
      <c r="B1551" s="212"/>
      <c r="C1551" s="212"/>
      <c r="D1551" s="202"/>
      <c r="E1551" s="214"/>
      <c r="F1551" s="202"/>
      <c r="G1551" s="206"/>
      <c r="H1551" s="202"/>
      <c r="I1551" s="207"/>
      <c r="J1551" s="207"/>
      <c r="K1551" s="207"/>
      <c r="L1551" s="207"/>
      <c r="M1551" s="207"/>
    </row>
    <row r="1552" spans="1:13">
      <c r="A1552" s="202"/>
      <c r="B1552" s="212"/>
      <c r="C1552" s="212"/>
      <c r="D1552" s="202"/>
      <c r="E1552" s="214"/>
      <c r="F1552" s="202"/>
      <c r="G1552" s="206"/>
      <c r="H1552" s="202"/>
      <c r="I1552" s="207"/>
      <c r="J1552" s="207"/>
      <c r="K1552" s="207"/>
      <c r="L1552" s="207"/>
      <c r="M1552" s="207"/>
    </row>
    <row r="1553" spans="1:13">
      <c r="A1553" s="202"/>
      <c r="B1553" s="212"/>
      <c r="C1553" s="212"/>
      <c r="D1553" s="202"/>
      <c r="E1553" s="214"/>
      <c r="F1553" s="202"/>
      <c r="G1553" s="206"/>
      <c r="H1553" s="202"/>
      <c r="I1553" s="207"/>
      <c r="J1553" s="207"/>
      <c r="K1553" s="207"/>
      <c r="L1553" s="207"/>
      <c r="M1553" s="207"/>
    </row>
    <row r="1554" spans="1:13">
      <c r="A1554" s="202"/>
      <c r="B1554" s="212"/>
      <c r="C1554" s="212"/>
      <c r="D1554" s="202"/>
      <c r="E1554" s="214"/>
      <c r="F1554" s="202"/>
      <c r="G1554" s="206"/>
      <c r="H1554" s="202"/>
      <c r="I1554" s="207"/>
      <c r="J1554" s="207"/>
      <c r="K1554" s="207"/>
      <c r="L1554" s="207"/>
      <c r="M1554" s="207"/>
    </row>
    <row r="1555" spans="1:13">
      <c r="A1555" s="202"/>
      <c r="B1555" s="212"/>
      <c r="C1555" s="212"/>
      <c r="D1555" s="202"/>
      <c r="E1555" s="214"/>
      <c r="F1555" s="202"/>
      <c r="G1555" s="206"/>
      <c r="H1555" s="202"/>
      <c r="I1555" s="207"/>
      <c r="J1555" s="207"/>
      <c r="K1555" s="207"/>
      <c r="L1555" s="207"/>
      <c r="M1555" s="207"/>
    </row>
    <row r="1556" spans="1:13">
      <c r="A1556" s="202"/>
      <c r="B1556" s="212"/>
      <c r="C1556" s="212"/>
      <c r="D1556" s="202"/>
      <c r="E1556" s="214"/>
      <c r="F1556" s="202"/>
      <c r="G1556" s="206"/>
      <c r="H1556" s="202"/>
      <c r="I1556" s="207"/>
      <c r="J1556" s="207"/>
      <c r="K1556" s="207"/>
      <c r="L1556" s="207"/>
      <c r="M1556" s="207"/>
    </row>
    <row r="1557" spans="1:13">
      <c r="A1557" s="202"/>
      <c r="B1557" s="212"/>
      <c r="C1557" s="212"/>
      <c r="D1557" s="202"/>
      <c r="E1557" s="214"/>
      <c r="F1557" s="202"/>
      <c r="G1557" s="206"/>
      <c r="H1557" s="202"/>
      <c r="I1557" s="207"/>
      <c r="J1557" s="207"/>
      <c r="K1557" s="207"/>
      <c r="L1557" s="207"/>
      <c r="M1557" s="207"/>
    </row>
    <row r="1558" spans="1:13">
      <c r="A1558" s="202"/>
      <c r="B1558" s="212"/>
      <c r="C1558" s="212"/>
      <c r="D1558" s="202"/>
      <c r="E1558" s="214"/>
      <c r="F1558" s="202"/>
      <c r="G1558" s="206"/>
      <c r="H1558" s="202"/>
      <c r="I1558" s="207"/>
      <c r="J1558" s="207"/>
      <c r="K1558" s="207"/>
      <c r="L1558" s="207"/>
      <c r="M1558" s="207"/>
    </row>
    <row r="1559" spans="1:13">
      <c r="A1559" s="202"/>
      <c r="B1559" s="212"/>
      <c r="C1559" s="212"/>
      <c r="D1559" s="202"/>
      <c r="E1559" s="214"/>
      <c r="F1559" s="202"/>
      <c r="G1559" s="206"/>
      <c r="H1559" s="202"/>
      <c r="I1559" s="207"/>
      <c r="J1559" s="207"/>
      <c r="K1559" s="207"/>
      <c r="L1559" s="207"/>
      <c r="M1559" s="207"/>
    </row>
    <row r="1560" spans="1:13">
      <c r="A1560" s="202"/>
      <c r="B1560" s="212"/>
      <c r="C1560" s="212"/>
      <c r="D1560" s="202"/>
      <c r="E1560" s="214"/>
      <c r="F1560" s="202"/>
      <c r="G1560" s="206"/>
      <c r="H1560" s="202"/>
      <c r="I1560" s="207"/>
      <c r="J1560" s="207"/>
      <c r="K1560" s="207"/>
      <c r="L1560" s="207"/>
      <c r="M1560" s="207"/>
    </row>
    <row r="1561" spans="1:13">
      <c r="A1561" s="202"/>
      <c r="B1561" s="212"/>
      <c r="C1561" s="212"/>
      <c r="D1561" s="202"/>
      <c r="E1561" s="214"/>
      <c r="F1561" s="202"/>
      <c r="G1561" s="206"/>
      <c r="H1561" s="202"/>
      <c r="I1561" s="207"/>
      <c r="J1561" s="207"/>
      <c r="K1561" s="207"/>
      <c r="L1561" s="207"/>
      <c r="M1561" s="207"/>
    </row>
    <row r="1562" spans="1:13">
      <c r="A1562" s="202"/>
      <c r="B1562" s="212"/>
      <c r="C1562" s="212"/>
      <c r="D1562" s="202"/>
      <c r="E1562" s="214"/>
      <c r="F1562" s="202"/>
      <c r="G1562" s="206"/>
      <c r="H1562" s="202"/>
      <c r="I1562" s="207"/>
      <c r="J1562" s="207"/>
      <c r="K1562" s="207"/>
      <c r="L1562" s="207"/>
      <c r="M1562" s="207"/>
    </row>
    <row r="1563" spans="1:13">
      <c r="A1563" s="202"/>
      <c r="B1563" s="212"/>
      <c r="C1563" s="212"/>
      <c r="D1563" s="202"/>
      <c r="E1563" s="214"/>
      <c r="F1563" s="202"/>
      <c r="G1563" s="206"/>
      <c r="H1563" s="202"/>
      <c r="I1563" s="207"/>
      <c r="J1563" s="207"/>
      <c r="K1563" s="207"/>
      <c r="L1563" s="207"/>
      <c r="M1563" s="207"/>
    </row>
    <row r="1564" spans="1:13">
      <c r="A1564" s="202"/>
      <c r="B1564" s="212"/>
      <c r="C1564" s="212"/>
      <c r="D1564" s="202"/>
      <c r="E1564" s="214"/>
      <c r="F1564" s="202"/>
      <c r="G1564" s="206"/>
      <c r="H1564" s="202"/>
      <c r="I1564" s="207"/>
      <c r="J1564" s="207"/>
      <c r="K1564" s="207"/>
      <c r="L1564" s="207"/>
      <c r="M1564" s="207"/>
    </row>
    <row r="1565" spans="1:13">
      <c r="A1565" s="202"/>
      <c r="B1565" s="212"/>
      <c r="C1565" s="212"/>
      <c r="D1565" s="202"/>
      <c r="E1565" s="214"/>
      <c r="F1565" s="202"/>
      <c r="G1565" s="206"/>
      <c r="H1565" s="202"/>
      <c r="I1565" s="207"/>
      <c r="J1565" s="207"/>
      <c r="K1565" s="207"/>
      <c r="L1565" s="207"/>
      <c r="M1565" s="207"/>
    </row>
    <row r="1566" spans="1:13">
      <c r="A1566" s="202"/>
      <c r="B1566" s="212"/>
      <c r="C1566" s="212"/>
      <c r="D1566" s="202"/>
      <c r="E1566" s="214"/>
      <c r="F1566" s="202"/>
      <c r="G1566" s="206"/>
      <c r="H1566" s="202"/>
      <c r="I1566" s="207"/>
      <c r="J1566" s="207"/>
      <c r="K1566" s="207"/>
      <c r="L1566" s="207"/>
      <c r="M1566" s="207"/>
    </row>
    <row r="1567" spans="1:13">
      <c r="A1567" s="202"/>
      <c r="B1567" s="212"/>
      <c r="C1567" s="212"/>
      <c r="D1567" s="202"/>
      <c r="E1567" s="214"/>
      <c r="F1567" s="202"/>
      <c r="G1567" s="206"/>
      <c r="H1567" s="202"/>
      <c r="I1567" s="207"/>
      <c r="J1567" s="207"/>
      <c r="K1567" s="207"/>
      <c r="L1567" s="207"/>
      <c r="M1567" s="207"/>
    </row>
    <row r="1568" spans="1:13">
      <c r="A1568" s="202"/>
      <c r="B1568" s="212"/>
      <c r="C1568" s="212"/>
      <c r="D1568" s="202"/>
      <c r="E1568" s="214"/>
      <c r="F1568" s="202"/>
      <c r="G1568" s="206"/>
      <c r="H1568" s="202"/>
      <c r="I1568" s="207"/>
      <c r="J1568" s="207"/>
      <c r="K1568" s="207"/>
      <c r="L1568" s="207"/>
      <c r="M1568" s="207"/>
    </row>
    <row r="1569" spans="1:13">
      <c r="A1569" s="202"/>
      <c r="B1569" s="212"/>
      <c r="C1569" s="212"/>
      <c r="D1569" s="202"/>
      <c r="E1569" s="214"/>
      <c r="F1569" s="202"/>
      <c r="G1569" s="206"/>
      <c r="H1569" s="202"/>
      <c r="I1569" s="207"/>
      <c r="J1569" s="207"/>
      <c r="K1569" s="207"/>
      <c r="L1569" s="207"/>
      <c r="M1569" s="207"/>
    </row>
    <row r="1570" spans="1:13">
      <c r="A1570" s="202"/>
      <c r="B1570" s="212"/>
      <c r="C1570" s="212"/>
      <c r="D1570" s="202"/>
      <c r="E1570" s="214"/>
      <c r="F1570" s="202"/>
      <c r="G1570" s="206"/>
      <c r="H1570" s="202"/>
      <c r="I1570" s="207"/>
      <c r="J1570" s="207"/>
      <c r="K1570" s="207"/>
      <c r="L1570" s="207"/>
      <c r="M1570" s="207"/>
    </row>
    <row r="1571" spans="1:13">
      <c r="A1571" s="202"/>
      <c r="B1571" s="212"/>
      <c r="C1571" s="212"/>
      <c r="D1571" s="202"/>
      <c r="E1571" s="214"/>
      <c r="F1571" s="202"/>
      <c r="G1571" s="206"/>
      <c r="H1571" s="202"/>
      <c r="I1571" s="207"/>
      <c r="J1571" s="207"/>
      <c r="K1571" s="207"/>
      <c r="L1571" s="207"/>
      <c r="M1571" s="207"/>
    </row>
    <row r="1572" spans="1:13">
      <c r="A1572" s="202"/>
      <c r="B1572" s="212"/>
      <c r="C1572" s="212"/>
      <c r="D1572" s="202"/>
      <c r="E1572" s="214"/>
      <c r="F1572" s="202"/>
      <c r="G1572" s="206"/>
      <c r="H1572" s="202"/>
      <c r="I1572" s="207"/>
      <c r="J1572" s="207"/>
      <c r="K1572" s="207"/>
      <c r="L1572" s="207"/>
      <c r="M1572" s="207"/>
    </row>
    <row r="1573" spans="1:13">
      <c r="A1573" s="202"/>
      <c r="B1573" s="212"/>
      <c r="C1573" s="212"/>
      <c r="D1573" s="202"/>
      <c r="E1573" s="214"/>
      <c r="F1573" s="202"/>
      <c r="G1573" s="206"/>
      <c r="H1573" s="202"/>
      <c r="I1573" s="207"/>
      <c r="J1573" s="207"/>
      <c r="K1573" s="207"/>
      <c r="L1573" s="207"/>
      <c r="M1573" s="207"/>
    </row>
    <row r="1574" spans="1:13">
      <c r="A1574" s="202"/>
      <c r="B1574" s="212"/>
      <c r="C1574" s="212"/>
      <c r="D1574" s="202"/>
      <c r="E1574" s="214"/>
      <c r="F1574" s="202"/>
      <c r="G1574" s="206"/>
      <c r="H1574" s="202"/>
      <c r="I1574" s="207"/>
      <c r="J1574" s="207"/>
      <c r="K1574" s="207"/>
      <c r="L1574" s="207"/>
      <c r="M1574" s="207"/>
    </row>
    <row r="1575" spans="1:13">
      <c r="A1575" s="202"/>
      <c r="B1575" s="212"/>
      <c r="C1575" s="212"/>
      <c r="D1575" s="202"/>
      <c r="E1575" s="214"/>
      <c r="F1575" s="202"/>
      <c r="G1575" s="206"/>
      <c r="H1575" s="202"/>
      <c r="I1575" s="207"/>
      <c r="J1575" s="207"/>
      <c r="K1575" s="207"/>
      <c r="L1575" s="207"/>
      <c r="M1575" s="207"/>
    </row>
    <row r="1576" spans="1:13">
      <c r="A1576" s="202"/>
      <c r="B1576" s="212"/>
      <c r="C1576" s="212"/>
      <c r="D1576" s="202"/>
      <c r="E1576" s="214"/>
      <c r="F1576" s="202"/>
      <c r="G1576" s="206"/>
      <c r="H1576" s="202"/>
      <c r="I1576" s="207"/>
      <c r="J1576" s="207"/>
      <c r="K1576" s="207"/>
      <c r="L1576" s="207"/>
      <c r="M1576" s="207"/>
    </row>
    <row r="1577" spans="1:13">
      <c r="A1577" s="202"/>
      <c r="B1577" s="212"/>
      <c r="C1577" s="212"/>
      <c r="D1577" s="202"/>
      <c r="E1577" s="214"/>
      <c r="F1577" s="202"/>
      <c r="G1577" s="206"/>
      <c r="H1577" s="202"/>
      <c r="I1577" s="207"/>
      <c r="J1577" s="207"/>
      <c r="K1577" s="207"/>
      <c r="L1577" s="207"/>
      <c r="M1577" s="207"/>
    </row>
    <row r="1578" spans="1:13">
      <c r="A1578" s="202"/>
      <c r="B1578" s="212"/>
      <c r="C1578" s="212"/>
      <c r="D1578" s="202"/>
      <c r="E1578" s="214"/>
      <c r="F1578" s="202"/>
      <c r="G1578" s="206"/>
      <c r="H1578" s="202"/>
      <c r="I1578" s="207"/>
      <c r="J1578" s="207"/>
      <c r="K1578" s="207"/>
      <c r="L1578" s="207"/>
      <c r="M1578" s="207"/>
    </row>
    <row r="1579" spans="1:13">
      <c r="A1579" s="202"/>
      <c r="B1579" s="212"/>
      <c r="C1579" s="212"/>
      <c r="D1579" s="202"/>
      <c r="E1579" s="214"/>
      <c r="F1579" s="202"/>
      <c r="G1579" s="206"/>
      <c r="H1579" s="202"/>
      <c r="I1579" s="207"/>
      <c r="J1579" s="207"/>
      <c r="K1579" s="207"/>
      <c r="L1579" s="207"/>
      <c r="M1579" s="207"/>
    </row>
    <row r="1580" spans="1:13">
      <c r="A1580" s="202"/>
      <c r="B1580" s="212"/>
      <c r="C1580" s="212"/>
      <c r="D1580" s="202"/>
      <c r="E1580" s="214"/>
      <c r="F1580" s="202"/>
      <c r="G1580" s="206"/>
      <c r="H1580" s="202"/>
      <c r="I1580" s="207"/>
      <c r="J1580" s="207"/>
      <c r="K1580" s="207"/>
      <c r="L1580" s="207"/>
      <c r="M1580" s="207"/>
    </row>
    <row r="1581" spans="1:13">
      <c r="A1581" s="202"/>
      <c r="B1581" s="212"/>
      <c r="C1581" s="212"/>
      <c r="D1581" s="202"/>
      <c r="E1581" s="214"/>
      <c r="F1581" s="202"/>
      <c r="G1581" s="206"/>
      <c r="H1581" s="202"/>
      <c r="I1581" s="207"/>
      <c r="J1581" s="207"/>
      <c r="K1581" s="207"/>
      <c r="L1581" s="207"/>
      <c r="M1581" s="207"/>
    </row>
    <row r="1582" spans="1:13">
      <c r="A1582" s="202"/>
      <c r="B1582" s="212"/>
      <c r="C1582" s="212"/>
      <c r="D1582" s="202"/>
      <c r="E1582" s="214"/>
      <c r="F1582" s="202"/>
      <c r="G1582" s="206"/>
      <c r="H1582" s="202"/>
      <c r="I1582" s="207"/>
      <c r="J1582" s="207"/>
      <c r="K1582" s="207"/>
      <c r="L1582" s="207"/>
      <c r="M1582" s="207"/>
    </row>
    <row r="1583" spans="1:13">
      <c r="A1583" s="202"/>
      <c r="B1583" s="212"/>
      <c r="C1583" s="212"/>
      <c r="D1583" s="202"/>
      <c r="E1583" s="214"/>
      <c r="F1583" s="202"/>
      <c r="G1583" s="206"/>
      <c r="H1583" s="202"/>
      <c r="I1583" s="207"/>
      <c r="J1583" s="207"/>
      <c r="K1583" s="207"/>
      <c r="L1583" s="207"/>
      <c r="M1583" s="207"/>
    </row>
    <row r="1584" spans="1:13">
      <c r="A1584" s="202"/>
      <c r="B1584" s="212"/>
      <c r="C1584" s="212"/>
      <c r="D1584" s="202"/>
      <c r="E1584" s="214"/>
      <c r="F1584" s="202"/>
      <c r="G1584" s="206"/>
      <c r="H1584" s="202"/>
      <c r="I1584" s="207"/>
      <c r="J1584" s="207"/>
      <c r="K1584" s="207"/>
      <c r="L1584" s="207"/>
      <c r="M1584" s="207"/>
    </row>
    <row r="1585" spans="1:13">
      <c r="A1585" s="202"/>
      <c r="B1585" s="212"/>
      <c r="C1585" s="212"/>
      <c r="D1585" s="202"/>
      <c r="E1585" s="214"/>
      <c r="F1585" s="202"/>
      <c r="G1585" s="206"/>
      <c r="H1585" s="202"/>
      <c r="I1585" s="207"/>
      <c r="J1585" s="207"/>
      <c r="K1585" s="207"/>
      <c r="L1585" s="207"/>
      <c r="M1585" s="207"/>
    </row>
    <row r="1586" spans="1:13">
      <c r="A1586" s="202"/>
      <c r="B1586" s="212"/>
      <c r="C1586" s="212"/>
      <c r="D1586" s="202"/>
      <c r="E1586" s="214"/>
      <c r="F1586" s="202"/>
      <c r="G1586" s="206"/>
      <c r="H1586" s="202"/>
      <c r="I1586" s="207"/>
      <c r="J1586" s="207"/>
      <c r="K1586" s="207"/>
      <c r="L1586" s="207"/>
      <c r="M1586" s="207"/>
    </row>
    <row r="1587" spans="1:13">
      <c r="A1587" s="202"/>
      <c r="B1587" s="212"/>
      <c r="C1587" s="212"/>
      <c r="D1587" s="202"/>
      <c r="E1587" s="214"/>
      <c r="F1587" s="202"/>
      <c r="G1587" s="206"/>
      <c r="H1587" s="202"/>
      <c r="I1587" s="207"/>
      <c r="J1587" s="207"/>
      <c r="K1587" s="207"/>
      <c r="L1587" s="207"/>
      <c r="M1587" s="207"/>
    </row>
    <row r="1588" spans="1:13">
      <c r="A1588" s="202"/>
      <c r="B1588" s="212"/>
      <c r="C1588" s="212"/>
      <c r="D1588" s="202"/>
      <c r="E1588" s="214"/>
      <c r="F1588" s="202"/>
      <c r="G1588" s="206"/>
      <c r="H1588" s="202"/>
      <c r="I1588" s="207"/>
      <c r="J1588" s="207"/>
      <c r="K1588" s="207"/>
      <c r="L1588" s="207"/>
      <c r="M1588" s="207"/>
    </row>
    <row r="1589" spans="1:13">
      <c r="A1589" s="202"/>
      <c r="B1589" s="212"/>
      <c r="C1589" s="212"/>
      <c r="D1589" s="202"/>
      <c r="E1589" s="214"/>
      <c r="F1589" s="202"/>
      <c r="G1589" s="206"/>
      <c r="H1589" s="202"/>
      <c r="I1589" s="207"/>
      <c r="J1589" s="207"/>
      <c r="K1589" s="207"/>
      <c r="L1589" s="207"/>
      <c r="M1589" s="207"/>
    </row>
    <row r="1590" spans="1:13">
      <c r="A1590" s="202"/>
      <c r="B1590" s="212"/>
      <c r="C1590" s="212"/>
      <c r="D1590" s="202"/>
      <c r="E1590" s="214"/>
      <c r="F1590" s="202"/>
      <c r="G1590" s="206"/>
      <c r="H1590" s="202"/>
      <c r="I1590" s="207"/>
      <c r="J1590" s="207"/>
      <c r="K1590" s="207"/>
      <c r="L1590" s="207"/>
      <c r="M1590" s="207"/>
    </row>
    <row r="1591" spans="1:13">
      <c r="A1591" s="202"/>
      <c r="B1591" s="212"/>
      <c r="C1591" s="212"/>
      <c r="D1591" s="202"/>
      <c r="E1591" s="214"/>
      <c r="F1591" s="202"/>
      <c r="G1591" s="206"/>
      <c r="H1591" s="202"/>
      <c r="I1591" s="207"/>
      <c r="J1591" s="207"/>
      <c r="K1591" s="207"/>
      <c r="L1591" s="207"/>
      <c r="M1591" s="207"/>
    </row>
    <row r="1592" spans="1:13">
      <c r="A1592" s="202"/>
      <c r="B1592" s="212"/>
      <c r="C1592" s="212"/>
      <c r="D1592" s="202"/>
      <c r="E1592" s="214"/>
      <c r="F1592" s="202"/>
      <c r="G1592" s="206"/>
      <c r="H1592" s="202"/>
      <c r="I1592" s="207"/>
      <c r="J1592" s="207"/>
      <c r="K1592" s="207"/>
      <c r="L1592" s="207"/>
      <c r="M1592" s="207"/>
    </row>
    <row r="1593" spans="1:13">
      <c r="A1593" s="202"/>
      <c r="B1593" s="212"/>
      <c r="C1593" s="212"/>
      <c r="D1593" s="202"/>
      <c r="E1593" s="214"/>
      <c r="F1593" s="202"/>
      <c r="G1593" s="206"/>
      <c r="H1593" s="202"/>
      <c r="I1593" s="207"/>
      <c r="J1593" s="207"/>
      <c r="K1593" s="207"/>
      <c r="L1593" s="207"/>
      <c r="M1593" s="207"/>
    </row>
    <row r="1594" spans="1:13">
      <c r="A1594" s="202"/>
      <c r="B1594" s="212"/>
      <c r="C1594" s="212"/>
      <c r="D1594" s="202"/>
      <c r="E1594" s="214"/>
      <c r="F1594" s="202"/>
      <c r="G1594" s="206"/>
      <c r="H1594" s="202"/>
      <c r="I1594" s="207"/>
      <c r="J1594" s="207"/>
      <c r="K1594" s="207"/>
      <c r="L1594" s="207"/>
      <c r="M1594" s="207"/>
    </row>
    <row r="1595" spans="1:13">
      <c r="A1595" s="202"/>
      <c r="B1595" s="212"/>
      <c r="C1595" s="212"/>
      <c r="D1595" s="202"/>
      <c r="E1595" s="214"/>
      <c r="F1595" s="202"/>
      <c r="G1595" s="206"/>
      <c r="H1595" s="202"/>
      <c r="I1595" s="207"/>
      <c r="J1595" s="207"/>
      <c r="K1595" s="207"/>
      <c r="L1595" s="207"/>
      <c r="M1595" s="207"/>
    </row>
    <row r="1596" spans="1:13">
      <c r="A1596" s="202"/>
      <c r="B1596" s="212"/>
      <c r="C1596" s="212"/>
      <c r="D1596" s="202"/>
      <c r="E1596" s="214"/>
      <c r="F1596" s="202"/>
      <c r="G1596" s="206"/>
      <c r="H1596" s="202"/>
      <c r="I1596" s="207"/>
      <c r="J1596" s="207"/>
      <c r="K1596" s="207"/>
      <c r="L1596" s="207"/>
      <c r="M1596" s="207"/>
    </row>
    <row r="1597" spans="1:13">
      <c r="A1597" s="202"/>
      <c r="B1597" s="212"/>
      <c r="C1597" s="212"/>
      <c r="D1597" s="202"/>
      <c r="E1597" s="214"/>
      <c r="F1597" s="202"/>
      <c r="G1597" s="206"/>
      <c r="H1597" s="202"/>
      <c r="I1597" s="207"/>
      <c r="J1597" s="207"/>
      <c r="K1597" s="207"/>
      <c r="L1597" s="207"/>
      <c r="M1597" s="207"/>
    </row>
    <row r="1598" spans="1:13">
      <c r="A1598" s="202"/>
      <c r="B1598" s="212"/>
      <c r="C1598" s="212"/>
      <c r="D1598" s="202"/>
      <c r="E1598" s="214"/>
      <c r="F1598" s="202"/>
      <c r="G1598" s="206"/>
      <c r="H1598" s="202"/>
      <c r="I1598" s="207"/>
      <c r="J1598" s="207"/>
      <c r="K1598" s="207"/>
      <c r="L1598" s="207"/>
      <c r="M1598" s="207"/>
    </row>
    <row r="1599" spans="1:13">
      <c r="A1599" s="202"/>
      <c r="B1599" s="212"/>
      <c r="C1599" s="212"/>
      <c r="D1599" s="202"/>
      <c r="E1599" s="214"/>
      <c r="F1599" s="202"/>
      <c r="G1599" s="206"/>
      <c r="H1599" s="202"/>
      <c r="I1599" s="207"/>
      <c r="J1599" s="207"/>
      <c r="K1599" s="207"/>
      <c r="L1599" s="207"/>
      <c r="M1599" s="207"/>
    </row>
    <row r="1600" spans="1:13">
      <c r="A1600" s="202"/>
      <c r="B1600" s="212"/>
      <c r="C1600" s="212"/>
      <c r="D1600" s="202"/>
      <c r="E1600" s="214"/>
      <c r="F1600" s="202"/>
      <c r="G1600" s="206"/>
      <c r="H1600" s="202"/>
      <c r="I1600" s="207"/>
      <c r="J1600" s="207"/>
      <c r="K1600" s="207"/>
      <c r="L1600" s="207"/>
      <c r="M1600" s="207"/>
    </row>
    <row r="1601" spans="1:13">
      <c r="A1601" s="202"/>
      <c r="B1601" s="212"/>
      <c r="C1601" s="212"/>
      <c r="D1601" s="202"/>
      <c r="E1601" s="214"/>
      <c r="F1601" s="202"/>
      <c r="G1601" s="206"/>
      <c r="H1601" s="202"/>
      <c r="I1601" s="207"/>
      <c r="J1601" s="207"/>
      <c r="K1601" s="207"/>
      <c r="L1601" s="207"/>
      <c r="M1601" s="207"/>
    </row>
    <row r="1602" spans="1:13">
      <c r="A1602" s="202"/>
      <c r="B1602" s="212"/>
      <c r="C1602" s="212"/>
      <c r="D1602" s="202"/>
      <c r="E1602" s="214"/>
      <c r="F1602" s="202"/>
      <c r="G1602" s="206"/>
      <c r="H1602" s="202"/>
      <c r="I1602" s="207"/>
      <c r="J1602" s="207"/>
      <c r="K1602" s="207"/>
      <c r="L1602" s="207"/>
      <c r="M1602" s="207"/>
    </row>
    <row r="1603" spans="1:13">
      <c r="A1603" s="202"/>
      <c r="B1603" s="212"/>
      <c r="C1603" s="212"/>
      <c r="D1603" s="202"/>
      <c r="E1603" s="214"/>
      <c r="F1603" s="202"/>
      <c r="G1603" s="206"/>
      <c r="H1603" s="202"/>
      <c r="I1603" s="207"/>
      <c r="J1603" s="207"/>
      <c r="K1603" s="207"/>
      <c r="L1603" s="207"/>
      <c r="M1603" s="207"/>
    </row>
    <row r="1604" spans="1:13">
      <c r="A1604" s="202"/>
      <c r="B1604" s="212"/>
      <c r="C1604" s="212"/>
      <c r="D1604" s="202"/>
      <c r="E1604" s="214"/>
      <c r="F1604" s="202"/>
      <c r="G1604" s="206"/>
      <c r="H1604" s="202"/>
      <c r="I1604" s="207"/>
      <c r="J1604" s="207"/>
      <c r="K1604" s="207"/>
      <c r="L1604" s="207"/>
      <c r="M1604" s="207"/>
    </row>
    <row r="1605" spans="1:13">
      <c r="A1605" s="202"/>
      <c r="B1605" s="212"/>
      <c r="C1605" s="212"/>
      <c r="D1605" s="202"/>
      <c r="E1605" s="214"/>
      <c r="F1605" s="202"/>
      <c r="G1605" s="206"/>
      <c r="H1605" s="202"/>
      <c r="I1605" s="207"/>
      <c r="J1605" s="207"/>
      <c r="K1605" s="207"/>
      <c r="L1605" s="207"/>
      <c r="M1605" s="207"/>
    </row>
    <row r="1606" spans="1:13">
      <c r="A1606" s="202"/>
      <c r="B1606" s="212"/>
      <c r="C1606" s="212"/>
      <c r="D1606" s="202"/>
      <c r="E1606" s="214"/>
      <c r="F1606" s="202"/>
      <c r="G1606" s="206"/>
      <c r="H1606" s="202"/>
      <c r="I1606" s="207"/>
      <c r="J1606" s="207"/>
      <c r="K1606" s="207"/>
      <c r="L1606" s="207"/>
      <c r="M1606" s="207"/>
    </row>
    <row r="1607" spans="1:13">
      <c r="A1607" s="202"/>
      <c r="B1607" s="212"/>
      <c r="C1607" s="212"/>
      <c r="D1607" s="202"/>
      <c r="E1607" s="214"/>
      <c r="F1607" s="202"/>
      <c r="G1607" s="206"/>
      <c r="H1607" s="202"/>
      <c r="I1607" s="207"/>
      <c r="J1607" s="207"/>
      <c r="K1607" s="207"/>
      <c r="L1607" s="207"/>
      <c r="M1607" s="207"/>
    </row>
    <row r="1608" spans="1:13">
      <c r="A1608" s="202"/>
      <c r="B1608" s="212"/>
      <c r="C1608" s="212"/>
      <c r="D1608" s="202"/>
      <c r="E1608" s="214"/>
      <c r="F1608" s="202"/>
      <c r="G1608" s="206"/>
      <c r="H1608" s="202"/>
      <c r="I1608" s="207"/>
      <c r="J1608" s="207"/>
      <c r="K1608" s="207"/>
      <c r="L1608" s="207"/>
      <c r="M1608" s="207"/>
    </row>
    <row r="1609" spans="1:13">
      <c r="A1609" s="202"/>
      <c r="B1609" s="212"/>
      <c r="C1609" s="212"/>
      <c r="D1609" s="202"/>
      <c r="E1609" s="214"/>
      <c r="F1609" s="202"/>
      <c r="G1609" s="206"/>
      <c r="H1609" s="202"/>
      <c r="I1609" s="207"/>
      <c r="J1609" s="207"/>
      <c r="K1609" s="207"/>
      <c r="L1609" s="207"/>
      <c r="M1609" s="207"/>
    </row>
    <row r="1610" spans="1:13">
      <c r="A1610" s="202"/>
      <c r="B1610" s="212"/>
      <c r="C1610" s="212"/>
      <c r="D1610" s="202"/>
      <c r="E1610" s="214"/>
      <c r="F1610" s="202"/>
      <c r="G1610" s="206"/>
      <c r="H1610" s="202"/>
      <c r="I1610" s="207"/>
      <c r="J1610" s="207"/>
      <c r="K1610" s="207"/>
      <c r="L1610" s="207"/>
      <c r="M1610" s="207"/>
    </row>
    <row r="1611" spans="1:13">
      <c r="A1611" s="202"/>
      <c r="B1611" s="212"/>
      <c r="C1611" s="212"/>
      <c r="D1611" s="202"/>
      <c r="E1611" s="214"/>
      <c r="F1611" s="202"/>
      <c r="G1611" s="206"/>
      <c r="H1611" s="202"/>
      <c r="I1611" s="207"/>
      <c r="J1611" s="207"/>
      <c r="K1611" s="207"/>
      <c r="L1611" s="207"/>
      <c r="M1611" s="207"/>
    </row>
    <row r="1612" spans="1:13">
      <c r="A1612" s="202"/>
      <c r="B1612" s="212"/>
      <c r="C1612" s="212"/>
      <c r="D1612" s="202"/>
      <c r="E1612" s="214"/>
      <c r="F1612" s="202"/>
      <c r="G1612" s="206"/>
      <c r="H1612" s="202"/>
      <c r="I1612" s="207"/>
      <c r="J1612" s="207"/>
      <c r="K1612" s="207"/>
      <c r="L1612" s="207"/>
      <c r="M1612" s="207"/>
    </row>
    <row r="1613" spans="1:13">
      <c r="A1613" s="202"/>
      <c r="B1613" s="212"/>
      <c r="C1613" s="212"/>
      <c r="D1613" s="202"/>
      <c r="E1613" s="214"/>
      <c r="F1613" s="202"/>
      <c r="G1613" s="206"/>
      <c r="H1613" s="202"/>
      <c r="I1613" s="207"/>
      <c r="J1613" s="207"/>
      <c r="K1613" s="207"/>
      <c r="L1613" s="207"/>
      <c r="M1613" s="207"/>
    </row>
    <row r="1614" spans="1:13">
      <c r="A1614" s="202"/>
      <c r="B1614" s="212"/>
      <c r="C1614" s="212"/>
      <c r="D1614" s="202"/>
      <c r="E1614" s="214"/>
      <c r="F1614" s="202"/>
      <c r="G1614" s="206"/>
      <c r="H1614" s="202"/>
      <c r="I1614" s="207"/>
      <c r="J1614" s="207"/>
      <c r="K1614" s="207"/>
      <c r="L1614" s="207"/>
      <c r="M1614" s="207"/>
    </row>
    <row r="1615" spans="1:13">
      <c r="A1615" s="202"/>
      <c r="B1615" s="212"/>
      <c r="C1615" s="212"/>
      <c r="D1615" s="202"/>
      <c r="E1615" s="214"/>
      <c r="F1615" s="202"/>
      <c r="G1615" s="206"/>
      <c r="H1615" s="202"/>
      <c r="I1615" s="207"/>
      <c r="J1615" s="207"/>
      <c r="K1615" s="207"/>
      <c r="L1615" s="207"/>
      <c r="M1615" s="207"/>
    </row>
    <row r="1616" spans="1:13">
      <c r="A1616" s="202"/>
      <c r="B1616" s="212"/>
      <c r="C1616" s="212"/>
      <c r="D1616" s="202"/>
      <c r="E1616" s="214"/>
      <c r="F1616" s="202"/>
      <c r="G1616" s="206"/>
      <c r="H1616" s="202"/>
      <c r="I1616" s="207"/>
      <c r="J1616" s="207"/>
      <c r="K1616" s="207"/>
      <c r="L1616" s="207"/>
      <c r="M1616" s="207"/>
    </row>
    <row r="1617" spans="1:13">
      <c r="A1617" s="202"/>
      <c r="B1617" s="212"/>
      <c r="C1617" s="212"/>
      <c r="D1617" s="202"/>
      <c r="E1617" s="214"/>
      <c r="F1617" s="202"/>
      <c r="G1617" s="206"/>
      <c r="H1617" s="202"/>
      <c r="I1617" s="207"/>
      <c r="J1617" s="207"/>
      <c r="K1617" s="207"/>
      <c r="L1617" s="207"/>
      <c r="M1617" s="207"/>
    </row>
    <row r="1618" spans="1:13">
      <c r="A1618" s="202"/>
      <c r="B1618" s="212"/>
      <c r="C1618" s="212"/>
      <c r="D1618" s="202"/>
      <c r="E1618" s="214"/>
      <c r="F1618" s="202"/>
      <c r="G1618" s="206"/>
      <c r="H1618" s="202"/>
      <c r="I1618" s="207"/>
      <c r="J1618" s="207"/>
      <c r="K1618" s="207"/>
      <c r="L1618" s="207"/>
      <c r="M1618" s="207"/>
    </row>
    <row r="1619" spans="1:13">
      <c r="A1619" s="202"/>
      <c r="B1619" s="212"/>
      <c r="C1619" s="212"/>
      <c r="D1619" s="202"/>
      <c r="E1619" s="214"/>
      <c r="F1619" s="202"/>
      <c r="G1619" s="206"/>
      <c r="H1619" s="202"/>
      <c r="I1619" s="207"/>
      <c r="J1619" s="207"/>
      <c r="K1619" s="207"/>
      <c r="L1619" s="207"/>
      <c r="M1619" s="207"/>
    </row>
    <row r="1620" spans="1:13">
      <c r="A1620" s="202"/>
      <c r="B1620" s="212"/>
      <c r="C1620" s="212"/>
      <c r="D1620" s="202"/>
      <c r="E1620" s="214"/>
      <c r="F1620" s="202"/>
      <c r="G1620" s="206"/>
      <c r="H1620" s="202"/>
      <c r="I1620" s="207"/>
      <c r="J1620" s="207"/>
      <c r="K1620" s="207"/>
      <c r="L1620" s="207"/>
      <c r="M1620" s="207"/>
    </row>
    <row r="1621" spans="1:13">
      <c r="A1621" s="202"/>
      <c r="B1621" s="212"/>
      <c r="C1621" s="212"/>
      <c r="D1621" s="202"/>
      <c r="E1621" s="214"/>
      <c r="F1621" s="202"/>
      <c r="G1621" s="206"/>
      <c r="H1621" s="202"/>
      <c r="I1621" s="207"/>
      <c r="J1621" s="207"/>
      <c r="K1621" s="207"/>
      <c r="L1621" s="207"/>
      <c r="M1621" s="207"/>
    </row>
    <row r="1622" spans="1:13">
      <c r="A1622" s="202"/>
      <c r="B1622" s="212"/>
      <c r="C1622" s="212"/>
      <c r="D1622" s="202"/>
      <c r="E1622" s="214"/>
      <c r="F1622" s="202"/>
      <c r="G1622" s="206"/>
      <c r="H1622" s="202"/>
      <c r="I1622" s="207"/>
      <c r="J1622" s="207"/>
      <c r="K1622" s="207"/>
      <c r="L1622" s="207"/>
      <c r="M1622" s="207"/>
    </row>
    <row r="1623" spans="1:13">
      <c r="A1623" s="202"/>
      <c r="B1623" s="212"/>
      <c r="C1623" s="212"/>
      <c r="D1623" s="202"/>
      <c r="E1623" s="214"/>
      <c r="F1623" s="202"/>
      <c r="G1623" s="206"/>
      <c r="H1623" s="202"/>
      <c r="I1623" s="207"/>
      <c r="J1623" s="207"/>
      <c r="K1623" s="207"/>
      <c r="L1623" s="207"/>
      <c r="M1623" s="207"/>
    </row>
    <row r="1624" spans="1:13">
      <c r="A1624" s="202"/>
      <c r="B1624" s="212"/>
      <c r="C1624" s="212"/>
      <c r="D1624" s="202"/>
      <c r="E1624" s="214"/>
      <c r="F1624" s="202"/>
      <c r="G1624" s="206"/>
      <c r="H1624" s="202"/>
      <c r="I1624" s="207"/>
      <c r="J1624" s="207"/>
      <c r="K1624" s="207"/>
      <c r="L1624" s="207"/>
      <c r="M1624" s="207"/>
    </row>
    <row r="1625" spans="1:13">
      <c r="A1625" s="202"/>
      <c r="B1625" s="212"/>
      <c r="C1625" s="212"/>
      <c r="D1625" s="202"/>
      <c r="E1625" s="214"/>
      <c r="F1625" s="202"/>
      <c r="G1625" s="206"/>
      <c r="H1625" s="202"/>
      <c r="I1625" s="207"/>
      <c r="J1625" s="207"/>
      <c r="K1625" s="207"/>
      <c r="L1625" s="207"/>
      <c r="M1625" s="207"/>
    </row>
    <row r="1626" spans="1:13">
      <c r="A1626" s="202"/>
      <c r="B1626" s="212"/>
      <c r="C1626" s="212"/>
      <c r="D1626" s="202"/>
      <c r="E1626" s="214"/>
      <c r="F1626" s="202"/>
      <c r="G1626" s="206"/>
      <c r="H1626" s="202"/>
      <c r="I1626" s="207"/>
      <c r="J1626" s="207"/>
      <c r="K1626" s="207"/>
      <c r="L1626" s="207"/>
      <c r="M1626" s="207"/>
    </row>
    <row r="1627" spans="1:13">
      <c r="A1627" s="202"/>
      <c r="B1627" s="212"/>
      <c r="C1627" s="212"/>
      <c r="D1627" s="202"/>
      <c r="E1627" s="214"/>
      <c r="F1627" s="202"/>
      <c r="G1627" s="206"/>
      <c r="H1627" s="202"/>
      <c r="I1627" s="207"/>
      <c r="J1627" s="207"/>
      <c r="K1627" s="207"/>
      <c r="L1627" s="207"/>
      <c r="M1627" s="207"/>
    </row>
    <row r="1628" spans="1:13">
      <c r="A1628" s="202"/>
      <c r="B1628" s="212"/>
      <c r="C1628" s="212"/>
      <c r="D1628" s="202"/>
      <c r="E1628" s="214"/>
      <c r="F1628" s="202"/>
      <c r="G1628" s="206"/>
      <c r="H1628" s="202"/>
      <c r="I1628" s="207"/>
      <c r="J1628" s="207"/>
      <c r="K1628" s="207"/>
      <c r="L1628" s="207"/>
      <c r="M1628" s="207"/>
    </row>
    <row r="1629" spans="1:13">
      <c r="A1629" s="202"/>
      <c r="B1629" s="212"/>
      <c r="C1629" s="212"/>
      <c r="D1629" s="202"/>
      <c r="E1629" s="214"/>
      <c r="F1629" s="202"/>
      <c r="G1629" s="206"/>
      <c r="H1629" s="202"/>
      <c r="I1629" s="207"/>
      <c r="J1629" s="207"/>
      <c r="K1629" s="207"/>
      <c r="L1629" s="207"/>
      <c r="M1629" s="207"/>
    </row>
    <row r="1630" spans="1:13">
      <c r="A1630" s="202"/>
      <c r="B1630" s="212"/>
      <c r="C1630" s="212"/>
      <c r="D1630" s="202"/>
      <c r="E1630" s="214"/>
      <c r="F1630" s="202"/>
      <c r="G1630" s="206"/>
      <c r="H1630" s="202"/>
      <c r="I1630" s="207"/>
      <c r="J1630" s="207"/>
      <c r="K1630" s="207"/>
      <c r="L1630" s="207"/>
      <c r="M1630" s="207"/>
    </row>
    <row r="1631" spans="1:13">
      <c r="A1631" s="202"/>
      <c r="B1631" s="212"/>
      <c r="C1631" s="212"/>
      <c r="D1631" s="202"/>
      <c r="E1631" s="214"/>
      <c r="F1631" s="202"/>
      <c r="G1631" s="206"/>
      <c r="H1631" s="202"/>
      <c r="I1631" s="207"/>
      <c r="J1631" s="207"/>
      <c r="K1631" s="207"/>
      <c r="L1631" s="207"/>
      <c r="M1631" s="207"/>
    </row>
    <row r="1632" spans="1:13">
      <c r="A1632" s="202"/>
      <c r="B1632" s="212"/>
      <c r="C1632" s="212"/>
      <c r="D1632" s="202"/>
      <c r="E1632" s="214"/>
      <c r="F1632" s="202"/>
      <c r="G1632" s="206"/>
      <c r="H1632" s="202"/>
      <c r="I1632" s="207"/>
      <c r="J1632" s="207"/>
      <c r="K1632" s="207"/>
      <c r="L1632" s="207"/>
      <c r="M1632" s="207"/>
    </row>
    <row r="1633" spans="1:13">
      <c r="A1633" s="202"/>
      <c r="B1633" s="212"/>
      <c r="C1633" s="212"/>
      <c r="D1633" s="202"/>
      <c r="E1633" s="214"/>
      <c r="F1633" s="202"/>
      <c r="G1633" s="206"/>
      <c r="H1633" s="202"/>
      <c r="I1633" s="207"/>
      <c r="J1633" s="207"/>
      <c r="K1633" s="207"/>
      <c r="L1633" s="207"/>
      <c r="M1633" s="207"/>
    </row>
    <row r="1634" spans="1:13">
      <c r="A1634" s="202"/>
      <c r="B1634" s="212"/>
      <c r="C1634" s="212"/>
      <c r="D1634" s="202"/>
      <c r="E1634" s="214"/>
      <c r="F1634" s="202"/>
      <c r="G1634" s="206"/>
      <c r="H1634" s="202"/>
      <c r="I1634" s="207"/>
      <c r="J1634" s="207"/>
      <c r="K1634" s="207"/>
      <c r="L1634" s="207"/>
      <c r="M1634" s="207"/>
    </row>
    <row r="1635" spans="1:13">
      <c r="A1635" s="202"/>
      <c r="B1635" s="212"/>
      <c r="C1635" s="212"/>
      <c r="D1635" s="202"/>
      <c r="E1635" s="214"/>
      <c r="F1635" s="202"/>
      <c r="G1635" s="206"/>
      <c r="H1635" s="202"/>
      <c r="I1635" s="207"/>
      <c r="J1635" s="207"/>
      <c r="K1635" s="207"/>
      <c r="L1635" s="207"/>
      <c r="M1635" s="207"/>
    </row>
    <row r="1636" spans="1:13">
      <c r="A1636" s="202"/>
      <c r="B1636" s="212"/>
      <c r="C1636" s="212"/>
      <c r="D1636" s="202"/>
      <c r="E1636" s="214"/>
      <c r="F1636" s="202"/>
      <c r="G1636" s="206"/>
      <c r="H1636" s="202"/>
      <c r="I1636" s="207"/>
      <c r="J1636" s="207"/>
      <c r="K1636" s="207"/>
      <c r="L1636" s="207"/>
      <c r="M1636" s="207"/>
    </row>
    <row r="1637" spans="1:13">
      <c r="A1637" s="202"/>
      <c r="B1637" s="212"/>
      <c r="C1637" s="212"/>
      <c r="D1637" s="202"/>
      <c r="E1637" s="214"/>
      <c r="F1637" s="202"/>
      <c r="G1637" s="206"/>
      <c r="H1637" s="202"/>
      <c r="I1637" s="207"/>
      <c r="J1637" s="207"/>
      <c r="K1637" s="207"/>
      <c r="L1637" s="207"/>
      <c r="M1637" s="207"/>
    </row>
    <row r="1638" spans="1:13">
      <c r="A1638" s="202"/>
      <c r="B1638" s="212"/>
      <c r="C1638" s="212"/>
      <c r="D1638" s="202"/>
      <c r="E1638" s="214"/>
      <c r="F1638" s="202"/>
      <c r="G1638" s="206"/>
      <c r="H1638" s="202"/>
      <c r="I1638" s="207"/>
      <c r="J1638" s="207"/>
      <c r="K1638" s="207"/>
      <c r="L1638" s="207"/>
      <c r="M1638" s="207"/>
    </row>
    <row r="1639" spans="1:13">
      <c r="A1639" s="202"/>
      <c r="B1639" s="212"/>
      <c r="C1639" s="212"/>
      <c r="D1639" s="202"/>
      <c r="E1639" s="214"/>
      <c r="F1639" s="202"/>
      <c r="G1639" s="206"/>
      <c r="H1639" s="202"/>
      <c r="I1639" s="207"/>
      <c r="J1639" s="207"/>
      <c r="K1639" s="207"/>
      <c r="L1639" s="207"/>
      <c r="M1639" s="207"/>
    </row>
    <row r="1640" spans="1:13">
      <c r="A1640" s="202"/>
      <c r="B1640" s="212"/>
      <c r="C1640" s="212"/>
      <c r="D1640" s="202"/>
      <c r="E1640" s="214"/>
      <c r="F1640" s="202"/>
      <c r="G1640" s="206"/>
      <c r="H1640" s="202"/>
      <c r="I1640" s="207"/>
      <c r="J1640" s="207"/>
      <c r="K1640" s="207"/>
      <c r="L1640" s="207"/>
      <c r="M1640" s="207"/>
    </row>
    <row r="1641" spans="1:13">
      <c r="A1641" s="202"/>
      <c r="B1641" s="212"/>
      <c r="C1641" s="212"/>
      <c r="D1641" s="202"/>
      <c r="E1641" s="214"/>
      <c r="F1641" s="202"/>
      <c r="G1641" s="206"/>
      <c r="H1641" s="202"/>
      <c r="I1641" s="207"/>
      <c r="J1641" s="207"/>
      <c r="K1641" s="207"/>
      <c r="L1641" s="207"/>
      <c r="M1641" s="207"/>
    </row>
    <row r="1642" spans="1:13">
      <c r="A1642" s="202"/>
      <c r="B1642" s="212"/>
      <c r="C1642" s="212"/>
      <c r="D1642" s="202"/>
      <c r="E1642" s="214"/>
      <c r="F1642" s="202"/>
      <c r="G1642" s="206"/>
      <c r="H1642" s="202"/>
      <c r="I1642" s="207"/>
      <c r="J1642" s="207"/>
      <c r="K1642" s="207"/>
      <c r="L1642" s="207"/>
      <c r="M1642" s="207"/>
    </row>
    <row r="1643" spans="1:13">
      <c r="A1643" s="202"/>
      <c r="B1643" s="212"/>
      <c r="C1643" s="212"/>
      <c r="D1643" s="202"/>
      <c r="E1643" s="214"/>
      <c r="F1643" s="202"/>
      <c r="G1643" s="206"/>
      <c r="H1643" s="202"/>
      <c r="I1643" s="207"/>
      <c r="J1643" s="207"/>
      <c r="K1643" s="207"/>
      <c r="L1643" s="207"/>
      <c r="M1643" s="207"/>
    </row>
    <row r="1644" spans="1:13">
      <c r="A1644" s="202"/>
      <c r="B1644" s="212"/>
      <c r="C1644" s="212"/>
      <c r="D1644" s="202"/>
      <c r="E1644" s="214"/>
      <c r="F1644" s="202"/>
      <c r="G1644" s="206"/>
      <c r="H1644" s="202"/>
      <c r="I1644" s="207"/>
      <c r="J1644" s="207"/>
      <c r="K1644" s="207"/>
      <c r="L1644" s="207"/>
      <c r="M1644" s="207"/>
    </row>
    <row r="1645" spans="1:13">
      <c r="A1645" s="202"/>
      <c r="B1645" s="212"/>
      <c r="C1645" s="212"/>
      <c r="D1645" s="202"/>
      <c r="E1645" s="214"/>
      <c r="F1645" s="202"/>
      <c r="G1645" s="206"/>
      <c r="H1645" s="202"/>
      <c r="I1645" s="207"/>
      <c r="J1645" s="207"/>
      <c r="K1645" s="207"/>
      <c r="L1645" s="207"/>
      <c r="M1645" s="207"/>
    </row>
    <row r="1646" spans="1:13">
      <c r="A1646" s="202"/>
      <c r="B1646" s="212"/>
      <c r="C1646" s="212"/>
      <c r="D1646" s="202"/>
      <c r="E1646" s="214"/>
      <c r="F1646" s="202"/>
      <c r="G1646" s="206"/>
      <c r="H1646" s="202"/>
      <c r="I1646" s="207"/>
      <c r="J1646" s="207"/>
      <c r="K1646" s="207"/>
      <c r="L1646" s="207"/>
      <c r="M1646" s="207"/>
    </row>
    <row r="1647" spans="1:13">
      <c r="A1647" s="202"/>
      <c r="B1647" s="212"/>
      <c r="C1647" s="212"/>
      <c r="D1647" s="202"/>
      <c r="E1647" s="214"/>
      <c r="F1647" s="202"/>
      <c r="G1647" s="206"/>
      <c r="H1647" s="202"/>
      <c r="I1647" s="207"/>
      <c r="J1647" s="207"/>
      <c r="K1647" s="207"/>
      <c r="L1647" s="207"/>
      <c r="M1647" s="207"/>
    </row>
    <row r="1648" spans="1:13">
      <c r="A1648" s="202"/>
      <c r="B1648" s="212"/>
      <c r="C1648" s="212"/>
      <c r="D1648" s="202"/>
      <c r="E1648" s="214"/>
      <c r="F1648" s="202"/>
      <c r="G1648" s="206"/>
      <c r="H1648" s="202"/>
      <c r="I1648" s="207"/>
      <c r="J1648" s="207"/>
      <c r="K1648" s="207"/>
      <c r="L1648" s="207"/>
      <c r="M1648" s="207"/>
    </row>
    <row r="1649" spans="1:13">
      <c r="A1649" s="202"/>
      <c r="B1649" s="212"/>
      <c r="C1649" s="212"/>
      <c r="D1649" s="202"/>
      <c r="E1649" s="214"/>
      <c r="F1649" s="202"/>
      <c r="G1649" s="206"/>
      <c r="H1649" s="202"/>
      <c r="I1649" s="207"/>
      <c r="J1649" s="207"/>
      <c r="K1649" s="207"/>
      <c r="L1649" s="207"/>
      <c r="M1649" s="207"/>
    </row>
    <row r="1650" spans="1:13">
      <c r="A1650" s="202"/>
      <c r="B1650" s="212"/>
      <c r="C1650" s="212"/>
      <c r="D1650" s="202"/>
      <c r="E1650" s="214"/>
      <c r="F1650" s="202"/>
      <c r="G1650" s="206"/>
      <c r="H1650" s="202"/>
      <c r="I1650" s="207"/>
      <c r="J1650" s="207"/>
      <c r="K1650" s="207"/>
      <c r="L1650" s="207"/>
      <c r="M1650" s="207"/>
    </row>
    <row r="1651" spans="1:13">
      <c r="A1651" s="202"/>
      <c r="B1651" s="212"/>
      <c r="C1651" s="212"/>
      <c r="D1651" s="202"/>
      <c r="E1651" s="214"/>
      <c r="F1651" s="202"/>
      <c r="G1651" s="206"/>
      <c r="H1651" s="202"/>
      <c r="I1651" s="207"/>
      <c r="J1651" s="207"/>
      <c r="K1651" s="207"/>
      <c r="L1651" s="207"/>
      <c r="M1651" s="207"/>
    </row>
    <row r="1652" spans="1:13">
      <c r="A1652" s="202"/>
      <c r="B1652" s="212"/>
      <c r="C1652" s="212"/>
      <c r="D1652" s="202"/>
      <c r="E1652" s="214"/>
      <c r="F1652" s="202"/>
      <c r="G1652" s="206"/>
      <c r="H1652" s="202"/>
      <c r="I1652" s="207"/>
      <c r="J1652" s="207"/>
      <c r="K1652" s="207"/>
      <c r="L1652" s="207"/>
      <c r="M1652" s="207"/>
    </row>
    <row r="1653" spans="1:13">
      <c r="A1653" s="202"/>
      <c r="B1653" s="212"/>
      <c r="C1653" s="212"/>
      <c r="D1653" s="202"/>
      <c r="E1653" s="214"/>
      <c r="F1653" s="202"/>
      <c r="G1653" s="206"/>
      <c r="H1653" s="202"/>
      <c r="I1653" s="207"/>
      <c r="J1653" s="207"/>
      <c r="K1653" s="207"/>
      <c r="L1653" s="207"/>
      <c r="M1653" s="207"/>
    </row>
    <row r="1654" spans="1:13">
      <c r="A1654" s="202"/>
      <c r="B1654" s="212"/>
      <c r="C1654" s="212"/>
      <c r="D1654" s="202"/>
      <c r="E1654" s="214"/>
      <c r="F1654" s="202"/>
      <c r="G1654" s="206"/>
      <c r="H1654" s="202"/>
      <c r="I1654" s="207"/>
      <c r="J1654" s="207"/>
      <c r="K1654" s="207"/>
      <c r="L1654" s="207"/>
      <c r="M1654" s="207"/>
    </row>
    <row r="1655" spans="1:13">
      <c r="A1655" s="202"/>
      <c r="B1655" s="212"/>
      <c r="C1655" s="212"/>
      <c r="D1655" s="202"/>
      <c r="E1655" s="214"/>
      <c r="F1655" s="202"/>
      <c r="G1655" s="206"/>
      <c r="H1655" s="202"/>
      <c r="I1655" s="207"/>
      <c r="J1655" s="207"/>
      <c r="K1655" s="207"/>
      <c r="L1655" s="207"/>
      <c r="M1655" s="207"/>
    </row>
    <row r="1656" spans="1:13">
      <c r="A1656" s="202"/>
      <c r="B1656" s="212"/>
      <c r="C1656" s="212"/>
      <c r="D1656" s="202"/>
      <c r="E1656" s="214"/>
      <c r="F1656" s="202"/>
      <c r="G1656" s="206"/>
      <c r="H1656" s="202"/>
      <c r="I1656" s="207"/>
      <c r="J1656" s="207"/>
      <c r="K1656" s="207"/>
      <c r="L1656" s="207"/>
      <c r="M1656" s="207"/>
    </row>
    <row r="1657" spans="1:13">
      <c r="A1657" s="202"/>
      <c r="B1657" s="212"/>
      <c r="C1657" s="212"/>
      <c r="D1657" s="202"/>
      <c r="E1657" s="214"/>
      <c r="F1657" s="202"/>
      <c r="G1657" s="206"/>
      <c r="H1657" s="202"/>
      <c r="I1657" s="207"/>
      <c r="J1657" s="207"/>
      <c r="K1657" s="207"/>
      <c r="L1657" s="207"/>
      <c r="M1657" s="207"/>
    </row>
    <row r="1658" spans="1:13">
      <c r="A1658" s="202"/>
      <c r="B1658" s="212"/>
      <c r="C1658" s="212"/>
      <c r="D1658" s="202"/>
      <c r="E1658" s="214"/>
      <c r="F1658" s="202"/>
      <c r="G1658" s="206"/>
      <c r="H1658" s="202"/>
      <c r="I1658" s="207"/>
      <c r="J1658" s="207"/>
      <c r="K1658" s="207"/>
      <c r="L1658" s="207"/>
      <c r="M1658" s="207"/>
    </row>
    <row r="1659" spans="1:13">
      <c r="A1659" s="202"/>
      <c r="B1659" s="212"/>
      <c r="C1659" s="212"/>
      <c r="D1659" s="202"/>
      <c r="E1659" s="214"/>
      <c r="F1659" s="202"/>
      <c r="G1659" s="206"/>
      <c r="H1659" s="202"/>
      <c r="I1659" s="207"/>
      <c r="J1659" s="207"/>
      <c r="K1659" s="207"/>
      <c r="L1659" s="207"/>
      <c r="M1659" s="207"/>
    </row>
    <row r="1660" spans="1:13">
      <c r="A1660" s="202"/>
      <c r="B1660" s="212"/>
      <c r="C1660" s="212"/>
      <c r="D1660" s="202"/>
      <c r="E1660" s="214"/>
      <c r="F1660" s="202"/>
      <c r="G1660" s="206"/>
      <c r="H1660" s="202"/>
      <c r="I1660" s="207"/>
      <c r="J1660" s="207"/>
      <c r="K1660" s="207"/>
      <c r="L1660" s="207"/>
      <c r="M1660" s="207"/>
    </row>
    <row r="1661" spans="1:13">
      <c r="A1661" s="202"/>
      <c r="B1661" s="212"/>
      <c r="C1661" s="212"/>
      <c r="D1661" s="202"/>
      <c r="E1661" s="214"/>
      <c r="F1661" s="202"/>
      <c r="G1661" s="206"/>
      <c r="H1661" s="202"/>
      <c r="I1661" s="207"/>
      <c r="J1661" s="207"/>
      <c r="K1661" s="207"/>
      <c r="L1661" s="207"/>
      <c r="M1661" s="207"/>
    </row>
    <row r="1662" spans="1:13">
      <c r="A1662" s="202"/>
      <c r="B1662" s="212"/>
      <c r="C1662" s="212"/>
      <c r="D1662" s="202"/>
      <c r="E1662" s="214"/>
      <c r="F1662" s="202"/>
      <c r="G1662" s="206"/>
      <c r="H1662" s="202"/>
      <c r="I1662" s="207"/>
      <c r="J1662" s="207"/>
      <c r="K1662" s="207"/>
      <c r="L1662" s="207"/>
      <c r="M1662" s="207"/>
    </row>
    <row r="1663" spans="1:13">
      <c r="A1663" s="202"/>
      <c r="B1663" s="212"/>
      <c r="C1663" s="212"/>
      <c r="D1663" s="202"/>
      <c r="E1663" s="214"/>
      <c r="F1663" s="202"/>
      <c r="G1663" s="206"/>
      <c r="H1663" s="202"/>
      <c r="I1663" s="207"/>
      <c r="J1663" s="207"/>
      <c r="K1663" s="207"/>
      <c r="L1663" s="207"/>
      <c r="M1663" s="207"/>
    </row>
    <row r="1664" spans="1:13">
      <c r="A1664" s="202"/>
      <c r="B1664" s="212"/>
      <c r="C1664" s="212"/>
      <c r="D1664" s="202"/>
      <c r="E1664" s="214"/>
      <c r="F1664" s="202"/>
      <c r="G1664" s="206"/>
      <c r="H1664" s="202"/>
      <c r="I1664" s="207"/>
      <c r="J1664" s="207"/>
      <c r="K1664" s="207"/>
      <c r="L1664" s="207"/>
      <c r="M1664" s="207"/>
    </row>
    <row r="1665" spans="1:13">
      <c r="A1665" s="202"/>
      <c r="B1665" s="212"/>
      <c r="C1665" s="212"/>
      <c r="D1665" s="202"/>
      <c r="E1665" s="214"/>
      <c r="F1665" s="202"/>
      <c r="G1665" s="206"/>
      <c r="H1665" s="202"/>
      <c r="I1665" s="207"/>
      <c r="J1665" s="207"/>
      <c r="K1665" s="207"/>
      <c r="L1665" s="207"/>
      <c r="M1665" s="207"/>
    </row>
    <row r="1666" spans="1:13">
      <c r="A1666" s="202"/>
      <c r="B1666" s="212"/>
      <c r="C1666" s="212"/>
      <c r="D1666" s="202"/>
      <c r="E1666" s="214"/>
      <c r="F1666" s="202"/>
      <c r="G1666" s="206"/>
      <c r="H1666" s="202"/>
      <c r="I1666" s="207"/>
      <c r="J1666" s="207"/>
      <c r="K1666" s="207"/>
      <c r="L1666" s="207"/>
      <c r="M1666" s="207"/>
    </row>
    <row r="1667" spans="1:13">
      <c r="A1667" s="202"/>
      <c r="B1667" s="212"/>
      <c r="C1667" s="212"/>
      <c r="D1667" s="202"/>
      <c r="E1667" s="214"/>
      <c r="F1667" s="202"/>
      <c r="G1667" s="206"/>
      <c r="H1667" s="202"/>
      <c r="I1667" s="207"/>
      <c r="J1667" s="207"/>
      <c r="K1667" s="207"/>
      <c r="L1667" s="207"/>
      <c r="M1667" s="207"/>
    </row>
    <row r="1668" spans="1:13">
      <c r="A1668" s="202"/>
      <c r="B1668" s="212"/>
      <c r="C1668" s="212"/>
      <c r="D1668" s="202"/>
      <c r="E1668" s="214"/>
      <c r="F1668" s="202"/>
      <c r="G1668" s="206"/>
      <c r="H1668" s="202"/>
      <c r="I1668" s="207"/>
      <c r="J1668" s="207"/>
      <c r="K1668" s="207"/>
      <c r="L1668" s="207"/>
      <c r="M1668" s="207"/>
    </row>
    <row r="1669" spans="1:13">
      <c r="A1669" s="202"/>
      <c r="B1669" s="212"/>
      <c r="C1669" s="212"/>
      <c r="D1669" s="202"/>
      <c r="E1669" s="214"/>
      <c r="F1669" s="202"/>
      <c r="G1669" s="206"/>
      <c r="H1669" s="202"/>
      <c r="I1669" s="207"/>
      <c r="J1669" s="207"/>
      <c r="K1669" s="207"/>
      <c r="L1669" s="207"/>
      <c r="M1669" s="207"/>
    </row>
    <row r="1670" spans="1:13">
      <c r="A1670" s="202"/>
      <c r="B1670" s="212"/>
      <c r="C1670" s="212"/>
      <c r="D1670" s="202"/>
      <c r="E1670" s="214"/>
      <c r="F1670" s="202"/>
      <c r="G1670" s="206"/>
      <c r="H1670" s="202"/>
      <c r="I1670" s="207"/>
      <c r="J1670" s="207"/>
      <c r="K1670" s="207"/>
      <c r="L1670" s="207"/>
      <c r="M1670" s="207"/>
    </row>
    <row r="1671" spans="1:13">
      <c r="A1671" s="202"/>
      <c r="B1671" s="212"/>
      <c r="C1671" s="212"/>
      <c r="D1671" s="202"/>
      <c r="E1671" s="214"/>
      <c r="F1671" s="202"/>
      <c r="G1671" s="206"/>
      <c r="H1671" s="202"/>
      <c r="I1671" s="207"/>
      <c r="J1671" s="207"/>
      <c r="K1671" s="207"/>
      <c r="L1671" s="207"/>
      <c r="M1671" s="207"/>
    </row>
    <row r="1672" spans="1:13">
      <c r="A1672" s="202"/>
      <c r="B1672" s="212"/>
      <c r="C1672" s="212"/>
      <c r="D1672" s="202"/>
      <c r="E1672" s="214"/>
      <c r="F1672" s="202"/>
      <c r="G1672" s="206"/>
      <c r="H1672" s="202"/>
      <c r="I1672" s="207"/>
      <c r="J1672" s="207"/>
      <c r="K1672" s="207"/>
      <c r="L1672" s="207"/>
      <c r="M1672" s="207"/>
    </row>
    <row r="1673" spans="1:13">
      <c r="A1673" s="202"/>
      <c r="B1673" s="212"/>
      <c r="C1673" s="212"/>
      <c r="D1673" s="202"/>
      <c r="E1673" s="214"/>
      <c r="F1673" s="202"/>
      <c r="G1673" s="206"/>
      <c r="H1673" s="202"/>
      <c r="I1673" s="207"/>
      <c r="J1673" s="207"/>
      <c r="K1673" s="207"/>
      <c r="L1673" s="207"/>
      <c r="M1673" s="207"/>
    </row>
    <row r="1674" spans="1:13">
      <c r="A1674" s="202"/>
      <c r="B1674" s="212"/>
      <c r="C1674" s="212"/>
      <c r="D1674" s="202"/>
      <c r="E1674" s="214"/>
      <c r="F1674" s="202"/>
      <c r="G1674" s="206"/>
      <c r="H1674" s="202"/>
      <c r="I1674" s="207"/>
      <c r="J1674" s="207"/>
      <c r="K1674" s="207"/>
      <c r="L1674" s="207"/>
      <c r="M1674" s="207"/>
    </row>
    <row r="1675" spans="1:13">
      <c r="A1675" s="202"/>
      <c r="B1675" s="212"/>
      <c r="C1675" s="212"/>
      <c r="D1675" s="202"/>
      <c r="E1675" s="214"/>
      <c r="F1675" s="202"/>
      <c r="G1675" s="206"/>
      <c r="H1675" s="202"/>
      <c r="I1675" s="207"/>
      <c r="J1675" s="207"/>
      <c r="K1675" s="207"/>
      <c r="L1675" s="207"/>
      <c r="M1675" s="207"/>
    </row>
    <row r="1676" spans="1:13">
      <c r="A1676" s="202"/>
      <c r="B1676" s="212"/>
      <c r="C1676" s="212"/>
      <c r="D1676" s="202"/>
      <c r="E1676" s="214"/>
      <c r="F1676" s="202"/>
      <c r="G1676" s="206"/>
      <c r="H1676" s="202"/>
      <c r="I1676" s="207"/>
      <c r="J1676" s="207"/>
      <c r="K1676" s="207"/>
      <c r="L1676" s="207"/>
      <c r="M1676" s="207"/>
    </row>
    <row r="1677" spans="1:13">
      <c r="A1677" s="202"/>
      <c r="B1677" s="212"/>
      <c r="C1677" s="212"/>
      <c r="D1677" s="202"/>
      <c r="E1677" s="214"/>
      <c r="F1677" s="202"/>
      <c r="G1677" s="206"/>
      <c r="H1677" s="202"/>
      <c r="I1677" s="207"/>
      <c r="J1677" s="207"/>
      <c r="K1677" s="207"/>
      <c r="L1677" s="207"/>
      <c r="M1677" s="207"/>
    </row>
    <row r="1678" spans="1:13">
      <c r="A1678" s="202"/>
      <c r="B1678" s="212"/>
      <c r="C1678" s="212"/>
      <c r="D1678" s="202"/>
      <c r="E1678" s="214"/>
      <c r="F1678" s="202"/>
      <c r="G1678" s="206"/>
      <c r="H1678" s="202"/>
      <c r="I1678" s="207"/>
      <c r="J1678" s="207"/>
      <c r="K1678" s="207"/>
      <c r="L1678" s="207"/>
      <c r="M1678" s="207"/>
    </row>
    <row r="1679" spans="1:13">
      <c r="A1679" s="202"/>
      <c r="B1679" s="212"/>
      <c r="C1679" s="212"/>
      <c r="D1679" s="202"/>
      <c r="E1679" s="214"/>
      <c r="F1679" s="202"/>
      <c r="G1679" s="206"/>
      <c r="H1679" s="202"/>
      <c r="I1679" s="207"/>
      <c r="J1679" s="207"/>
      <c r="K1679" s="207"/>
      <c r="L1679" s="207"/>
      <c r="M1679" s="207"/>
    </row>
    <row r="1680" spans="1:13">
      <c r="A1680" s="202"/>
      <c r="B1680" s="212"/>
      <c r="C1680" s="212"/>
      <c r="D1680" s="202"/>
      <c r="E1680" s="214"/>
      <c r="F1680" s="202"/>
      <c r="G1680" s="206"/>
      <c r="H1680" s="202"/>
      <c r="I1680" s="207"/>
      <c r="J1680" s="207"/>
      <c r="K1680" s="207"/>
      <c r="L1680" s="207"/>
      <c r="M1680" s="207"/>
    </row>
    <row r="1681" spans="1:13">
      <c r="A1681" s="202"/>
      <c r="B1681" s="212"/>
      <c r="C1681" s="212"/>
      <c r="D1681" s="202"/>
      <c r="E1681" s="214"/>
      <c r="F1681" s="202"/>
      <c r="G1681" s="206"/>
      <c r="H1681" s="202"/>
      <c r="I1681" s="207"/>
      <c r="J1681" s="207"/>
      <c r="K1681" s="207"/>
      <c r="L1681" s="207"/>
      <c r="M1681" s="207"/>
    </row>
    <row r="1682" spans="1:13">
      <c r="A1682" s="202"/>
      <c r="B1682" s="212"/>
      <c r="C1682" s="212"/>
      <c r="D1682" s="202"/>
      <c r="E1682" s="214"/>
      <c r="F1682" s="202"/>
      <c r="G1682" s="206"/>
      <c r="H1682" s="202"/>
      <c r="I1682" s="207"/>
      <c r="J1682" s="207"/>
      <c r="K1682" s="207"/>
      <c r="L1682" s="207"/>
      <c r="M1682" s="207"/>
    </row>
    <row r="1683" spans="1:13">
      <c r="A1683" s="202"/>
      <c r="B1683" s="212"/>
      <c r="C1683" s="212"/>
      <c r="D1683" s="202"/>
      <c r="E1683" s="214"/>
      <c r="F1683" s="202"/>
      <c r="G1683" s="206"/>
      <c r="H1683" s="202"/>
      <c r="I1683" s="207"/>
      <c r="J1683" s="207"/>
      <c r="K1683" s="207"/>
      <c r="L1683" s="207"/>
      <c r="M1683" s="207"/>
    </row>
    <row r="1684" spans="1:13">
      <c r="A1684" s="202"/>
      <c r="B1684" s="212"/>
      <c r="C1684" s="212"/>
      <c r="D1684" s="202"/>
      <c r="E1684" s="214"/>
      <c r="F1684" s="202"/>
      <c r="G1684" s="206"/>
      <c r="H1684" s="202"/>
      <c r="I1684" s="207"/>
      <c r="J1684" s="207"/>
      <c r="K1684" s="207"/>
      <c r="L1684" s="207"/>
      <c r="M1684" s="207"/>
    </row>
    <row r="1685" spans="1:13">
      <c r="A1685" s="202"/>
      <c r="B1685" s="212"/>
      <c r="C1685" s="212"/>
      <c r="D1685" s="202"/>
      <c r="E1685" s="214"/>
      <c r="F1685" s="202"/>
      <c r="G1685" s="206"/>
      <c r="H1685" s="202"/>
      <c r="I1685" s="207"/>
      <c r="J1685" s="207"/>
      <c r="K1685" s="207"/>
      <c r="L1685" s="207"/>
      <c r="M1685" s="207"/>
    </row>
    <row r="1686" spans="1:13">
      <c r="A1686" s="202"/>
      <c r="B1686" s="212"/>
      <c r="C1686" s="212"/>
      <c r="D1686" s="202"/>
      <c r="E1686" s="214"/>
      <c r="F1686" s="202"/>
      <c r="G1686" s="206"/>
      <c r="H1686" s="202"/>
      <c r="I1686" s="207"/>
      <c r="J1686" s="207"/>
      <c r="K1686" s="207"/>
      <c r="L1686" s="207"/>
      <c r="M1686" s="207"/>
    </row>
    <row r="1687" spans="1:13">
      <c r="A1687" s="202"/>
      <c r="B1687" s="212"/>
      <c r="C1687" s="212"/>
      <c r="D1687" s="202"/>
      <c r="E1687" s="214"/>
      <c r="F1687" s="202"/>
      <c r="G1687" s="206"/>
      <c r="H1687" s="202"/>
      <c r="I1687" s="207"/>
      <c r="J1687" s="207"/>
      <c r="K1687" s="207"/>
      <c r="L1687" s="207"/>
      <c r="M1687" s="207"/>
    </row>
    <row r="1688" spans="1:13">
      <c r="A1688" s="202"/>
      <c r="B1688" s="212"/>
      <c r="C1688" s="212"/>
      <c r="D1688" s="202"/>
      <c r="E1688" s="214"/>
      <c r="F1688" s="202"/>
      <c r="G1688" s="206"/>
      <c r="H1688" s="202"/>
      <c r="I1688" s="207"/>
      <c r="J1688" s="207"/>
      <c r="K1688" s="207"/>
      <c r="L1688" s="207"/>
      <c r="M1688" s="207"/>
    </row>
    <row r="1689" spans="1:13">
      <c r="A1689" s="202"/>
      <c r="B1689" s="212"/>
      <c r="C1689" s="212"/>
      <c r="D1689" s="202"/>
      <c r="E1689" s="214"/>
      <c r="F1689" s="202"/>
      <c r="G1689" s="206"/>
      <c r="H1689" s="202"/>
      <c r="I1689" s="207"/>
      <c r="J1689" s="207"/>
      <c r="K1689" s="207"/>
      <c r="L1689" s="207"/>
      <c r="M1689" s="207"/>
    </row>
    <row r="1690" spans="1:13">
      <c r="A1690" s="202"/>
      <c r="B1690" s="212"/>
      <c r="C1690" s="212"/>
      <c r="D1690" s="202"/>
      <c r="E1690" s="214"/>
      <c r="F1690" s="202"/>
      <c r="G1690" s="206"/>
      <c r="H1690" s="202"/>
      <c r="I1690" s="207"/>
      <c r="J1690" s="207"/>
      <c r="K1690" s="207"/>
      <c r="L1690" s="207"/>
      <c r="M1690" s="207"/>
    </row>
    <row r="1691" spans="1:13">
      <c r="A1691" s="202"/>
      <c r="B1691" s="212"/>
      <c r="C1691" s="212"/>
      <c r="D1691" s="202"/>
      <c r="E1691" s="214"/>
      <c r="F1691" s="202"/>
      <c r="G1691" s="206"/>
      <c r="H1691" s="202"/>
      <c r="I1691" s="207"/>
      <c r="J1691" s="207"/>
      <c r="K1691" s="207"/>
      <c r="L1691" s="207"/>
      <c r="M1691" s="207"/>
    </row>
    <row r="1692" spans="1:13">
      <c r="A1692" s="202"/>
      <c r="B1692" s="212"/>
      <c r="C1692" s="212"/>
      <c r="D1692" s="202"/>
      <c r="E1692" s="214"/>
      <c r="F1692" s="202"/>
      <c r="G1692" s="206"/>
      <c r="H1692" s="202"/>
      <c r="I1692" s="207"/>
      <c r="J1692" s="207"/>
      <c r="K1692" s="207"/>
      <c r="L1692" s="207"/>
      <c r="M1692" s="207"/>
    </row>
    <row r="1693" spans="1:13">
      <c r="A1693" s="202"/>
      <c r="B1693" s="212"/>
      <c r="C1693" s="212"/>
      <c r="D1693" s="202"/>
      <c r="E1693" s="214"/>
      <c r="F1693" s="202"/>
      <c r="G1693" s="206"/>
      <c r="H1693" s="202"/>
      <c r="I1693" s="207"/>
      <c r="J1693" s="207"/>
      <c r="K1693" s="207"/>
      <c r="L1693" s="207"/>
      <c r="M1693" s="207"/>
    </row>
    <row r="1694" spans="1:13">
      <c r="A1694" s="202"/>
      <c r="B1694" s="212"/>
      <c r="C1694" s="212"/>
      <c r="D1694" s="202"/>
      <c r="E1694" s="214"/>
      <c r="F1694" s="202"/>
      <c r="G1694" s="206"/>
      <c r="H1694" s="202"/>
      <c r="I1694" s="207"/>
      <c r="J1694" s="207"/>
      <c r="K1694" s="207"/>
      <c r="L1694" s="207"/>
      <c r="M1694" s="207"/>
    </row>
    <row r="1695" spans="1:13">
      <c r="A1695" s="202"/>
      <c r="B1695" s="212"/>
      <c r="C1695" s="212"/>
      <c r="D1695" s="202"/>
      <c r="E1695" s="214"/>
      <c r="F1695" s="202"/>
      <c r="G1695" s="206"/>
      <c r="H1695" s="202"/>
      <c r="I1695" s="207"/>
      <c r="J1695" s="207"/>
      <c r="K1695" s="207"/>
      <c r="L1695" s="207"/>
      <c r="M1695" s="207"/>
    </row>
    <row r="1696" spans="1:13">
      <c r="A1696" s="202"/>
      <c r="B1696" s="212"/>
      <c r="C1696" s="212"/>
      <c r="D1696" s="202"/>
      <c r="E1696" s="214"/>
      <c r="F1696" s="202"/>
      <c r="G1696" s="206"/>
      <c r="H1696" s="202"/>
      <c r="I1696" s="207"/>
      <c r="J1696" s="207"/>
      <c r="K1696" s="207"/>
      <c r="L1696" s="207"/>
      <c r="M1696" s="207"/>
    </row>
    <row r="1697" spans="1:13">
      <c r="A1697" s="202"/>
      <c r="B1697" s="212"/>
      <c r="C1697" s="212"/>
      <c r="D1697" s="202"/>
      <c r="E1697" s="214"/>
      <c r="F1697" s="202"/>
      <c r="G1697" s="206"/>
      <c r="H1697" s="202"/>
      <c r="I1697" s="207"/>
      <c r="J1697" s="207"/>
      <c r="K1697" s="207"/>
      <c r="L1697" s="207"/>
      <c r="M1697" s="207"/>
    </row>
    <row r="1698" spans="1:13">
      <c r="A1698" s="202"/>
      <c r="B1698" s="212"/>
      <c r="C1698" s="212"/>
      <c r="D1698" s="202"/>
      <c r="E1698" s="214"/>
      <c r="F1698" s="202"/>
      <c r="G1698" s="206"/>
      <c r="H1698" s="202"/>
      <c r="I1698" s="207"/>
      <c r="J1698" s="207"/>
      <c r="K1698" s="207"/>
      <c r="L1698" s="207"/>
      <c r="M1698" s="207"/>
    </row>
    <row r="1699" spans="1:13">
      <c r="A1699" s="202"/>
      <c r="B1699" s="212"/>
      <c r="C1699" s="212"/>
      <c r="D1699" s="202"/>
      <c r="E1699" s="214"/>
      <c r="F1699" s="202"/>
      <c r="G1699" s="206"/>
      <c r="H1699" s="202"/>
      <c r="I1699" s="207"/>
      <c r="J1699" s="207"/>
      <c r="K1699" s="207"/>
      <c r="L1699" s="207"/>
      <c r="M1699" s="207"/>
    </row>
    <row r="1700" spans="1:13">
      <c r="A1700" s="202"/>
      <c r="B1700" s="212"/>
      <c r="C1700" s="212"/>
      <c r="D1700" s="202"/>
      <c r="E1700" s="214"/>
      <c r="F1700" s="202"/>
      <c r="G1700" s="206"/>
      <c r="H1700" s="202"/>
      <c r="I1700" s="207"/>
      <c r="J1700" s="207"/>
      <c r="K1700" s="207"/>
      <c r="L1700" s="207"/>
      <c r="M1700" s="207"/>
    </row>
    <row r="1701" spans="1:13">
      <c r="A1701" s="202"/>
      <c r="B1701" s="212"/>
      <c r="C1701" s="212"/>
      <c r="D1701" s="202"/>
      <c r="E1701" s="214"/>
      <c r="F1701" s="202"/>
      <c r="G1701" s="206"/>
      <c r="H1701" s="202"/>
      <c r="I1701" s="207"/>
      <c r="J1701" s="207"/>
      <c r="K1701" s="207"/>
      <c r="L1701" s="207"/>
      <c r="M1701" s="207"/>
    </row>
    <row r="1702" spans="1:13">
      <c r="A1702" s="202"/>
      <c r="B1702" s="212"/>
      <c r="C1702" s="212"/>
      <c r="D1702" s="202"/>
      <c r="E1702" s="214"/>
      <c r="F1702" s="202"/>
      <c r="G1702" s="206"/>
      <c r="H1702" s="202"/>
      <c r="I1702" s="207"/>
      <c r="J1702" s="207"/>
      <c r="K1702" s="207"/>
      <c r="L1702" s="207"/>
      <c r="M1702" s="207"/>
    </row>
    <row r="1703" spans="1:13">
      <c r="A1703" s="202"/>
      <c r="B1703" s="212"/>
      <c r="C1703" s="212"/>
      <c r="D1703" s="202"/>
      <c r="E1703" s="214"/>
      <c r="F1703" s="202"/>
      <c r="G1703" s="206"/>
      <c r="H1703" s="202"/>
      <c r="I1703" s="207"/>
      <c r="J1703" s="207"/>
      <c r="K1703" s="207"/>
      <c r="L1703" s="207"/>
      <c r="M1703" s="207"/>
    </row>
    <row r="1704" spans="1:13">
      <c r="A1704" s="202"/>
      <c r="B1704" s="212"/>
      <c r="C1704" s="212"/>
      <c r="D1704" s="202"/>
      <c r="E1704" s="214"/>
      <c r="F1704" s="202"/>
      <c r="G1704" s="206"/>
      <c r="H1704" s="202"/>
      <c r="I1704" s="207"/>
      <c r="J1704" s="207"/>
      <c r="K1704" s="207"/>
      <c r="L1704" s="207"/>
      <c r="M1704" s="207"/>
    </row>
    <row r="1705" spans="1:13">
      <c r="A1705" s="202"/>
      <c r="B1705" s="212"/>
      <c r="C1705" s="212"/>
      <c r="D1705" s="202"/>
      <c r="E1705" s="214"/>
      <c r="F1705" s="202"/>
      <c r="G1705" s="206"/>
      <c r="H1705" s="202"/>
      <c r="I1705" s="207"/>
      <c r="J1705" s="207"/>
      <c r="K1705" s="207"/>
      <c r="L1705" s="207"/>
      <c r="M1705" s="207"/>
    </row>
    <row r="1706" spans="1:13">
      <c r="A1706" s="202"/>
      <c r="B1706" s="212"/>
      <c r="C1706" s="212"/>
      <c r="D1706" s="202"/>
      <c r="E1706" s="214"/>
      <c r="F1706" s="202"/>
      <c r="G1706" s="206"/>
      <c r="H1706" s="202"/>
      <c r="I1706" s="207"/>
      <c r="J1706" s="207"/>
      <c r="K1706" s="207"/>
      <c r="L1706" s="207"/>
      <c r="M1706" s="207"/>
    </row>
    <row r="1707" spans="1:13">
      <c r="A1707" s="202"/>
      <c r="B1707" s="212"/>
      <c r="C1707" s="212"/>
      <c r="D1707" s="202"/>
      <c r="E1707" s="214"/>
      <c r="F1707" s="202"/>
      <c r="G1707" s="206"/>
      <c r="H1707" s="202"/>
      <c r="I1707" s="207"/>
      <c r="J1707" s="207"/>
      <c r="K1707" s="207"/>
      <c r="L1707" s="207"/>
      <c r="M1707" s="207"/>
    </row>
    <row r="1708" spans="1:13">
      <c r="A1708" s="202"/>
      <c r="B1708" s="212"/>
      <c r="C1708" s="212"/>
      <c r="D1708" s="202"/>
      <c r="E1708" s="214"/>
      <c r="F1708" s="202"/>
      <c r="G1708" s="206"/>
      <c r="H1708" s="202"/>
      <c r="I1708" s="207"/>
      <c r="J1708" s="207"/>
      <c r="K1708" s="207"/>
      <c r="L1708" s="207"/>
      <c r="M1708" s="207"/>
    </row>
    <row r="1709" spans="1:13">
      <c r="A1709" s="202"/>
      <c r="B1709" s="212"/>
      <c r="C1709" s="212"/>
      <c r="D1709" s="202"/>
      <c r="E1709" s="214"/>
      <c r="F1709" s="202"/>
      <c r="G1709" s="206"/>
      <c r="H1709" s="202"/>
      <c r="I1709" s="207"/>
      <c r="J1709" s="207"/>
      <c r="K1709" s="207"/>
      <c r="L1709" s="207"/>
      <c r="M1709" s="207"/>
    </row>
    <row r="1710" spans="1:13">
      <c r="A1710" s="202"/>
      <c r="B1710" s="212"/>
      <c r="C1710" s="212"/>
      <c r="D1710" s="202"/>
      <c r="E1710" s="214"/>
      <c r="F1710" s="202"/>
      <c r="G1710" s="206"/>
      <c r="H1710" s="202"/>
      <c r="I1710" s="207"/>
      <c r="J1710" s="207"/>
      <c r="K1710" s="207"/>
      <c r="L1710" s="207"/>
      <c r="M1710" s="207"/>
    </row>
    <row r="1711" spans="1:13">
      <c r="A1711" s="202"/>
      <c r="B1711" s="212"/>
      <c r="C1711" s="212"/>
      <c r="D1711" s="202"/>
      <c r="E1711" s="214"/>
      <c r="F1711" s="202"/>
      <c r="G1711" s="206"/>
      <c r="H1711" s="202"/>
      <c r="I1711" s="207"/>
      <c r="J1711" s="207"/>
      <c r="K1711" s="207"/>
      <c r="L1711" s="207"/>
      <c r="M1711" s="207"/>
    </row>
    <row r="1712" spans="1:13">
      <c r="A1712" s="202"/>
      <c r="B1712" s="212"/>
      <c r="C1712" s="212"/>
      <c r="D1712" s="202"/>
      <c r="E1712" s="214"/>
      <c r="F1712" s="202"/>
      <c r="G1712" s="206"/>
      <c r="H1712" s="202"/>
      <c r="I1712" s="207"/>
      <c r="J1712" s="207"/>
      <c r="K1712" s="207"/>
      <c r="L1712" s="207"/>
      <c r="M1712" s="207"/>
    </row>
    <row r="1713" spans="1:13">
      <c r="A1713" s="202"/>
      <c r="B1713" s="212"/>
      <c r="C1713" s="212"/>
      <c r="D1713" s="202"/>
      <c r="E1713" s="214"/>
      <c r="F1713" s="202"/>
      <c r="G1713" s="206"/>
      <c r="H1713" s="202"/>
      <c r="I1713" s="207"/>
      <c r="J1713" s="207"/>
      <c r="K1713" s="207"/>
      <c r="L1713" s="207"/>
      <c r="M1713" s="207"/>
    </row>
    <row r="1714" spans="1:13">
      <c r="A1714" s="202"/>
      <c r="B1714" s="212"/>
      <c r="C1714" s="212"/>
      <c r="D1714" s="202"/>
      <c r="E1714" s="214"/>
      <c r="F1714" s="202"/>
      <c r="G1714" s="206"/>
      <c r="H1714" s="202"/>
      <c r="I1714" s="207"/>
      <c r="J1714" s="207"/>
      <c r="K1714" s="207"/>
      <c r="L1714" s="207"/>
      <c r="M1714" s="207"/>
    </row>
    <row r="1715" spans="1:13">
      <c r="A1715" s="202"/>
      <c r="B1715" s="212"/>
      <c r="C1715" s="212"/>
      <c r="D1715" s="202"/>
      <c r="E1715" s="214"/>
      <c r="F1715" s="202"/>
      <c r="G1715" s="206"/>
      <c r="H1715" s="202"/>
      <c r="I1715" s="207"/>
      <c r="J1715" s="207"/>
      <c r="K1715" s="207"/>
      <c r="L1715" s="207"/>
      <c r="M1715" s="207"/>
    </row>
    <row r="1716" spans="1:13">
      <c r="A1716" s="202"/>
      <c r="B1716" s="212"/>
      <c r="C1716" s="212"/>
      <c r="D1716" s="202"/>
      <c r="E1716" s="214"/>
      <c r="F1716" s="202"/>
      <c r="G1716" s="206"/>
      <c r="H1716" s="202"/>
      <c r="I1716" s="207"/>
      <c r="J1716" s="207"/>
      <c r="K1716" s="207"/>
      <c r="L1716" s="207"/>
      <c r="M1716" s="207"/>
    </row>
    <row r="1717" spans="1:13">
      <c r="A1717" s="202"/>
      <c r="B1717" s="212"/>
      <c r="C1717" s="212"/>
      <c r="D1717" s="202"/>
      <c r="E1717" s="214"/>
      <c r="F1717" s="202"/>
      <c r="G1717" s="206"/>
      <c r="H1717" s="202"/>
      <c r="I1717" s="207"/>
      <c r="J1717" s="207"/>
      <c r="K1717" s="207"/>
      <c r="L1717" s="207"/>
      <c r="M1717" s="207"/>
    </row>
    <row r="1718" spans="1:13">
      <c r="A1718" s="202"/>
      <c r="B1718" s="212"/>
      <c r="C1718" s="212"/>
      <c r="D1718" s="202"/>
      <c r="E1718" s="214"/>
      <c r="F1718" s="202"/>
      <c r="G1718" s="206"/>
      <c r="H1718" s="202"/>
      <c r="I1718" s="207"/>
      <c r="J1718" s="207"/>
      <c r="K1718" s="207"/>
      <c r="L1718" s="207"/>
      <c r="M1718" s="207"/>
    </row>
    <row r="1719" spans="1:13">
      <c r="A1719" s="202"/>
      <c r="B1719" s="212"/>
      <c r="C1719" s="212"/>
      <c r="D1719" s="202"/>
      <c r="E1719" s="214"/>
      <c r="F1719" s="202"/>
      <c r="G1719" s="206"/>
      <c r="H1719" s="202"/>
      <c r="I1719" s="207"/>
      <c r="J1719" s="207"/>
      <c r="K1719" s="207"/>
      <c r="L1719" s="207"/>
      <c r="M1719" s="207"/>
    </row>
    <row r="1720" spans="1:13">
      <c r="A1720" s="202"/>
      <c r="B1720" s="212"/>
      <c r="C1720" s="212"/>
      <c r="D1720" s="202"/>
      <c r="E1720" s="214"/>
      <c r="F1720" s="202"/>
      <c r="G1720" s="206"/>
      <c r="H1720" s="202"/>
      <c r="I1720" s="207"/>
      <c r="J1720" s="207"/>
      <c r="K1720" s="207"/>
      <c r="L1720" s="207"/>
      <c r="M1720" s="207"/>
    </row>
    <row r="1721" spans="1:13">
      <c r="A1721" s="202"/>
      <c r="B1721" s="212"/>
      <c r="C1721" s="212"/>
      <c r="D1721" s="202"/>
      <c r="E1721" s="214"/>
      <c r="F1721" s="202"/>
      <c r="G1721" s="206"/>
      <c r="H1721" s="202"/>
      <c r="I1721" s="207"/>
      <c r="J1721" s="207"/>
      <c r="K1721" s="207"/>
      <c r="L1721" s="207"/>
      <c r="M1721" s="207"/>
    </row>
    <row r="1722" spans="1:13">
      <c r="A1722" s="202"/>
      <c r="B1722" s="212"/>
      <c r="C1722" s="212"/>
      <c r="D1722" s="202"/>
      <c r="E1722" s="214"/>
      <c r="F1722" s="202"/>
      <c r="G1722" s="206"/>
      <c r="H1722" s="202"/>
      <c r="I1722" s="207"/>
      <c r="J1722" s="207"/>
      <c r="K1722" s="207"/>
      <c r="L1722" s="207"/>
      <c r="M1722" s="207"/>
    </row>
    <row r="1723" spans="1:13">
      <c r="A1723" s="202"/>
      <c r="B1723" s="212"/>
      <c r="C1723" s="212"/>
      <c r="D1723" s="202"/>
      <c r="E1723" s="214"/>
      <c r="F1723" s="202"/>
      <c r="G1723" s="206"/>
      <c r="H1723" s="202"/>
      <c r="I1723" s="207"/>
      <c r="J1723" s="207"/>
      <c r="K1723" s="207"/>
      <c r="L1723" s="207"/>
      <c r="M1723" s="207"/>
    </row>
    <row r="1724" spans="1:13">
      <c r="A1724" s="202"/>
      <c r="B1724" s="212"/>
      <c r="C1724" s="212"/>
      <c r="D1724" s="202"/>
      <c r="E1724" s="214"/>
      <c r="F1724" s="202"/>
      <c r="G1724" s="206"/>
      <c r="H1724" s="202"/>
      <c r="I1724" s="207"/>
      <c r="J1724" s="207"/>
      <c r="K1724" s="207"/>
      <c r="L1724" s="207"/>
      <c r="M1724" s="207"/>
    </row>
    <row r="1725" spans="1:13">
      <c r="A1725" s="202"/>
      <c r="B1725" s="212"/>
      <c r="C1725" s="212"/>
      <c r="D1725" s="202"/>
      <c r="E1725" s="214"/>
      <c r="F1725" s="202"/>
      <c r="G1725" s="206"/>
      <c r="H1725" s="202"/>
      <c r="I1725" s="207"/>
      <c r="J1725" s="207"/>
      <c r="K1725" s="207"/>
      <c r="L1725" s="207"/>
      <c r="M1725" s="207"/>
    </row>
    <row r="1726" spans="1:13">
      <c r="A1726" s="202"/>
      <c r="B1726" s="212"/>
      <c r="C1726" s="212"/>
      <c r="D1726" s="202"/>
      <c r="E1726" s="214"/>
      <c r="F1726" s="202"/>
      <c r="G1726" s="206"/>
      <c r="H1726" s="202"/>
      <c r="I1726" s="207"/>
      <c r="J1726" s="207"/>
      <c r="K1726" s="207"/>
      <c r="L1726" s="207"/>
      <c r="M1726" s="207"/>
    </row>
    <row r="1727" spans="1:13">
      <c r="A1727" s="202"/>
      <c r="B1727" s="212"/>
      <c r="C1727" s="212"/>
      <c r="D1727" s="202"/>
      <c r="E1727" s="214"/>
      <c r="F1727" s="202"/>
      <c r="G1727" s="206"/>
      <c r="H1727" s="202"/>
      <c r="I1727" s="207"/>
      <c r="J1727" s="207"/>
      <c r="K1727" s="207"/>
      <c r="L1727" s="207"/>
      <c r="M1727" s="207"/>
    </row>
    <row r="1728" spans="1:13">
      <c r="A1728" s="202"/>
      <c r="B1728" s="212"/>
      <c r="C1728" s="212"/>
      <c r="D1728" s="202"/>
      <c r="E1728" s="214"/>
      <c r="F1728" s="202"/>
      <c r="G1728" s="206"/>
      <c r="H1728" s="202"/>
      <c r="I1728" s="207"/>
      <c r="J1728" s="207"/>
      <c r="K1728" s="207"/>
      <c r="L1728" s="207"/>
      <c r="M1728" s="207"/>
    </row>
    <row r="1729" spans="1:13">
      <c r="A1729" s="202"/>
      <c r="B1729" s="212"/>
      <c r="C1729" s="212"/>
      <c r="D1729" s="202"/>
      <c r="E1729" s="214"/>
      <c r="F1729" s="202"/>
      <c r="G1729" s="206"/>
      <c r="H1729" s="202"/>
      <c r="I1729" s="207"/>
      <c r="J1729" s="207"/>
      <c r="K1729" s="207"/>
      <c r="L1729" s="207"/>
      <c r="M1729" s="207"/>
    </row>
    <row r="1730" spans="1:13">
      <c r="A1730" s="202"/>
      <c r="B1730" s="212"/>
      <c r="C1730" s="212"/>
      <c r="D1730" s="202"/>
      <c r="E1730" s="214"/>
      <c r="F1730" s="202"/>
      <c r="G1730" s="206"/>
      <c r="H1730" s="202"/>
      <c r="I1730" s="207"/>
      <c r="J1730" s="207"/>
      <c r="K1730" s="207"/>
      <c r="L1730" s="207"/>
      <c r="M1730" s="207"/>
    </row>
    <row r="1731" spans="1:13">
      <c r="A1731" s="202"/>
      <c r="B1731" s="212"/>
      <c r="C1731" s="212"/>
      <c r="D1731" s="202"/>
      <c r="E1731" s="214"/>
      <c r="F1731" s="202"/>
      <c r="G1731" s="206"/>
      <c r="H1731" s="202"/>
      <c r="I1731" s="207"/>
      <c r="J1731" s="207"/>
      <c r="K1731" s="207"/>
      <c r="L1731" s="207"/>
      <c r="M1731" s="207"/>
    </row>
    <row r="1732" spans="1:13">
      <c r="A1732" s="202"/>
      <c r="B1732" s="212"/>
      <c r="C1732" s="212"/>
      <c r="D1732" s="202"/>
      <c r="E1732" s="214"/>
      <c r="F1732" s="202"/>
      <c r="G1732" s="206"/>
      <c r="H1732" s="202"/>
      <c r="I1732" s="207"/>
      <c r="J1732" s="207"/>
      <c r="K1732" s="207"/>
      <c r="L1732" s="207"/>
      <c r="M1732" s="207"/>
    </row>
    <row r="1733" spans="1:13">
      <c r="A1733" s="202"/>
      <c r="B1733" s="212"/>
      <c r="C1733" s="212"/>
      <c r="D1733" s="202"/>
      <c r="E1733" s="214"/>
      <c r="F1733" s="202"/>
      <c r="G1733" s="206"/>
      <c r="H1733" s="202"/>
      <c r="I1733" s="207"/>
      <c r="J1733" s="207"/>
      <c r="K1733" s="207"/>
      <c r="L1733" s="207"/>
      <c r="M1733" s="207"/>
    </row>
    <row r="1734" spans="1:13">
      <c r="A1734" s="202"/>
      <c r="B1734" s="212"/>
      <c r="C1734" s="212"/>
      <c r="D1734" s="202"/>
      <c r="E1734" s="214"/>
      <c r="F1734" s="202"/>
      <c r="G1734" s="206"/>
      <c r="H1734" s="202"/>
      <c r="I1734" s="207"/>
      <c r="J1734" s="207"/>
      <c r="K1734" s="207"/>
      <c r="L1734" s="207"/>
      <c r="M1734" s="207"/>
    </row>
    <row r="1735" spans="1:13">
      <c r="A1735" s="202"/>
      <c r="B1735" s="212"/>
      <c r="C1735" s="212"/>
      <c r="D1735" s="202"/>
      <c r="E1735" s="214"/>
      <c r="F1735" s="202"/>
      <c r="G1735" s="206"/>
      <c r="H1735" s="202"/>
      <c r="I1735" s="207"/>
      <c r="J1735" s="207"/>
      <c r="K1735" s="207"/>
      <c r="L1735" s="207"/>
      <c r="M1735" s="207"/>
    </row>
    <row r="1736" spans="1:13">
      <c r="A1736" s="202"/>
      <c r="B1736" s="212"/>
      <c r="C1736" s="212"/>
      <c r="D1736" s="202"/>
      <c r="E1736" s="214"/>
      <c r="F1736" s="202"/>
      <c r="G1736" s="206"/>
      <c r="H1736" s="202"/>
      <c r="I1736" s="207"/>
      <c r="J1736" s="207"/>
      <c r="K1736" s="207"/>
      <c r="L1736" s="207"/>
      <c r="M1736" s="207"/>
    </row>
    <row r="1737" spans="1:13">
      <c r="A1737" s="202"/>
      <c r="B1737" s="212"/>
      <c r="C1737" s="212"/>
      <c r="D1737" s="202"/>
      <c r="E1737" s="214"/>
      <c r="F1737" s="202"/>
      <c r="G1737" s="206"/>
      <c r="H1737" s="202"/>
      <c r="I1737" s="207"/>
      <c r="J1737" s="207"/>
      <c r="K1737" s="207"/>
      <c r="L1737" s="207"/>
      <c r="M1737" s="207"/>
    </row>
    <row r="1738" spans="1:13">
      <c r="A1738" s="202"/>
      <c r="B1738" s="212"/>
      <c r="C1738" s="212"/>
      <c r="D1738" s="202"/>
      <c r="E1738" s="214"/>
      <c r="F1738" s="202"/>
      <c r="G1738" s="206"/>
      <c r="H1738" s="202"/>
      <c r="I1738" s="207"/>
      <c r="J1738" s="207"/>
      <c r="K1738" s="207"/>
      <c r="L1738" s="207"/>
      <c r="M1738" s="207"/>
    </row>
    <row r="1739" spans="1:13">
      <c r="A1739" s="202"/>
      <c r="B1739" s="212"/>
      <c r="C1739" s="212"/>
      <c r="D1739" s="202"/>
      <c r="E1739" s="214"/>
      <c r="F1739" s="202"/>
      <c r="G1739" s="206"/>
      <c r="H1739" s="202"/>
      <c r="I1739" s="207"/>
      <c r="J1739" s="207"/>
      <c r="K1739" s="207"/>
      <c r="L1739" s="207"/>
      <c r="M1739" s="207"/>
    </row>
    <row r="1740" spans="1:13">
      <c r="A1740" s="202"/>
      <c r="B1740" s="212"/>
      <c r="C1740" s="212"/>
      <c r="D1740" s="202"/>
      <c r="E1740" s="214"/>
      <c r="F1740" s="202"/>
      <c r="G1740" s="206"/>
      <c r="H1740" s="202"/>
      <c r="I1740" s="207"/>
      <c r="J1740" s="207"/>
      <c r="K1740" s="207"/>
      <c r="L1740" s="207"/>
      <c r="M1740" s="207"/>
    </row>
    <row r="1741" spans="1:13">
      <c r="A1741" s="202"/>
      <c r="B1741" s="212"/>
      <c r="C1741" s="212"/>
      <c r="D1741" s="202"/>
      <c r="E1741" s="214"/>
      <c r="F1741" s="202"/>
      <c r="G1741" s="206"/>
      <c r="H1741" s="202"/>
      <c r="I1741" s="207"/>
      <c r="J1741" s="207"/>
      <c r="K1741" s="207"/>
      <c r="L1741" s="207"/>
      <c r="M1741" s="207"/>
    </row>
    <row r="1742" spans="1:13">
      <c r="A1742" s="202"/>
      <c r="B1742" s="212"/>
      <c r="C1742" s="212"/>
      <c r="D1742" s="202"/>
      <c r="E1742" s="214"/>
      <c r="F1742" s="202"/>
      <c r="G1742" s="206"/>
      <c r="H1742" s="202"/>
      <c r="I1742" s="207"/>
      <c r="J1742" s="207"/>
      <c r="K1742" s="207"/>
      <c r="L1742" s="207"/>
      <c r="M1742" s="207"/>
    </row>
    <row r="1743" spans="1:13">
      <c r="A1743" s="202"/>
      <c r="B1743" s="212"/>
      <c r="C1743" s="212"/>
      <c r="D1743" s="202"/>
      <c r="E1743" s="214"/>
      <c r="F1743" s="202"/>
      <c r="G1743" s="206"/>
      <c r="H1743" s="202"/>
      <c r="I1743" s="207"/>
      <c r="J1743" s="207"/>
      <c r="K1743" s="207"/>
      <c r="L1743" s="207"/>
      <c r="M1743" s="207"/>
    </row>
    <row r="1744" spans="1:13">
      <c r="A1744" s="202"/>
      <c r="B1744" s="212"/>
      <c r="C1744" s="212"/>
      <c r="D1744" s="202"/>
      <c r="E1744" s="214"/>
      <c r="F1744" s="202"/>
      <c r="G1744" s="206"/>
      <c r="H1744" s="202"/>
      <c r="I1744" s="207"/>
      <c r="J1744" s="207"/>
      <c r="K1744" s="207"/>
      <c r="L1744" s="207"/>
      <c r="M1744" s="207"/>
    </row>
    <row r="1745" spans="1:13">
      <c r="A1745" s="202"/>
      <c r="B1745" s="212"/>
      <c r="C1745" s="212"/>
      <c r="D1745" s="202"/>
      <c r="E1745" s="214"/>
      <c r="F1745" s="202"/>
      <c r="G1745" s="206"/>
      <c r="H1745" s="202"/>
      <c r="I1745" s="207"/>
      <c r="J1745" s="207"/>
      <c r="K1745" s="207"/>
      <c r="L1745" s="207"/>
      <c r="M1745" s="207"/>
    </row>
    <row r="1746" spans="1:13">
      <c r="A1746" s="202"/>
      <c r="B1746" s="212"/>
      <c r="C1746" s="212"/>
      <c r="D1746" s="202"/>
      <c r="E1746" s="214"/>
      <c r="F1746" s="202"/>
      <c r="G1746" s="206"/>
      <c r="H1746" s="202"/>
      <c r="I1746" s="207"/>
      <c r="J1746" s="207"/>
      <c r="K1746" s="207"/>
      <c r="L1746" s="207"/>
      <c r="M1746" s="207"/>
    </row>
    <row r="1747" spans="1:13">
      <c r="A1747" s="202"/>
      <c r="B1747" s="212"/>
      <c r="C1747" s="212"/>
      <c r="D1747" s="202"/>
      <c r="E1747" s="214"/>
      <c r="F1747" s="202"/>
      <c r="G1747" s="206"/>
      <c r="H1747" s="202"/>
      <c r="I1747" s="207"/>
      <c r="J1747" s="207"/>
      <c r="K1747" s="207"/>
      <c r="L1747" s="207"/>
      <c r="M1747" s="207"/>
    </row>
    <row r="1748" spans="1:13">
      <c r="A1748" s="202"/>
      <c r="B1748" s="212"/>
      <c r="C1748" s="212"/>
      <c r="D1748" s="202"/>
      <c r="E1748" s="214"/>
      <c r="F1748" s="202"/>
      <c r="G1748" s="206"/>
      <c r="H1748" s="202"/>
      <c r="I1748" s="207"/>
      <c r="J1748" s="207"/>
      <c r="K1748" s="207"/>
      <c r="L1748" s="207"/>
      <c r="M1748" s="207"/>
    </row>
    <row r="1749" spans="1:13">
      <c r="A1749" s="202"/>
      <c r="B1749" s="212"/>
      <c r="C1749" s="212"/>
      <c r="D1749" s="202"/>
      <c r="E1749" s="214"/>
      <c r="F1749" s="202"/>
      <c r="G1749" s="206"/>
      <c r="H1749" s="202"/>
      <c r="I1749" s="207"/>
      <c r="J1749" s="207"/>
      <c r="K1749" s="207"/>
      <c r="L1749" s="207"/>
      <c r="M1749" s="207"/>
    </row>
    <row r="1750" spans="1:13">
      <c r="A1750" s="202"/>
      <c r="B1750" s="212"/>
      <c r="C1750" s="212"/>
      <c r="D1750" s="202"/>
      <c r="E1750" s="214"/>
      <c r="F1750" s="202"/>
      <c r="G1750" s="206"/>
      <c r="H1750" s="202"/>
      <c r="I1750" s="207"/>
      <c r="J1750" s="207"/>
      <c r="K1750" s="207"/>
      <c r="L1750" s="207"/>
      <c r="M1750" s="207"/>
    </row>
    <row r="1751" spans="1:13">
      <c r="A1751" s="202"/>
      <c r="B1751" s="212"/>
      <c r="C1751" s="212"/>
      <c r="D1751" s="202"/>
      <c r="E1751" s="214"/>
      <c r="F1751" s="202"/>
      <c r="G1751" s="206"/>
      <c r="H1751" s="202"/>
      <c r="I1751" s="207"/>
      <c r="J1751" s="207"/>
      <c r="K1751" s="207"/>
      <c r="L1751" s="207"/>
      <c r="M1751" s="207"/>
    </row>
    <row r="1752" spans="1:13">
      <c r="A1752" s="202"/>
      <c r="B1752" s="212"/>
      <c r="C1752" s="212"/>
      <c r="D1752" s="202"/>
      <c r="E1752" s="214"/>
      <c r="F1752" s="202"/>
      <c r="G1752" s="206"/>
      <c r="H1752" s="202"/>
      <c r="I1752" s="207"/>
      <c r="J1752" s="207"/>
      <c r="K1752" s="207"/>
      <c r="L1752" s="207"/>
      <c r="M1752" s="207"/>
    </row>
    <row r="1753" spans="1:13">
      <c r="A1753" s="202"/>
      <c r="B1753" s="212"/>
      <c r="C1753" s="212"/>
      <c r="D1753" s="202"/>
      <c r="E1753" s="214"/>
      <c r="F1753" s="202"/>
      <c r="G1753" s="206"/>
      <c r="H1753" s="202"/>
      <c r="I1753" s="207"/>
      <c r="J1753" s="207"/>
      <c r="K1753" s="207"/>
      <c r="L1753" s="207"/>
      <c r="M1753" s="207"/>
    </row>
    <row r="1754" spans="1:13">
      <c r="A1754" s="202"/>
      <c r="B1754" s="212"/>
      <c r="C1754" s="212"/>
      <c r="D1754" s="202"/>
      <c r="E1754" s="214"/>
      <c r="F1754" s="202"/>
      <c r="G1754" s="206"/>
      <c r="H1754" s="202"/>
      <c r="I1754" s="207"/>
      <c r="J1754" s="207"/>
      <c r="K1754" s="207"/>
      <c r="L1754" s="207"/>
      <c r="M1754" s="20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88B47D9-A995-4277-AA24-08B93372B92C}">
          <x14:formula1>
            <xm:f>Listas!$A:$A</xm:f>
          </x14:formula1>
          <x14:formula2>
            <xm:f>0</xm:f>
          </x14:formula2>
          <xm:sqref>H1:H1754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13727CE7F5B2245B54AE20A8566C292" ma:contentTypeVersion="14" ma:contentTypeDescription="Crear nuevo documento." ma:contentTypeScope="" ma:versionID="f463469b103b0790efb5d7b224fbd166">
  <xsd:schema xmlns:xsd="http://www.w3.org/2001/XMLSchema" xmlns:xs="http://www.w3.org/2001/XMLSchema" xmlns:p="http://schemas.microsoft.com/office/2006/metadata/properties" xmlns:ns2="e48568a2-5b46-47bc-98d9-bf6cafbf9267" xmlns:ns3="8368e60b-5c7a-49cf-90ac-9ffd55149574" targetNamespace="http://schemas.microsoft.com/office/2006/metadata/properties" ma:root="true" ma:fieldsID="41687756b53d57b49a151dea90ead4cd" ns2:_="" ns3:_="">
    <xsd:import namespace="e48568a2-5b46-47bc-98d9-bf6cafbf9267"/>
    <xsd:import namespace="8368e60b-5c7a-49cf-90ac-9ffd5514957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568a2-5b46-47bc-98d9-bf6cafbf9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bf73b79c-1275-4551-97ae-8a6ba984106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68e60b-5c7a-49cf-90ac-9ffd55149574"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fc0e753b-391b-4fca-9c84-6eedaffde322}" ma:internalName="TaxCatchAll" ma:showField="CatchAllData" ma:web="8368e60b-5c7a-49cf-90ac-9ffd551495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8568a2-5b46-47bc-98d9-bf6cafbf9267">
      <Terms xmlns="http://schemas.microsoft.com/office/infopath/2007/PartnerControls"/>
    </lcf76f155ced4ddcb4097134ff3c332f>
    <TaxCatchAll xmlns="8368e60b-5c7a-49cf-90ac-9ffd55149574" xsi:nil="true"/>
  </documentManagement>
</p:properties>
</file>

<file path=customXml/itemProps1.xml><?xml version="1.0" encoding="utf-8"?>
<ds:datastoreItem xmlns:ds="http://schemas.openxmlformats.org/officeDocument/2006/customXml" ds:itemID="{FCD589A1-8955-4CE6-BDF3-290A9084CBDF}"/>
</file>

<file path=customXml/itemProps2.xml><?xml version="1.0" encoding="utf-8"?>
<ds:datastoreItem xmlns:ds="http://schemas.openxmlformats.org/officeDocument/2006/customXml" ds:itemID="{4935F02D-3CF5-46BA-9A07-50EEBF934D26}"/>
</file>

<file path=customXml/itemProps3.xml><?xml version="1.0" encoding="utf-8"?>
<ds:datastoreItem xmlns:ds="http://schemas.openxmlformats.org/officeDocument/2006/customXml" ds:itemID="{DB7FE2A6-2F26-45C8-AF77-03334B0BBE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Paolo Alarcon</cp:lastModifiedBy>
  <cp:revision>1</cp:revision>
  <dcterms:created xsi:type="dcterms:W3CDTF">2025-01-20T15:23:18Z</dcterms:created>
  <dcterms:modified xsi:type="dcterms:W3CDTF">2026-05-26T13:46:10Z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0x010100713727CE7F5B2245B54AE20A8566C292</vt:lpwstr>
  </property>
  <property fmtid="{D5CDD505-2E9C-101B-9397-08002B2CF9AE}" pid="4" name="ICV">
    <vt:lpwstr>535E436BE5CE433F86ABB0C622A89ABD_13</vt:lpwstr>
  </property>
  <property fmtid="{D5CDD505-2E9C-101B-9397-08002B2CF9AE}" pid="5" name="KSOProductBuildVer">
    <vt:lpwstr>2058-12.2.0.19805</vt:lpwstr>
  </property>
  <property fmtid="{D5CDD505-2E9C-101B-9397-08002B2CF9AE}" pid="6" name="MediaServiceImageTags">
    <vt:lpwstr/>
  </property>
  <property fmtid="{D5CDD505-2E9C-101B-9397-08002B2CF9AE}" pid="7" name="Order">
    <vt:r8>107100</vt:r8>
  </property>
  <property fmtid="{D5CDD505-2E9C-101B-9397-08002B2CF9AE}" pid="8" name="TriggerFlowInfo">
    <vt:lpwstr/>
  </property>
  <property fmtid="{D5CDD505-2E9C-101B-9397-08002B2CF9AE}" pid="9" name="_ExtendedDescription">
    <vt:lpwstr/>
  </property>
  <property fmtid="{D5CDD505-2E9C-101B-9397-08002B2CF9AE}" pid="10" name="_activity">
    <vt:lpwstr>{"FileActivityType":"9","FileActivityTimeStamp":"2025-04-07T18:15:45.237Z","FileActivityUsersOnPage":[{"DisplayName":"Christian Torreblanca","Id":"ctorreblanca@tecnoaccion.com.ar"},{"DisplayName":"Hector Gabaldo","Id":"hgabaldo@tecnoaccion.com.ar"}],"FileActivityNavigationId":null}</vt:lpwstr>
  </property>
</Properties>
</file>